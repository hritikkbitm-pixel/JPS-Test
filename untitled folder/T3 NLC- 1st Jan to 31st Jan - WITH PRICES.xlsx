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840" firstSheet="1" activeTab="1" autoFilterDateGrouping="1"/>
  </bookViews>
  <sheets>
    <sheet name="Online 1-30 June Old PL" sheetId="1" state="hidden" r:id="rId1"/>
    <sheet name="Jan'26 Ch PL-Full" sheetId="2" state="visible" r:id="rId2"/>
    <sheet name="Jan'26 Ch PL Zero  " sheetId="3" state="visible" r:id="rId3"/>
    <sheet name="Activation" sheetId="4" state="visible" r:id="rId4"/>
  </sheets>
  <definedNames>
    <definedName name="_xlnm._FilterDatabase" localSheetId="0" hidden="1">'Online 1-30 June Old PL'!$A$2:$BL$2</definedName>
    <definedName name="_xlnm._FilterDatabase" localSheetId="1" hidden="1">'Jan''26 Ch PL-Full'!$B$4:$W$123</definedName>
    <definedName name="_xlnm._FilterDatabase" localSheetId="2" hidden="1">'Jan''26 Ch PL Zero  '!$A$5:$W$63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Calibri Light"/>
      <family val="2"/>
      <color theme="1"/>
      <sz val="10"/>
      <scheme val="major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sz val="10"/>
      <scheme val="minor"/>
    </font>
    <font>
      <name val="Helv"/>
      <family val="2"/>
      <sz val="10"/>
    </font>
    <font>
      <name val="Calibri"/>
      <family val="2"/>
      <b val="1"/>
      <sz val="10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color theme="1"/>
      <sz val="9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 Light"/>
      <family val="2"/>
      <b val="1"/>
      <color rgb="FFFFFFFF"/>
      <sz val="10"/>
      <scheme val="major"/>
    </font>
    <font>
      <name val="Calibri Light"/>
      <family val="2"/>
      <b val="1"/>
      <color theme="1"/>
      <sz val="10"/>
      <scheme val="major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sz val="9"/>
      <scheme val="minor"/>
    </font>
  </fonts>
  <fills count="17">
    <fill>
      <patternFill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FFFF00"/>
        <bgColor rgb="00FFFF00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7" fillId="0" borderId="0"/>
    <xf numFmtId="0" fontId="5" fillId="0" borderId="0"/>
    <xf numFmtId="9" fontId="7" fillId="0" borderId="0"/>
    <xf numFmtId="43" fontId="7" fillId="0" borderId="0"/>
  </cellStyleXfs>
  <cellXfs count="75">
    <xf numFmtId="0" fontId="0" fillId="0" borderId="0" pivotButton="0" quotePrefix="0" xfId="0"/>
    <xf numFmtId="0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18" fontId="6" fillId="4" borderId="3" applyAlignment="1" pivotButton="0" quotePrefix="0" xfId="1">
      <alignment horizontal="center" vertical="center" wrapText="1"/>
    </xf>
    <xf numFmtId="9" fontId="2" fillId="0" borderId="3" applyAlignment="1" pivotButton="0" quotePrefix="0" xfId="2">
      <alignment horizontal="center" vertical="center"/>
    </xf>
    <xf numFmtId="164" fontId="2" fillId="0" borderId="3" applyAlignment="1" pivotButton="0" quotePrefix="0" xfId="2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" fillId="0" borderId="3" applyAlignment="1" applyProtection="1" pivotButton="0" quotePrefix="0" xfId="0">
      <alignment horizontal="center" vertical="center"/>
      <protection locked="0" hidden="0"/>
    </xf>
    <xf numFmtId="0" fontId="1" fillId="0" borderId="3" applyAlignment="1" applyProtection="1" pivotButton="0" quotePrefix="0" xfId="0">
      <alignment horizontal="center"/>
      <protection locked="0" hidden="0"/>
    </xf>
    <xf numFmtId="1" fontId="3" fillId="7" borderId="3" applyAlignment="1" pivotButton="0" quotePrefix="0" xfId="0">
      <alignment horizontal="center" vertical="center"/>
    </xf>
    <xf numFmtId="1" fontId="2" fillId="7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1" fontId="1" fillId="0" borderId="3" applyAlignment="1" applyProtection="1" pivotButton="0" quotePrefix="0" xfId="0">
      <alignment horizontal="center" vertical="center"/>
      <protection locked="0" hidden="0"/>
    </xf>
    <xf numFmtId="0" fontId="2" fillId="0" borderId="3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1" fontId="3" fillId="0" borderId="3" applyAlignment="1" pivotButton="0" quotePrefix="0" xfId="0">
      <alignment horizontal="center" vertical="center"/>
    </xf>
    <xf numFmtId="1" fontId="3" fillId="8" borderId="3" applyAlignment="1" pivotButton="0" quotePrefix="0" xfId="0">
      <alignment horizontal="center" vertical="center"/>
    </xf>
    <xf numFmtId="1" fontId="2" fillId="8" borderId="3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8" borderId="3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1" fontId="2" fillId="0" borderId="3" applyAlignment="1" pivotButton="0" quotePrefix="0" xfId="2">
      <alignment horizontal="center" vertical="center"/>
    </xf>
    <xf numFmtId="1" fontId="2" fillId="0" borderId="3" applyAlignment="1" pivotButton="0" quotePrefix="0" xfId="3">
      <alignment horizontal="center" vertical="center"/>
    </xf>
    <xf numFmtId="164" fontId="3" fillId="0" borderId="3" applyAlignment="1" pivotButton="0" quotePrefix="0" xfId="2">
      <alignment horizontal="center" vertical="center"/>
    </xf>
    <xf numFmtId="1" fontId="2" fillId="10" borderId="3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6" fillId="6" borderId="3" applyAlignment="1" pivotButton="0" quotePrefix="0" xfId="1">
      <alignment horizontal="center" vertical="center" wrapText="1"/>
    </xf>
    <xf numFmtId="1" fontId="2" fillId="3" borderId="0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1" fontId="2" fillId="7" borderId="3" applyAlignment="1" pivotButton="0" quotePrefix="0" xfId="3">
      <alignment horizontal="center" vertical="center"/>
    </xf>
    <xf numFmtId="0" fontId="2" fillId="13" borderId="3" applyAlignment="1" pivotButton="0" quotePrefix="0" xfId="0">
      <alignment horizontal="center" vertical="center"/>
    </xf>
    <xf numFmtId="1" fontId="2" fillId="13" borderId="3" applyAlignment="1" pivotButton="0" quotePrefix="0" xfId="0">
      <alignment horizontal="center" vertical="center"/>
    </xf>
    <xf numFmtId="1" fontId="2" fillId="7" borderId="4" applyAlignment="1" pivotButton="0" quotePrefix="0" xfId="0">
      <alignment horizontal="center" vertical="center"/>
    </xf>
    <xf numFmtId="1" fontId="2" fillId="0" borderId="5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164" fontId="2" fillId="0" borderId="3" applyAlignment="1" pivotButton="0" quotePrefix="0" xfId="2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11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8" fillId="2" borderId="3" applyAlignment="1" pivotButton="0" quotePrefix="0" xfId="0">
      <alignment horizontal="center" vertical="center" wrapText="1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8" fillId="2" borderId="3" applyAlignment="1" applyProtection="1" pivotButton="0" quotePrefix="0" xfId="0">
      <alignment horizontal="center" vertical="center" wrapText="1"/>
      <protection locked="0" hidden="0"/>
    </xf>
    <xf numFmtId="0" fontId="10" fillId="0" borderId="2" applyAlignment="1" pivotButton="0" quotePrefix="0" xfId="0">
      <alignment vertical="center" wrapText="1"/>
    </xf>
    <xf numFmtId="1" fontId="14" fillId="2" borderId="3" applyAlignment="1" pivotButton="0" quotePrefix="0" xfId="0">
      <alignment horizontal="center" vertical="center" wrapText="1"/>
    </xf>
    <xf numFmtId="1" fontId="15" fillId="7" borderId="3" applyAlignment="1" pivotButton="0" quotePrefix="0" xfId="0">
      <alignment horizontal="center" vertical="center" wrapText="1"/>
    </xf>
    <xf numFmtId="0" fontId="16" fillId="14" borderId="3" applyAlignment="1" pivotButton="0" quotePrefix="0" xfId="0">
      <alignment horizontal="center" vertical="center"/>
    </xf>
    <xf numFmtId="1" fontId="2" fillId="0" borderId="3" applyAlignment="1" applyProtection="1" pivotButton="0" quotePrefix="0" xfId="3">
      <alignment horizontal="center" vertical="center"/>
      <protection locked="0" hidden="0"/>
    </xf>
    <xf numFmtId="0" fontId="17" fillId="15" borderId="3" applyAlignment="1" pivotButton="0" quotePrefix="0" xfId="0">
      <alignment horizontal="center" vertical="center"/>
    </xf>
    <xf numFmtId="0" fontId="17" fillId="15" borderId="3" applyAlignment="1" pivotButton="0" quotePrefix="0" xfId="0">
      <alignment horizontal="center" vertical="center" wrapText="1"/>
    </xf>
    <xf numFmtId="14" fontId="16" fillId="0" borderId="3" applyAlignment="1" pivotButton="0" quotePrefix="0" xfId="0">
      <alignment horizontal="center" vertical="center"/>
    </xf>
    <xf numFmtId="0" fontId="16" fillId="7" borderId="3" applyAlignment="1" pivotButton="0" quotePrefix="0" xfId="0">
      <alignment horizontal="center" vertical="center"/>
    </xf>
    <xf numFmtId="1" fontId="16" fillId="14" borderId="3" applyAlignment="1" pivotButton="0" quotePrefix="0" xfId="0">
      <alignment horizontal="center" vertical="center"/>
    </xf>
    <xf numFmtId="0" fontId="10" fillId="0" borderId="1" applyAlignment="1" applyProtection="1" pivotButton="0" quotePrefix="0" xfId="0">
      <alignment horizontal="left" vertical="center"/>
      <protection locked="0" hidden="0"/>
    </xf>
    <xf numFmtId="0" fontId="10" fillId="0" borderId="2" applyAlignment="1" applyProtection="1" pivotButton="0" quotePrefix="0" xfId="0">
      <alignment horizontal="center" vertical="center"/>
      <protection locked="0" hidden="0"/>
    </xf>
    <xf numFmtId="0" fontId="10" fillId="0" borderId="2" applyAlignment="1" applyProtection="1" pivotButton="0" quotePrefix="0" xfId="0">
      <alignment horizontal="left" vertical="center"/>
      <protection locked="0" hidden="0"/>
    </xf>
    <xf numFmtId="0" fontId="8" fillId="2" borderId="3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10" fillId="0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0" fontId="2" fillId="0" borderId="3" applyAlignment="1" applyProtection="1" pivotButton="0" quotePrefix="0" xfId="0">
      <alignment horizontal="center"/>
      <protection locked="0" hidden="0"/>
    </xf>
    <xf numFmtId="0" fontId="2" fillId="0" borderId="3" applyAlignment="1" applyProtection="1" pivotButton="0" quotePrefix="0" xfId="0">
      <alignment horizontal="left"/>
      <protection locked="0" hidden="0"/>
    </xf>
    <xf numFmtId="0" fontId="18" fillId="0" borderId="3" applyAlignment="1" pivotButton="0" quotePrefix="0" xfId="0">
      <alignment horizontal="center" vertical="center"/>
    </xf>
    <xf numFmtId="0" fontId="2" fillId="4" borderId="3" applyAlignment="1" applyProtection="1" pivotButton="0" quotePrefix="0" xfId="0">
      <alignment horizontal="center" vertical="center"/>
      <protection locked="0" hidden="0"/>
    </xf>
    <xf numFmtId="1" fontId="2" fillId="0" borderId="3" applyAlignment="1" pivotButton="0" quotePrefix="0" xfId="0">
      <alignment horizontal="center"/>
    </xf>
    <xf numFmtId="1" fontId="2" fillId="0" borderId="3" applyAlignment="1" applyProtection="1" pivotButton="0" quotePrefix="0" xfId="0">
      <alignment horizontal="center" vertical="center" wrapText="1"/>
      <protection locked="0" hidden="0"/>
    </xf>
    <xf numFmtId="0" fontId="0" fillId="16" borderId="0" pivotButton="0" quotePrefix="0" xfId="0"/>
  </cellXfs>
  <cellStyles count="4">
    <cellStyle name="Normal" xfId="0" builtinId="0"/>
    <cellStyle name="Normal_Margin Aug 07" xfId="1"/>
    <cellStyle name="Percent" xfId="2" builtinId="5"/>
    <cellStyle name="Comma" xfId="3" builtinId="3"/>
  </cellStyles>
  <dxfs count="4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Nakul Gola</author>
  </authors>
  <commentList>
    <comment ref="Z139" authorId="0" shapeId="0">
      <text>
        <t xml:space="preserve">Nakul Gola: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1">
    <tabColor rgb="FF00B0F0"/>
    <outlinePr summaryBelow="1" summaryRight="1"/>
    <pageSetUpPr/>
  </sheetPr>
  <dimension ref="A1:BL306"/>
  <sheetViews>
    <sheetView zoomScale="90" zoomScaleNormal="90" workbookViewId="0">
      <pane xSplit="6" ySplit="2" topLeftCell="R3" activePane="bottomRight" state="frozen"/>
      <selection pane="topRight" activeCell="AP2" sqref="AP2"/>
      <selection pane="bottomLeft" activeCell="AP2" sqref="AP2"/>
      <selection pane="bottomRight" activeCell="T14" sqref="T14"/>
    </sheetView>
  </sheetViews>
  <sheetFormatPr baseColWidth="8" defaultColWidth="9.1796875" defaultRowHeight="13"/>
  <cols>
    <col width="11.81640625" bestFit="1" customWidth="1" style="3" min="1" max="1"/>
    <col width="11.81640625" customWidth="1" style="3" min="2" max="3"/>
    <col width="21.26953125" customWidth="1" style="3" min="4" max="4"/>
    <col width="10.1796875" bestFit="1" customWidth="1" style="3" min="5" max="5"/>
    <col width="10.1796875" customWidth="1" style="3" min="6" max="6"/>
    <col width="23" bestFit="1" customWidth="1" style="3" min="7" max="7"/>
    <col width="6.7265625" customWidth="1" style="3" min="8" max="8"/>
    <col width="9.81640625" customWidth="1" style="3" min="9" max="9"/>
    <col width="16.453125" bestFit="1" customWidth="1" style="3" min="10" max="10"/>
    <col width="9" bestFit="1" customWidth="1" style="3" min="11" max="11"/>
    <col width="12.1796875" customWidth="1" style="3" min="12" max="12"/>
    <col width="10.1796875" bestFit="1" customWidth="1" style="3" min="13" max="13"/>
    <col width="14.7265625" bestFit="1" customWidth="1" style="3" min="14" max="14"/>
    <col width="15.26953125" customWidth="1" style="3" min="15" max="15"/>
    <col hidden="1" width="33.54296875" customWidth="1" style="3" min="16" max="16"/>
    <col width="22.7265625" customWidth="1" style="3" min="17" max="17"/>
    <col width="8.54296875" bestFit="1" customWidth="1" style="3" min="18" max="18"/>
    <col width="12.453125" bestFit="1" customWidth="1" style="3" min="19" max="19"/>
    <col width="10.81640625" bestFit="1" customWidth="1" style="3" min="20" max="20"/>
    <col width="10.453125" bestFit="1" customWidth="1" style="3" min="21" max="21"/>
    <col width="13.1796875" customWidth="1" style="3" min="22" max="24"/>
    <col width="13.26953125" customWidth="1" style="3" min="25" max="25"/>
    <col width="12.54296875" customWidth="1" style="3" min="26" max="26"/>
    <col width="9.1796875" customWidth="1" style="3" min="27" max="33"/>
    <col width="13.1796875" customWidth="1" style="3" min="34" max="35"/>
    <col width="9.1796875" customWidth="1" style="3" min="36" max="36"/>
    <col width="9.1796875" customWidth="1" style="23" min="37" max="37"/>
    <col width="9.1796875" customWidth="1" style="3" min="38" max="38"/>
    <col width="9.1796875" customWidth="1" style="3" min="39" max="42"/>
    <col width="13.1796875" customWidth="1" style="3" min="43" max="44"/>
    <col width="9.1796875" customWidth="1" style="3" min="45" max="54"/>
    <col width="7.81640625" customWidth="1" style="3" min="55" max="56"/>
    <col width="5.81640625" bestFit="1" customWidth="1" style="3" min="57" max="57"/>
    <col width="10.54296875" bestFit="1" customWidth="1" style="3" min="58" max="58"/>
    <col width="10.54296875" customWidth="1" style="3" min="59" max="59"/>
    <col width="9.1796875" customWidth="1" style="3" min="60" max="16384"/>
  </cols>
  <sheetData>
    <row r="1">
      <c r="C1" s="3" t="n">
        <v>9</v>
      </c>
      <c r="D1" s="3" t="n">
        <v>10</v>
      </c>
      <c r="E1" s="3" t="n">
        <v>11</v>
      </c>
      <c r="F1" s="3" t="n">
        <v>3</v>
      </c>
      <c r="G1" s="3" t="n">
        <v>2</v>
      </c>
      <c r="H1" s="3" t="n">
        <v>14</v>
      </c>
      <c r="I1" s="3" t="n">
        <v>15</v>
      </c>
      <c r="J1" s="3" t="n">
        <v>13</v>
      </c>
      <c r="K1" s="3" t="n">
        <v>16</v>
      </c>
      <c r="L1" s="3" t="n">
        <v>17</v>
      </c>
      <c r="M1" s="3" t="n">
        <v>18</v>
      </c>
      <c r="N1" s="3" t="n">
        <v>19</v>
      </c>
      <c r="O1" s="3" t="n">
        <v>20</v>
      </c>
      <c r="P1" s="3" t="n">
        <v>21</v>
      </c>
      <c r="V1" s="5">
        <f>SUBTOTAL(9,V8:V293)</f>
        <v/>
      </c>
      <c r="W1" s="5">
        <f>SUBTOTAL(9,W8:W293)</f>
        <v/>
      </c>
      <c r="AF1" s="5">
        <f>SUBTOTAL(9,AF8:AF293)</f>
        <v/>
      </c>
      <c r="AH1" s="5">
        <f>SUBTOTAL(9,AH8:AH293)</f>
        <v/>
      </c>
      <c r="AI1" s="5">
        <f>SUBTOTAL(9,AI8:AI293)</f>
        <v/>
      </c>
      <c r="AT1" s="3">
        <f>SUBTOTAL(9,AT3:AT294)</f>
        <v/>
      </c>
      <c r="AV1" s="3">
        <f>SUBTOTAL(9,AV3:AV294)</f>
        <v/>
      </c>
      <c r="AX1" s="3">
        <f>SUBTOTAL(9,AX3:AX293)</f>
        <v/>
      </c>
      <c r="AY1" s="3">
        <f>AX1/83000</f>
        <v/>
      </c>
      <c r="BA1" s="3">
        <f>SUBTOTAL(9,BA3:BA294)</f>
        <v/>
      </c>
      <c r="BB1" s="3">
        <f>SUBTOTAL(9,BB3:BB294)</f>
        <v/>
      </c>
      <c r="BC1" s="3">
        <f>SUBTOTAL(9,BC3:BC294)</f>
        <v/>
      </c>
      <c r="BD1" s="3">
        <f>SUBTOTAL(9,BD3:BD294)</f>
        <v/>
      </c>
      <c r="BE1" s="3">
        <f>SUBTOTAL(9,BE3:BE294)</f>
        <v/>
      </c>
      <c r="BF1" s="3">
        <f>SUBTOTAL(9,BF3:BF294)</f>
        <v/>
      </c>
      <c r="BG1" s="3">
        <f>BD1*1.85</f>
        <v/>
      </c>
      <c r="BH1" s="3">
        <f>SUBTOTAL(9,BH3:BH294)</f>
        <v/>
      </c>
      <c r="BJ1" s="3">
        <f>SUBTOTAL(9,BJ3:BJ294)</f>
        <v/>
      </c>
      <c r="BK1" s="3">
        <f>BJ1/83000</f>
        <v/>
      </c>
    </row>
    <row r="2" ht="35.15" customHeight="1">
      <c r="A2" s="30" t="inlineStr">
        <is>
          <t>MTM</t>
        </is>
      </c>
      <c r="B2" s="30" t="inlineStr">
        <is>
          <t>New Tagging</t>
        </is>
      </c>
      <c r="C2" s="30" t="inlineStr">
        <is>
          <t>Old Tagging</t>
        </is>
      </c>
      <c r="D2" s="30" t="inlineStr">
        <is>
          <t>Family</t>
        </is>
      </c>
      <c r="E2" s="30" t="inlineStr">
        <is>
          <t>Form Factor</t>
        </is>
      </c>
      <c r="F2" s="30" t="inlineStr">
        <is>
          <t>Sub Series</t>
        </is>
      </c>
      <c r="G2" s="30" t="inlineStr">
        <is>
          <t>Sub Series</t>
        </is>
      </c>
      <c r="H2" s="30" t="inlineStr">
        <is>
          <t>CPU</t>
        </is>
      </c>
      <c r="I2" s="30" t="inlineStr">
        <is>
          <t>Gen</t>
        </is>
      </c>
      <c r="J2" s="30" t="inlineStr">
        <is>
          <t>CPU</t>
        </is>
      </c>
      <c r="K2" s="30" t="inlineStr">
        <is>
          <t>RAM</t>
        </is>
      </c>
      <c r="L2" s="30" t="inlineStr">
        <is>
          <t>Storage</t>
        </is>
      </c>
      <c r="M2" s="30" t="inlineStr">
        <is>
          <t>OS</t>
        </is>
      </c>
      <c r="N2" s="30" t="inlineStr">
        <is>
          <t>Office</t>
        </is>
      </c>
      <c r="O2" s="30" t="inlineStr">
        <is>
          <t>Graphics</t>
        </is>
      </c>
      <c r="P2" s="30" t="inlineStr">
        <is>
          <t>Display</t>
        </is>
      </c>
      <c r="Q2" s="30" t="inlineStr">
        <is>
          <t>Warranty</t>
        </is>
      </c>
      <c r="R2" s="30" t="inlineStr">
        <is>
          <t>GTN</t>
        </is>
      </c>
      <c r="S2" s="30" t="inlineStr">
        <is>
          <t>Backpack</t>
        </is>
      </c>
      <c r="T2" s="30" t="inlineStr">
        <is>
          <t>DTP</t>
        </is>
      </c>
      <c r="U2" s="6" t="inlineStr">
        <is>
          <t>Online SRP</t>
        </is>
      </c>
      <c r="V2" s="6" t="inlineStr">
        <is>
          <t>BAU ST Support (1-30th June) w/o tax</t>
        </is>
      </c>
      <c r="W2" s="6" t="inlineStr">
        <is>
          <t>BAU SO Support (1-30th June) w/o tax</t>
        </is>
      </c>
      <c r="X2" s="6" t="inlineStr">
        <is>
          <t>Tactical (1-30th June) w/o tax</t>
        </is>
      </c>
      <c r="Y2" s="6" t="inlineStr">
        <is>
          <t>EUP @ 8% Margin</t>
        </is>
      </c>
      <c r="Z2" s="6" t="inlineStr">
        <is>
          <t>Aligned EUP Final</t>
        </is>
      </c>
      <c r="AA2" s="3" t="inlineStr">
        <is>
          <t>Check</t>
        </is>
      </c>
      <c r="AC2" s="6" t="inlineStr">
        <is>
          <t>Online (1-30th June) EUP</t>
        </is>
      </c>
      <c r="AD2" s="6" t="inlineStr">
        <is>
          <t>Addt Support w/o tax (1-30th June)</t>
        </is>
      </c>
      <c r="AE2" s="5" t="n"/>
      <c r="AF2" s="5" t="inlineStr">
        <is>
          <t>Total SO Support</t>
        </is>
      </c>
      <c r="AG2" s="5" t="n"/>
      <c r="AH2" s="6" t="inlineStr">
        <is>
          <t>BAU ST Support (15-30 April) w/o tax</t>
        </is>
      </c>
      <c r="AI2" s="6" t="inlineStr">
        <is>
          <t>BAU SO Support (23-30 April) w/o tax</t>
        </is>
      </c>
      <c r="AJ2" s="5" t="n"/>
      <c r="AM2" s="3" t="inlineStr">
        <is>
          <t>Effective EUP 1-15</t>
        </is>
      </c>
      <c r="AN2" s="3" t="inlineStr">
        <is>
          <t>Increase</t>
        </is>
      </c>
      <c r="AQ2" s="6" t="inlineStr">
        <is>
          <t>BAU ST Support (7-31 March) w/o tax</t>
        </is>
      </c>
      <c r="AR2" s="6" t="inlineStr">
        <is>
          <t>BAU SO Support (7-31 March) w/o tax</t>
        </is>
      </c>
      <c r="AT2" s="3" t="inlineStr">
        <is>
          <t>1-8 SO qty</t>
        </is>
      </c>
      <c r="AV2" s="9" t="inlineStr">
        <is>
          <t>21 April- 30 June</t>
        </is>
      </c>
      <c r="AX2" s="3" t="inlineStr">
        <is>
          <t>Total Support</t>
        </is>
      </c>
      <c r="BA2" s="3" t="inlineStr">
        <is>
          <t>Jan ST</t>
        </is>
      </c>
      <c r="BB2" s="3" t="inlineStr">
        <is>
          <t>Feb ST</t>
        </is>
      </c>
      <c r="BC2" s="3" t="inlineStr">
        <is>
          <t>March ST</t>
        </is>
      </c>
      <c r="BD2" s="3" t="inlineStr">
        <is>
          <t>Q4 ST</t>
        </is>
      </c>
      <c r="BE2" s="3" t="inlineStr">
        <is>
          <t>T1 Inv.</t>
        </is>
      </c>
      <c r="BF2" s="3" t="inlineStr">
        <is>
          <t>FG+Incoming</t>
        </is>
      </c>
      <c r="BH2" s="3" t="inlineStr">
        <is>
          <t>AMJ ST</t>
        </is>
      </c>
      <c r="BJ2" s="3" t="inlineStr">
        <is>
          <t>Total ST Support</t>
        </is>
      </c>
    </row>
    <row r="3">
      <c r="A3" s="1" t="inlineStr">
        <is>
          <t>82JU01C7IN</t>
        </is>
      </c>
      <c r="B3" s="1">
        <f>IF(BL3&lt;40000,"Entry",IF(BL3&gt;65000,"Premium","Mainstream"))</f>
        <v/>
      </c>
      <c r="C3" s="1" t="inlineStr">
        <is>
          <t>Premium</t>
        </is>
      </c>
      <c r="D3" s="1" t="inlineStr">
        <is>
          <t>R7 OS 6GB Graphics Office</t>
        </is>
      </c>
      <c r="E3" s="1" t="inlineStr">
        <is>
          <t>Gaming</t>
        </is>
      </c>
      <c r="F3" s="1" t="inlineStr">
        <is>
          <t>Legion 5</t>
        </is>
      </c>
      <c r="G3" s="1" t="inlineStr">
        <is>
          <t>Legion 5 15ACH6H</t>
        </is>
      </c>
      <c r="H3" s="1" t="inlineStr">
        <is>
          <t>R7</t>
        </is>
      </c>
      <c r="I3" s="1" t="inlineStr">
        <is>
          <t>5XXXH</t>
        </is>
      </c>
      <c r="J3" s="1" t="inlineStr">
        <is>
          <t>Ryzen 7 5800H</t>
        </is>
      </c>
      <c r="K3" s="1" t="inlineStr">
        <is>
          <t>16GB</t>
        </is>
      </c>
      <c r="L3" s="1" t="inlineStr">
        <is>
          <t>1TB SSD</t>
        </is>
      </c>
      <c r="M3" s="1" t="inlineStr">
        <is>
          <t>Win11</t>
        </is>
      </c>
      <c r="N3" s="1" t="inlineStr">
        <is>
          <t>Office 2021</t>
        </is>
      </c>
      <c r="O3" s="1" t="inlineStr">
        <is>
          <t>RTX 3060 6GB</t>
        </is>
      </c>
      <c r="P3" s="1" t="inlineStr">
        <is>
          <t>15.6WQHD_AG_300N_165_N_SRGB</t>
        </is>
      </c>
      <c r="Q3" s="1" t="inlineStr">
        <is>
          <t>1 Yr Onsite + 1 Yr LUS + 1 Yr ADP</t>
        </is>
      </c>
      <c r="R3" s="1" t="inlineStr">
        <is>
          <t>Full GTN</t>
        </is>
      </c>
      <c r="S3" s="1" t="n">
        <v>2457</v>
      </c>
      <c r="T3" s="2">
        <f>U3*0.98*0.965</f>
        <v/>
      </c>
      <c r="U3" s="13" t="n">
        <v>94041.40677966102</v>
      </c>
      <c r="V3" s="13" t="n">
        <v>0</v>
      </c>
      <c r="W3" s="13" t="n">
        <v>2341</v>
      </c>
      <c r="X3" s="13" t="n"/>
      <c r="Y3" s="2">
        <f>(U3*0.88-S3-V3-W3-X3)*1.18/0.92</f>
        <v/>
      </c>
      <c r="Z3" s="1" t="n">
        <v>99990</v>
      </c>
      <c r="AA3" s="5" t="n"/>
      <c r="AB3" s="5" t="n"/>
      <c r="AC3" s="14" t="n">
        <v>99990</v>
      </c>
      <c r="AD3" s="5">
        <f>(Y3-AC3)/1.18*0.92</f>
        <v/>
      </c>
      <c r="AE3" s="5" t="n"/>
      <c r="AF3" s="5">
        <f>W3+X3</f>
        <v/>
      </c>
      <c r="AG3" s="5" t="n"/>
      <c r="AH3" s="13" t="n">
        <v>0</v>
      </c>
      <c r="AI3" s="13" t="n">
        <v>2341</v>
      </c>
      <c r="AJ3" s="5" t="n"/>
      <c r="AL3" s="5" t="n"/>
      <c r="AM3" s="5" t="n">
        <v>99990.1704347826</v>
      </c>
      <c r="AN3" s="5">
        <f>Y3-AM3</f>
        <v/>
      </c>
      <c r="AO3" s="5" t="n"/>
      <c r="AP3" s="5">
        <f>U3-AL3</f>
        <v/>
      </c>
      <c r="AQ3" s="20" t="n">
        <v>0</v>
      </c>
      <c r="AR3" s="20" t="n">
        <v>2341</v>
      </c>
      <c r="AT3" s="3" t="n">
        <v>0</v>
      </c>
      <c r="AV3" s="5">
        <f>ROUNDUP((AT3/8)*80,0)</f>
        <v/>
      </c>
      <c r="AX3" s="38">
        <f>AV3*W3</f>
        <v/>
      </c>
      <c r="BA3" s="3" t="n">
        <v>0</v>
      </c>
      <c r="BB3" s="3" t="n">
        <v>0</v>
      </c>
      <c r="BC3" s="3" t="n">
        <v>0</v>
      </c>
      <c r="BD3" s="3">
        <f>BC3+BB3+BA3</f>
        <v/>
      </c>
      <c r="BE3" s="3" t="n">
        <v>0</v>
      </c>
      <c r="BF3" s="3" t="n">
        <v>0</v>
      </c>
      <c r="BH3" s="3">
        <f>ROUNDUP(BD3*1.85,0)</f>
        <v/>
      </c>
      <c r="BJ3" s="38">
        <f>BH3*V3</f>
        <v/>
      </c>
      <c r="BL3" s="3">
        <f>U3*1.18</f>
        <v/>
      </c>
    </row>
    <row r="4">
      <c r="A4" s="1" t="inlineStr">
        <is>
          <t>82JU00TAIN</t>
        </is>
      </c>
      <c r="B4" s="1">
        <f>IF(BL4&lt;40000,"Entry",IF(BL4&gt;65000,"Premium","Mainstream"))</f>
        <v/>
      </c>
      <c r="C4" s="1" t="inlineStr">
        <is>
          <t>Premium</t>
        </is>
      </c>
      <c r="D4" s="1" t="inlineStr">
        <is>
          <t>R7 OS 6GB Graphics Office</t>
        </is>
      </c>
      <c r="E4" s="1" t="inlineStr">
        <is>
          <t>Gaming</t>
        </is>
      </c>
      <c r="F4" s="1" t="inlineStr">
        <is>
          <t>Legion 5</t>
        </is>
      </c>
      <c r="G4" s="1" t="inlineStr">
        <is>
          <t>Legion 5 15ACH6H</t>
        </is>
      </c>
      <c r="H4" s="1" t="inlineStr">
        <is>
          <t>R7</t>
        </is>
      </c>
      <c r="I4" s="1" t="inlineStr">
        <is>
          <t>5XXXH</t>
        </is>
      </c>
      <c r="J4" s="1" t="inlineStr">
        <is>
          <t>Ryzen 7 5800H</t>
        </is>
      </c>
      <c r="K4" s="1" t="inlineStr">
        <is>
          <t>16GB</t>
        </is>
      </c>
      <c r="L4" s="1" t="inlineStr">
        <is>
          <t>1TB SSD</t>
        </is>
      </c>
      <c r="M4" s="1" t="inlineStr">
        <is>
          <t>Win11</t>
        </is>
      </c>
      <c r="N4" s="1" t="inlineStr">
        <is>
          <t>Office 2021</t>
        </is>
      </c>
      <c r="O4" s="1" t="inlineStr">
        <is>
          <t>RTX 3060 6GB</t>
        </is>
      </c>
      <c r="P4" s="1" t="inlineStr">
        <is>
          <t>15.6WQHD_AG_300N_165_N_SRGB</t>
        </is>
      </c>
      <c r="Q4" s="1" t="inlineStr">
        <is>
          <t>1 Yr Onsite + 1 Yr LUS + 1 Yr ADP</t>
        </is>
      </c>
      <c r="R4" s="1" t="inlineStr">
        <is>
          <t>Full GTN</t>
        </is>
      </c>
      <c r="S4" s="1" t="n">
        <v>2457</v>
      </c>
      <c r="T4" s="2">
        <f>U4*0.98*0.965</f>
        <v/>
      </c>
      <c r="U4" s="13" t="n">
        <v>113550.8474576271</v>
      </c>
      <c r="V4" s="13" t="n">
        <v>0</v>
      </c>
      <c r="W4" s="13" t="n">
        <v>19509.44067796611</v>
      </c>
      <c r="X4" s="13" t="n"/>
      <c r="Y4" s="2">
        <f>(U4*0.88-S4-V4-W4-X4)*1.18/0.92</f>
        <v/>
      </c>
      <c r="Z4" s="1" t="n">
        <v>99990</v>
      </c>
      <c r="AA4" s="5" t="n"/>
      <c r="AB4" s="5" t="n"/>
      <c r="AC4" s="14" t="n">
        <v>99990</v>
      </c>
      <c r="AD4" s="5">
        <f>(Y4-AC4)/1.18*0.92</f>
        <v/>
      </c>
      <c r="AE4" s="5" t="n"/>
      <c r="AF4" s="5">
        <f>W4+X4</f>
        <v/>
      </c>
      <c r="AG4" s="5" t="n"/>
      <c r="AH4" s="13" t="n">
        <v>0</v>
      </c>
      <c r="AI4" s="13" t="n">
        <v>19509.44067796611</v>
      </c>
      <c r="AJ4" s="5" t="n"/>
      <c r="AL4" s="5" t="n"/>
      <c r="AM4" s="5" t="n">
        <v>99990</v>
      </c>
      <c r="AN4" s="5">
        <f>Y4-AM4</f>
        <v/>
      </c>
      <c r="AO4" s="5" t="n"/>
      <c r="AP4" s="5">
        <f>U4-AL4</f>
        <v/>
      </c>
      <c r="AQ4" s="20" t="n">
        <v>0</v>
      </c>
      <c r="AR4" s="20" t="n">
        <v>19509.44067796611</v>
      </c>
      <c r="AT4" s="3" t="n">
        <v>0</v>
      </c>
      <c r="AV4" s="5">
        <f>ROUNDUP((AT4/8)*80,0)</f>
        <v/>
      </c>
      <c r="AX4" s="38">
        <f>AV4*W4</f>
        <v/>
      </c>
      <c r="BA4" s="3" t="n">
        <v>0</v>
      </c>
      <c r="BB4" s="3" t="n">
        <v>0</v>
      </c>
      <c r="BC4" s="3" t="n">
        <v>0</v>
      </c>
      <c r="BD4" s="3">
        <f>BC4+BB4+BA4</f>
        <v/>
      </c>
      <c r="BE4" s="3" t="n">
        <v>0</v>
      </c>
      <c r="BF4" s="3" t="n">
        <v>0</v>
      </c>
      <c r="BH4" s="3">
        <f>ROUNDUP(BD4*1.85,0)</f>
        <v/>
      </c>
      <c r="BJ4" s="38">
        <f>BH4*V4</f>
        <v/>
      </c>
      <c r="BL4" s="3">
        <f>U4*1.18</f>
        <v/>
      </c>
    </row>
    <row r="5">
      <c r="A5" s="1" t="inlineStr">
        <is>
          <t>82SA00B2IN</t>
        </is>
      </c>
      <c r="B5" s="1">
        <f>IF(BL5&lt;40000,"Entry",IF(BL5&gt;65000,"Premium","Mainstream"))</f>
        <v/>
      </c>
      <c r="C5" s="1" t="inlineStr">
        <is>
          <t>Premium</t>
        </is>
      </c>
      <c r="D5" s="1" t="inlineStr">
        <is>
          <t>i7 OS 6GB Graphics Office</t>
        </is>
      </c>
      <c r="E5" s="1" t="inlineStr">
        <is>
          <t>Gaming</t>
        </is>
      </c>
      <c r="F5" s="1" t="inlineStr">
        <is>
          <t>IP Gaming 3</t>
        </is>
      </c>
      <c r="G5" s="1" t="inlineStr">
        <is>
          <t>IdeaPad Gaming 3 16IAH7</t>
        </is>
      </c>
      <c r="H5" s="1" t="inlineStr">
        <is>
          <t>i7</t>
        </is>
      </c>
      <c r="I5" s="1" t="inlineStr">
        <is>
          <t>12th Gen</t>
        </is>
      </c>
      <c r="J5" s="1" t="inlineStr">
        <is>
          <t>i7-12700H</t>
        </is>
      </c>
      <c r="K5" s="1" t="inlineStr">
        <is>
          <t>16GB</t>
        </is>
      </c>
      <c r="L5" s="1" t="inlineStr">
        <is>
          <t>512GB SSD</t>
        </is>
      </c>
      <c r="M5" s="1" t="inlineStr">
        <is>
          <t>Win11</t>
        </is>
      </c>
      <c r="N5" s="1" t="inlineStr">
        <is>
          <t>Office 2021</t>
        </is>
      </c>
      <c r="O5" s="1" t="inlineStr">
        <is>
          <t>RTX 3060 6GB</t>
        </is>
      </c>
      <c r="P5" s="1" t="inlineStr">
        <is>
          <t>16_WUXGA_AG_350N_165_N_SRGB</t>
        </is>
      </c>
      <c r="Q5" s="1" t="inlineStr">
        <is>
          <t>1 Yr Onsite + 1 Yr PC + 1 Yr ADP</t>
        </is>
      </c>
      <c r="R5" s="1" t="inlineStr">
        <is>
          <t>Zero GTN</t>
        </is>
      </c>
      <c r="S5" s="1" t="n">
        <v>725</v>
      </c>
      <c r="T5" s="2">
        <f>U5*0.98*0.98</f>
        <v/>
      </c>
      <c r="U5" s="13" t="n">
        <v>79035.2646143203</v>
      </c>
      <c r="V5" s="13" t="n">
        <v>0</v>
      </c>
      <c r="W5" s="13" t="n">
        <v>0</v>
      </c>
      <c r="X5" s="13" t="n"/>
      <c r="Y5" s="2">
        <f>(U5*0.98-S5-V5-W5-X5)*1.18/0.92</f>
        <v/>
      </c>
      <c r="Z5" s="18" t="n">
        <v>97990</v>
      </c>
      <c r="AA5" s="5" t="n"/>
      <c r="AB5" s="5" t="n"/>
      <c r="AC5" s="14" t="n">
        <v>0</v>
      </c>
      <c r="AD5" s="5" t="n">
        <v>0</v>
      </c>
      <c r="AF5" s="5">
        <f>W5+X5</f>
        <v/>
      </c>
      <c r="AH5" s="13" t="n">
        <v>0</v>
      </c>
      <c r="AI5" s="13" t="n"/>
      <c r="AL5" s="5" t="n"/>
      <c r="AM5" s="5" t="n">
        <v>98413.99999999999</v>
      </c>
      <c r="AN5" s="5">
        <f>Y5-AM5</f>
        <v/>
      </c>
      <c r="AO5" s="5" t="n"/>
      <c r="AP5" s="5">
        <f>U5-AL5</f>
        <v/>
      </c>
      <c r="AQ5" s="20" t="n">
        <v>0</v>
      </c>
      <c r="AR5" s="20" t="n"/>
      <c r="AT5" s="3" t="n">
        <v>0</v>
      </c>
      <c r="AV5" s="5">
        <f>ROUNDUP((AT5/8)*80,0)</f>
        <v/>
      </c>
      <c r="AX5" s="38">
        <f>AV5*W5</f>
        <v/>
      </c>
      <c r="BA5" s="3" t="n">
        <v>1</v>
      </c>
      <c r="BB5" s="3" t="n">
        <v>0</v>
      </c>
      <c r="BC5" s="3" t="n">
        <v>0</v>
      </c>
      <c r="BD5" s="3">
        <f>BC5+BB5+BA5</f>
        <v/>
      </c>
      <c r="BE5" s="3" t="n">
        <v>2</v>
      </c>
      <c r="BF5" s="3" t="n">
        <v>0</v>
      </c>
      <c r="BH5" s="3">
        <f>ROUNDUP(BD5*1.85,0)</f>
        <v/>
      </c>
      <c r="BJ5" s="38">
        <f>BH5*V5</f>
        <v/>
      </c>
      <c r="BL5" s="3">
        <f>U5*1.18</f>
        <v/>
      </c>
    </row>
    <row r="6">
      <c r="A6" s="1" t="inlineStr">
        <is>
          <t>82SA00H2IN</t>
        </is>
      </c>
      <c r="B6" s="1">
        <f>IF(BL6&lt;40000,"Entry",IF(BL6&gt;65000,"Premium","Mainstream"))</f>
        <v/>
      </c>
      <c r="C6" s="1" t="inlineStr">
        <is>
          <t>Premium</t>
        </is>
      </c>
      <c r="D6" s="1" t="inlineStr">
        <is>
          <t>i7 OS 6GB Graphics Office</t>
        </is>
      </c>
      <c r="E6" s="1" t="inlineStr">
        <is>
          <t>Gaming</t>
        </is>
      </c>
      <c r="F6" s="1" t="inlineStr">
        <is>
          <t>IP Gaming 3</t>
        </is>
      </c>
      <c r="G6" s="1" t="inlineStr">
        <is>
          <t>IdeaPad Gaming 3 16IAH7</t>
        </is>
      </c>
      <c r="H6" s="1" t="inlineStr">
        <is>
          <t>i7</t>
        </is>
      </c>
      <c r="I6" s="1" t="inlineStr">
        <is>
          <t>12th Gen</t>
        </is>
      </c>
      <c r="J6" s="1" t="inlineStr">
        <is>
          <t>i7-12700H</t>
        </is>
      </c>
      <c r="K6" s="1" t="inlineStr">
        <is>
          <t>16GB</t>
        </is>
      </c>
      <c r="L6" s="1" t="inlineStr">
        <is>
          <t>512GB SSD</t>
        </is>
      </c>
      <c r="M6" s="1" t="inlineStr">
        <is>
          <t>Win11</t>
        </is>
      </c>
      <c r="N6" s="1" t="inlineStr">
        <is>
          <t>Office 2021</t>
        </is>
      </c>
      <c r="O6" s="1" t="inlineStr">
        <is>
          <t>RTX 3060 6GB</t>
        </is>
      </c>
      <c r="P6" s="1" t="inlineStr">
        <is>
          <t>16_WUXGA_AG_350N_165_N_SRGB</t>
        </is>
      </c>
      <c r="Q6" s="1" t="inlineStr">
        <is>
          <t>1 Yr Onsite + 1 Yr PC + 1 Yr ADP</t>
        </is>
      </c>
      <c r="R6" s="1" t="inlineStr">
        <is>
          <t>Zero GTN</t>
        </is>
      </c>
      <c r="S6" s="1" t="n">
        <v>725</v>
      </c>
      <c r="T6" s="2">
        <f>U6*0.98*0.98</f>
        <v/>
      </c>
      <c r="U6" s="13" t="n">
        <v>79035.2646143203</v>
      </c>
      <c r="V6" s="13" t="n">
        <v>0</v>
      </c>
      <c r="W6" s="13" t="n">
        <v>0</v>
      </c>
      <c r="X6" s="13" t="n"/>
      <c r="Y6" s="2">
        <f>(U6*0.98-S6-V6-W6-X6)*1.18/0.92</f>
        <v/>
      </c>
      <c r="Z6" s="18" t="n">
        <v>97990</v>
      </c>
      <c r="AA6" s="5" t="n"/>
      <c r="AB6" s="5" t="n"/>
      <c r="AC6" s="14" t="n">
        <v>0</v>
      </c>
      <c r="AD6" s="5" t="n">
        <v>0</v>
      </c>
      <c r="AE6" s="5" t="n"/>
      <c r="AF6" s="5">
        <f>W6+X6</f>
        <v/>
      </c>
      <c r="AG6" s="5" t="n"/>
      <c r="AH6" s="13" t="n">
        <v>0</v>
      </c>
      <c r="AI6" s="13" t="n"/>
      <c r="AJ6" s="5" t="n"/>
      <c r="AL6" s="5" t="n"/>
      <c r="AM6" s="5" t="n">
        <v>98413.99999999999</v>
      </c>
      <c r="AN6" s="5">
        <f>Y6-AM6</f>
        <v/>
      </c>
      <c r="AO6" s="5" t="n"/>
      <c r="AP6" s="5">
        <f>U6-AL6</f>
        <v/>
      </c>
      <c r="AQ6" s="20" t="n">
        <v>0</v>
      </c>
      <c r="AR6" s="20" t="n"/>
      <c r="AT6" s="3" t="n">
        <v>0</v>
      </c>
      <c r="AV6" s="5">
        <f>ROUNDUP((AT6/8)*80,0)</f>
        <v/>
      </c>
      <c r="AX6" s="38">
        <f>AV6*W6</f>
        <v/>
      </c>
      <c r="BA6" s="3" t="n">
        <v>0</v>
      </c>
      <c r="BB6" s="3" t="n">
        <v>0</v>
      </c>
      <c r="BC6" s="3" t="n">
        <v>0</v>
      </c>
      <c r="BD6" s="3">
        <f>BC6+BB6+BA6</f>
        <v/>
      </c>
      <c r="BE6" s="3" t="n">
        <v>0</v>
      </c>
      <c r="BF6" s="3" t="n">
        <v>0</v>
      </c>
      <c r="BH6" s="3">
        <f>ROUNDUP(BD6*1.85,0)</f>
        <v/>
      </c>
      <c r="BJ6" s="38">
        <f>BH6*V6</f>
        <v/>
      </c>
      <c r="BL6" s="3">
        <f>U6*1.18</f>
        <v/>
      </c>
    </row>
    <row r="7">
      <c r="A7" s="1" t="inlineStr">
        <is>
          <t>82K201UNIN</t>
        </is>
      </c>
      <c r="B7" s="1">
        <f>IF(BL7&lt;40000,"Entry",IF(BL7&gt;65000,"Premium","Mainstream"))</f>
        <v/>
      </c>
      <c r="C7" s="1" t="inlineStr">
        <is>
          <t>Premium</t>
        </is>
      </c>
      <c r="D7" s="1" t="inlineStr">
        <is>
          <t>R7 OS 6GB Graphics Office</t>
        </is>
      </c>
      <c r="E7" s="1" t="inlineStr">
        <is>
          <t>Gaming</t>
        </is>
      </c>
      <c r="F7" s="1" t="inlineStr">
        <is>
          <t>IP Gaming 3</t>
        </is>
      </c>
      <c r="G7" s="1" t="inlineStr">
        <is>
          <t>IdeaPad Gaming 3 15ACH6</t>
        </is>
      </c>
      <c r="H7" s="1" t="inlineStr">
        <is>
          <t>R7</t>
        </is>
      </c>
      <c r="I7" s="1" t="inlineStr">
        <is>
          <t>5XXXH</t>
        </is>
      </c>
      <c r="J7" s="1" t="inlineStr">
        <is>
          <t>Ryzen 7 5800H</t>
        </is>
      </c>
      <c r="K7" s="1" t="inlineStr">
        <is>
          <t>16GB</t>
        </is>
      </c>
      <c r="L7" s="1" t="inlineStr">
        <is>
          <t>512GB SSD</t>
        </is>
      </c>
      <c r="M7" s="1" t="inlineStr">
        <is>
          <t>Win11</t>
        </is>
      </c>
      <c r="N7" s="1" t="inlineStr">
        <is>
          <t>Office 2021</t>
        </is>
      </c>
      <c r="O7" s="1" t="inlineStr">
        <is>
          <t>RTX 3060 6GB</t>
        </is>
      </c>
      <c r="P7" s="1" t="inlineStr">
        <is>
          <t>15.6FHD_AG_300N_165_N</t>
        </is>
      </c>
      <c r="Q7" s="1" t="inlineStr">
        <is>
          <t>1 Yr Onsite + 1 Yr PC + 1 Yr ADP</t>
        </is>
      </c>
      <c r="R7" s="1" t="inlineStr">
        <is>
          <t>Zero GTN</t>
        </is>
      </c>
      <c r="S7" s="1" t="n">
        <v>725</v>
      </c>
      <c r="T7" s="2">
        <f>U7*0.98*0.98</f>
        <v/>
      </c>
      <c r="U7" s="13" t="n">
        <v>65788.42372881356</v>
      </c>
      <c r="V7" s="13" t="n">
        <v>1101.892542372865</v>
      </c>
      <c r="W7" s="13" t="n">
        <v>0</v>
      </c>
      <c r="X7" s="13" t="n"/>
      <c r="Y7" s="2">
        <f>(U7*0.98-S7-V7-W7-X7)*1.18/0.92</f>
        <v/>
      </c>
      <c r="Z7" s="18" t="n">
        <v>79990</v>
      </c>
      <c r="AA7" s="5" t="n"/>
      <c r="AB7" s="5" t="n"/>
      <c r="AC7" s="14" t="n">
        <v>0</v>
      </c>
      <c r="AD7" s="5" t="n">
        <v>0</v>
      </c>
      <c r="AE7" s="5" t="n"/>
      <c r="AF7" s="5">
        <f>W7+X7</f>
        <v/>
      </c>
      <c r="AG7" s="5" t="n"/>
      <c r="AH7" s="13" t="n">
        <v>1101.892542372865</v>
      </c>
      <c r="AI7" s="13" t="n"/>
      <c r="AJ7" s="5" t="n"/>
      <c r="AL7" s="5" t="n"/>
      <c r="AM7" s="5" t="n">
        <v>80350.00000000001</v>
      </c>
      <c r="AN7" s="5">
        <f>Y7-AM7</f>
        <v/>
      </c>
      <c r="AO7" s="5" t="n"/>
      <c r="AP7" s="5">
        <f>U7-AL7</f>
        <v/>
      </c>
      <c r="AQ7" s="20" t="n">
        <v>1101.892542372865</v>
      </c>
      <c r="AR7" s="20" t="n"/>
      <c r="AT7" s="3" t="n">
        <v>1</v>
      </c>
      <c r="AV7" s="5">
        <f>ROUNDUP((AT7/8)*80,0)</f>
        <v/>
      </c>
      <c r="AX7" s="38">
        <f>AV7*W7</f>
        <v/>
      </c>
      <c r="BA7" s="3" t="n">
        <v>0</v>
      </c>
      <c r="BB7" s="3" t="n">
        <v>0</v>
      </c>
      <c r="BC7" s="3" t="n">
        <v>10</v>
      </c>
      <c r="BD7" s="3">
        <f>BC7+BB7+BA7</f>
        <v/>
      </c>
      <c r="BE7" s="3" t="n">
        <v>42</v>
      </c>
      <c r="BF7" s="3" t="n">
        <v>0</v>
      </c>
      <c r="BH7" s="3">
        <f>ROUNDUP(BD7*1.85,0)</f>
        <v/>
      </c>
      <c r="BJ7" s="38">
        <f>BH7*V7</f>
        <v/>
      </c>
      <c r="BL7" s="3">
        <f>U7*1.18</f>
        <v/>
      </c>
    </row>
    <row r="8">
      <c r="A8" s="1" t="inlineStr">
        <is>
          <t>82H802XXIN</t>
        </is>
      </c>
      <c r="B8" s="1">
        <f>IF(BL8&lt;40000,"Entry",IF(BL8&gt;65000,"Premium","Mainstream"))</f>
        <v/>
      </c>
      <c r="C8" s="1" t="inlineStr">
        <is>
          <t>Mainstream</t>
        </is>
      </c>
      <c r="D8" s="1" t="inlineStr">
        <is>
          <t>i5 OS Office</t>
        </is>
      </c>
      <c r="E8" s="1" t="inlineStr">
        <is>
          <t>Thin &amp; Light</t>
        </is>
      </c>
      <c r="F8" s="1" t="inlineStr">
        <is>
          <t>Slim 3</t>
        </is>
      </c>
      <c r="G8" s="1" t="inlineStr">
        <is>
          <t>IP 3 15ITL6</t>
        </is>
      </c>
      <c r="H8" s="1" t="inlineStr">
        <is>
          <t>i5</t>
        </is>
      </c>
      <c r="I8" s="1" t="inlineStr">
        <is>
          <t>11th Gen</t>
        </is>
      </c>
      <c r="J8" s="1" t="inlineStr">
        <is>
          <t>i5-1135G7</t>
        </is>
      </c>
      <c r="K8" s="1" t="inlineStr">
        <is>
          <t>16GB</t>
        </is>
      </c>
      <c r="L8" s="1" t="inlineStr">
        <is>
          <t>512GB SSD</t>
        </is>
      </c>
      <c r="M8" s="1" t="inlineStr">
        <is>
          <t>Win11</t>
        </is>
      </c>
      <c r="N8" s="1" t="inlineStr">
        <is>
          <t>Office 2021</t>
        </is>
      </c>
      <c r="O8" s="1" t="inlineStr">
        <is>
          <t>INTEGRATED_GRAPHICS</t>
        </is>
      </c>
      <c r="P8" s="1" t="inlineStr">
        <is>
          <t>15.6FHD_TN_AG_250N_N</t>
        </is>
      </c>
      <c r="Q8" s="1" t="inlineStr">
        <is>
          <t>2 Yr Warranty</t>
        </is>
      </c>
      <c r="R8" s="7" t="inlineStr">
        <is>
          <t>Zero GTN</t>
        </is>
      </c>
      <c r="S8" s="1" t="n">
        <v>725</v>
      </c>
      <c r="T8" s="2" t="n">
        <v>45651.55593220339</v>
      </c>
      <c r="U8" s="13" t="n">
        <v>47533.89830508475</v>
      </c>
      <c r="V8" s="13" t="n">
        <v>1269.406779661011</v>
      </c>
      <c r="W8" s="13" t="n">
        <v>0</v>
      </c>
      <c r="X8" s="13" t="n"/>
      <c r="Y8" s="2">
        <f>(U8*0.98-S8-V8-W8-X8)*1.18/0.92</f>
        <v/>
      </c>
      <c r="Z8" s="18">
        <f>AC8</f>
        <v/>
      </c>
      <c r="AA8" s="5" t="inlineStr">
        <is>
          <t>Ok</t>
        </is>
      </c>
      <c r="AB8" s="5" t="n"/>
      <c r="AC8" s="14" t="n">
        <v>46990</v>
      </c>
      <c r="AD8" s="5" t="n">
        <v>0</v>
      </c>
      <c r="AE8" s="5" t="n"/>
      <c r="AF8" s="5">
        <f>W8+X8</f>
        <v/>
      </c>
      <c r="AG8" s="5" t="n"/>
      <c r="AH8" s="13" t="n">
        <v>1269.406779661011</v>
      </c>
      <c r="AI8" s="13" t="n">
        <v>0</v>
      </c>
      <c r="AJ8" s="5" t="n"/>
      <c r="AL8" s="5" t="n"/>
      <c r="AM8" s="5" t="n">
        <v>57190</v>
      </c>
      <c r="AN8" s="5">
        <f>Y8-AM8</f>
        <v/>
      </c>
      <c r="AO8" s="5" t="n"/>
      <c r="AP8" s="5">
        <f>U8-AL8</f>
        <v/>
      </c>
      <c r="AQ8" s="20" t="n">
        <v>1269.406779661011</v>
      </c>
      <c r="AR8" s="20" t="n">
        <v>0</v>
      </c>
      <c r="AT8" s="3" t="n">
        <v>1</v>
      </c>
      <c r="AV8" s="5">
        <f>ROUNDUP((AT8/8)*80,0)</f>
        <v/>
      </c>
      <c r="AX8" s="38">
        <f>AV8*W8</f>
        <v/>
      </c>
      <c r="BA8" s="3" t="n">
        <v>0</v>
      </c>
      <c r="BB8" s="3" t="n">
        <v>0</v>
      </c>
      <c r="BC8" s="3" t="n">
        <v>0</v>
      </c>
      <c r="BD8" s="3">
        <f>BC8+BB8+BA8</f>
        <v/>
      </c>
      <c r="BE8" s="3" t="n">
        <v>0</v>
      </c>
      <c r="BF8" s="3" t="n">
        <v>0</v>
      </c>
      <c r="BH8" s="3">
        <f>ROUNDUP(BD8*1.85,0)</f>
        <v/>
      </c>
      <c r="BJ8" s="38">
        <f>BH8*V8</f>
        <v/>
      </c>
      <c r="BL8" s="3">
        <f>U8*1.18</f>
        <v/>
      </c>
    </row>
    <row r="9">
      <c r="A9" s="1" t="inlineStr">
        <is>
          <t>82H802KVIN</t>
        </is>
      </c>
      <c r="B9" s="1">
        <f>IF(BL9&lt;40000,"Entry",IF(BL9&gt;65000,"Premium","Mainstream"))</f>
        <v/>
      </c>
      <c r="C9" s="1" t="inlineStr">
        <is>
          <t>Mainstream</t>
        </is>
      </c>
      <c r="D9" s="1" t="inlineStr">
        <is>
          <t>i5 OS Office</t>
        </is>
      </c>
      <c r="E9" s="1" t="inlineStr">
        <is>
          <t>Thin &amp; Light</t>
        </is>
      </c>
      <c r="F9" s="1" t="inlineStr">
        <is>
          <t>Slim 3</t>
        </is>
      </c>
      <c r="G9" s="1" t="inlineStr">
        <is>
          <t>IP 3 15ITL6</t>
        </is>
      </c>
      <c r="H9" s="1" t="inlineStr">
        <is>
          <t>i5</t>
        </is>
      </c>
      <c r="I9" s="1" t="inlineStr">
        <is>
          <t>11th Gen</t>
        </is>
      </c>
      <c r="J9" s="1" t="inlineStr">
        <is>
          <t>i5-1135G7</t>
        </is>
      </c>
      <c r="K9" s="1" t="inlineStr">
        <is>
          <t>8GB</t>
        </is>
      </c>
      <c r="L9" s="1" t="inlineStr">
        <is>
          <t>512GB SSD</t>
        </is>
      </c>
      <c r="M9" s="1" t="inlineStr">
        <is>
          <t>Win11</t>
        </is>
      </c>
      <c r="N9" s="1" t="inlineStr">
        <is>
          <t>Office 2021</t>
        </is>
      </c>
      <c r="O9" s="1" t="inlineStr">
        <is>
          <t>INTEGRATED_GRAPHICS</t>
        </is>
      </c>
      <c r="P9" s="1" t="inlineStr">
        <is>
          <t>15.6FHD_TN_AG_250N_N</t>
        </is>
      </c>
      <c r="Q9" s="1" t="inlineStr">
        <is>
          <t>2 Yr Warranty</t>
        </is>
      </c>
      <c r="R9" s="7" t="inlineStr">
        <is>
          <t>Zero GTN</t>
        </is>
      </c>
      <c r="S9" s="1" t="n">
        <v>725</v>
      </c>
      <c r="T9" s="2" t="n">
        <v>42722.30337627119</v>
      </c>
      <c r="U9" s="13" t="n">
        <v>44483.86440677966</v>
      </c>
      <c r="V9" s="13" t="n">
        <v>1160.932203389828</v>
      </c>
      <c r="W9" s="13" t="n">
        <v>0</v>
      </c>
      <c r="X9" s="13" t="n"/>
      <c r="Y9" s="2">
        <f>(U9*0.98-S9-V9-W9-X9)*1.18/0.92</f>
        <v/>
      </c>
      <c r="Z9" s="18">
        <f>AC9</f>
        <v/>
      </c>
      <c r="AA9" s="5" t="inlineStr">
        <is>
          <t>Ok</t>
        </is>
      </c>
      <c r="AB9" s="5" t="n"/>
      <c r="AC9" s="14" t="n">
        <v>43990</v>
      </c>
      <c r="AD9" s="5" t="n">
        <v>0</v>
      </c>
      <c r="AE9" s="5" t="n"/>
      <c r="AF9" s="5">
        <f>W9+X9</f>
        <v/>
      </c>
      <c r="AG9" s="5" t="n"/>
      <c r="AH9" s="13" t="n">
        <v>1160.932203389828</v>
      </c>
      <c r="AI9" s="13" t="n">
        <v>0</v>
      </c>
      <c r="AJ9" s="5" t="n"/>
      <c r="AL9" s="5" t="n"/>
      <c r="AM9" s="5" t="n">
        <v>53495.37043478261</v>
      </c>
      <c r="AN9" s="5">
        <f>Y9-AM9</f>
        <v/>
      </c>
      <c r="AO9" s="5" t="n"/>
      <c r="AP9" s="5">
        <f>U9-AL9</f>
        <v/>
      </c>
      <c r="AQ9" s="20" t="n">
        <v>1160.932203389828</v>
      </c>
      <c r="AR9" s="20" t="n">
        <v>0</v>
      </c>
      <c r="AT9" s="3" t="n">
        <v>0</v>
      </c>
      <c r="AV9" s="5">
        <f>ROUNDUP((AT9/8)*80,0)</f>
        <v/>
      </c>
      <c r="AX9" s="38">
        <f>AV9*W9</f>
        <v/>
      </c>
      <c r="BA9" s="3" t="n">
        <v>0</v>
      </c>
      <c r="BB9" s="3" t="n">
        <v>0</v>
      </c>
      <c r="BC9" s="3" t="n">
        <v>0</v>
      </c>
      <c r="BD9" s="3">
        <f>BC9+BB9+BA9</f>
        <v/>
      </c>
      <c r="BE9" s="3" t="n">
        <v>0</v>
      </c>
      <c r="BF9" s="3" t="n">
        <v>0</v>
      </c>
      <c r="BH9" s="3">
        <f>ROUNDUP(BD9*1.85,0)</f>
        <v/>
      </c>
      <c r="BJ9" s="38">
        <f>BH9*V9</f>
        <v/>
      </c>
      <c r="BL9" s="3">
        <f>U9*1.18</f>
        <v/>
      </c>
    </row>
    <row r="10">
      <c r="A10" s="1" t="inlineStr">
        <is>
          <t>82H802KYIN</t>
        </is>
      </c>
      <c r="B10" s="1">
        <f>IF(BL10&lt;40000,"Entry",IF(BL10&gt;65000,"Premium","Mainstream"))</f>
        <v/>
      </c>
      <c r="C10" s="1" t="inlineStr">
        <is>
          <t>Mainstream</t>
        </is>
      </c>
      <c r="D10" s="1" t="inlineStr">
        <is>
          <t>i5 OS Office</t>
        </is>
      </c>
      <c r="E10" s="1" t="inlineStr">
        <is>
          <t>Thin &amp; Light</t>
        </is>
      </c>
      <c r="F10" s="1" t="inlineStr">
        <is>
          <t>Slim 3</t>
        </is>
      </c>
      <c r="G10" s="1" t="inlineStr">
        <is>
          <t>IP 3 15ITL6</t>
        </is>
      </c>
      <c r="H10" s="1" t="inlineStr">
        <is>
          <t>i5</t>
        </is>
      </c>
      <c r="I10" s="1" t="inlineStr">
        <is>
          <t>11th Gen</t>
        </is>
      </c>
      <c r="J10" s="1" t="inlineStr">
        <is>
          <t>i5-1135G7</t>
        </is>
      </c>
      <c r="K10" s="1" t="inlineStr">
        <is>
          <t>8GB</t>
        </is>
      </c>
      <c r="L10" s="1" t="inlineStr">
        <is>
          <t>512GB SSD</t>
        </is>
      </c>
      <c r="M10" s="1" t="inlineStr">
        <is>
          <t>Win11</t>
        </is>
      </c>
      <c r="N10" s="1" t="inlineStr">
        <is>
          <t>Office 2021</t>
        </is>
      </c>
      <c r="O10" s="1" t="inlineStr">
        <is>
          <t>INTEGRATED_GRAPHICS</t>
        </is>
      </c>
      <c r="P10" s="1" t="inlineStr">
        <is>
          <t>15.6FHD_TN_AG_250N_N</t>
        </is>
      </c>
      <c r="Q10" s="1" t="inlineStr">
        <is>
          <t>2 Yr Warranty</t>
        </is>
      </c>
      <c r="R10" s="7" t="inlineStr">
        <is>
          <t>Zero GTN</t>
        </is>
      </c>
      <c r="S10" s="1" t="n">
        <v>725</v>
      </c>
      <c r="T10" s="2" t="n">
        <v>41351.26610169492</v>
      </c>
      <c r="U10" s="13" t="n">
        <v>43056.29539951574</v>
      </c>
      <c r="V10" s="13" t="n">
        <v>0</v>
      </c>
      <c r="W10" s="13" t="n">
        <v>0</v>
      </c>
      <c r="X10" s="13" t="n"/>
      <c r="Y10" s="2">
        <f>(U10*0.98-S10-V10-W10-X10)*1.18/0.92</f>
        <v/>
      </c>
      <c r="Z10" s="18">
        <f>AC10</f>
        <v/>
      </c>
      <c r="AA10" s="5" t="inlineStr">
        <is>
          <t>Ok</t>
        </is>
      </c>
      <c r="AB10" s="5" t="n"/>
      <c r="AC10" s="14" t="n">
        <v>43990</v>
      </c>
      <c r="AD10" s="5" t="n">
        <v>0</v>
      </c>
      <c r="AE10" s="5" t="n"/>
      <c r="AF10" s="5">
        <f>W10+X10</f>
        <v/>
      </c>
      <c r="AG10" s="5" t="n"/>
      <c r="AH10" s="13" t="n">
        <v>0</v>
      </c>
      <c r="AI10" s="13" t="n">
        <v>0</v>
      </c>
      <c r="AJ10" s="5" t="n"/>
      <c r="AL10" s="5" t="n"/>
      <c r="AM10" s="5" t="n">
        <v>53190</v>
      </c>
      <c r="AN10" s="5">
        <f>Y10-AM10</f>
        <v/>
      </c>
      <c r="AO10" s="5" t="n"/>
      <c r="AP10" s="5">
        <f>U10-AL10</f>
        <v/>
      </c>
      <c r="AQ10" s="20" t="n">
        <v>0</v>
      </c>
      <c r="AR10" s="20" t="n">
        <v>0</v>
      </c>
      <c r="AT10" s="3" t="n">
        <v>0</v>
      </c>
      <c r="AV10" s="5">
        <f>ROUNDUP((AT10/8)*80,0)</f>
        <v/>
      </c>
      <c r="AX10" s="38">
        <f>AV10*W10</f>
        <v/>
      </c>
      <c r="BA10" s="3" t="n">
        <v>0</v>
      </c>
      <c r="BB10" s="3" t="n">
        <v>-3</v>
      </c>
      <c r="BC10" s="3" t="n">
        <v>0</v>
      </c>
      <c r="BD10" s="3">
        <f>BC10+BB10+BA10</f>
        <v/>
      </c>
      <c r="BE10" s="3" t="n">
        <v>2</v>
      </c>
      <c r="BF10" s="3" t="n">
        <v>0</v>
      </c>
      <c r="BH10" s="3">
        <f>ROUNDUP(BD10*1.85,0)</f>
        <v/>
      </c>
      <c r="BJ10" s="38">
        <f>BH10*V10</f>
        <v/>
      </c>
      <c r="BL10" s="3">
        <f>U10*1.18</f>
        <v/>
      </c>
    </row>
    <row r="11">
      <c r="A11" s="1" t="inlineStr">
        <is>
          <t>82H802XTIN</t>
        </is>
      </c>
      <c r="B11" s="1">
        <f>IF(BL11&lt;40000,"Entry",IF(BL11&gt;65000,"Premium","Mainstream"))</f>
        <v/>
      </c>
      <c r="C11" s="1" t="inlineStr">
        <is>
          <t>Mainstream</t>
        </is>
      </c>
      <c r="D11" s="1" t="inlineStr">
        <is>
          <t>i5 OS Office</t>
        </is>
      </c>
      <c r="E11" s="1" t="inlineStr">
        <is>
          <t>Thin &amp; Light</t>
        </is>
      </c>
      <c r="F11" s="1" t="inlineStr">
        <is>
          <t>Slim 3</t>
        </is>
      </c>
      <c r="G11" s="1" t="inlineStr">
        <is>
          <t>IP 3 15ITL6</t>
        </is>
      </c>
      <c r="H11" s="1" t="inlineStr">
        <is>
          <t>i5</t>
        </is>
      </c>
      <c r="I11" s="1" t="inlineStr">
        <is>
          <t>11th Gen</t>
        </is>
      </c>
      <c r="J11" s="1" t="inlineStr">
        <is>
          <t>i5-1135G7</t>
        </is>
      </c>
      <c r="K11" s="1" t="inlineStr">
        <is>
          <t>8GB</t>
        </is>
      </c>
      <c r="L11" s="1" t="inlineStr">
        <is>
          <t>512GB SSD</t>
        </is>
      </c>
      <c r="M11" s="1" t="inlineStr">
        <is>
          <t>Win11</t>
        </is>
      </c>
      <c r="N11" s="1" t="inlineStr">
        <is>
          <t>Office 2021</t>
        </is>
      </c>
      <c r="O11" s="1" t="inlineStr">
        <is>
          <t>INTEGRATED_GRAPHICS</t>
        </is>
      </c>
      <c r="P11" s="1" t="inlineStr">
        <is>
          <t>15.6FHD_TN_AG_250N_N</t>
        </is>
      </c>
      <c r="Q11" s="1" t="inlineStr">
        <is>
          <t>2 Yr Warranty</t>
        </is>
      </c>
      <c r="R11" s="1" t="inlineStr">
        <is>
          <t>Zero GTN</t>
        </is>
      </c>
      <c r="S11" s="1" t="n">
        <v>725</v>
      </c>
      <c r="T11" s="2" t="n">
        <v>42559.63766101695</v>
      </c>
      <c r="U11" s="13" t="n">
        <v>44314.49152542373</v>
      </c>
      <c r="V11" s="13" t="n">
        <v>1233.032203389826</v>
      </c>
      <c r="W11" s="13" t="n">
        <v>0</v>
      </c>
      <c r="X11" s="13" t="n"/>
      <c r="Y11" s="2">
        <f>(U11*0.98-S11-V11-W11-X11)*1.18/0.92</f>
        <v/>
      </c>
      <c r="Z11" s="18">
        <f>AC11</f>
        <v/>
      </c>
      <c r="AA11" s="5" t="inlineStr">
        <is>
          <t>Ok</t>
        </is>
      </c>
      <c r="AB11" s="5" t="n"/>
      <c r="AC11" s="14" t="n">
        <v>43990</v>
      </c>
      <c r="AD11" s="5" t="n">
        <v>0</v>
      </c>
      <c r="AE11" s="5" t="n"/>
      <c r="AF11" s="5">
        <f>W11+X11</f>
        <v/>
      </c>
      <c r="AG11" s="5" t="n"/>
      <c r="AH11" s="13" t="n">
        <v>1233.032203389826</v>
      </c>
      <c r="AI11" s="13" t="n">
        <v>7173</v>
      </c>
      <c r="AJ11" s="5" t="n"/>
      <c r="AL11" s="5" t="n"/>
      <c r="AM11" s="5" t="n">
        <v>43989.84782608696</v>
      </c>
      <c r="AN11" s="5">
        <f>Y11-AM11</f>
        <v/>
      </c>
      <c r="AO11" s="5" t="n"/>
      <c r="AP11" s="5">
        <f>U11-AL11</f>
        <v/>
      </c>
      <c r="AQ11" s="20" t="n">
        <v>1233.032203389826</v>
      </c>
      <c r="AR11" s="20" t="n">
        <v>7173</v>
      </c>
      <c r="AT11" s="3" t="n">
        <v>0</v>
      </c>
      <c r="AV11" s="5">
        <f>ROUNDUP((AT11/8)*80,0)</f>
        <v/>
      </c>
      <c r="AX11" s="38">
        <f>AV11*W11</f>
        <v/>
      </c>
      <c r="BA11" s="3" t="n">
        <v>0</v>
      </c>
      <c r="BB11" s="3" t="n">
        <v>0</v>
      </c>
      <c r="BC11" s="3" t="n">
        <v>0</v>
      </c>
      <c r="BD11" s="3">
        <f>BC11+BB11+BA11</f>
        <v/>
      </c>
      <c r="BE11" s="3" t="n">
        <v>0</v>
      </c>
      <c r="BF11" s="3" t="n">
        <v>0</v>
      </c>
      <c r="BH11" s="3">
        <f>ROUNDUP(BD11*1.85,0)</f>
        <v/>
      </c>
      <c r="BJ11" s="38">
        <f>BH11*V11</f>
        <v/>
      </c>
      <c r="BL11" s="3">
        <f>U11*1.18</f>
        <v/>
      </c>
    </row>
    <row r="12">
      <c r="A12" s="1" t="inlineStr">
        <is>
          <t>82XV00F4IN</t>
        </is>
      </c>
      <c r="B12" s="1">
        <f>IF(BL12&lt;40000,"Entry",IF(BL12&gt;65000,"Premium","Mainstream"))</f>
        <v/>
      </c>
      <c r="C12" s="1" t="inlineStr">
        <is>
          <t>Premium</t>
        </is>
      </c>
      <c r="D12" s="1" t="inlineStr">
        <is>
          <t>i5 OS 4GB Graphics Office</t>
        </is>
      </c>
      <c r="E12" s="1" t="inlineStr">
        <is>
          <t>Gaming</t>
        </is>
      </c>
      <c r="F12" s="1" t="inlineStr">
        <is>
          <t>LOQ</t>
        </is>
      </c>
      <c r="G12" s="1" t="inlineStr">
        <is>
          <t>LOQ 15IRH8</t>
        </is>
      </c>
      <c r="H12" s="1" t="inlineStr">
        <is>
          <t>i5</t>
        </is>
      </c>
      <c r="I12" s="1" t="inlineStr">
        <is>
          <t>12th Gen</t>
        </is>
      </c>
      <c r="J12" s="1" t="inlineStr">
        <is>
          <t>i5-12450H</t>
        </is>
      </c>
      <c r="K12" s="1" t="inlineStr">
        <is>
          <t>16GB</t>
        </is>
      </c>
      <c r="L12" s="1" t="inlineStr">
        <is>
          <t>512GB SSD</t>
        </is>
      </c>
      <c r="M12" s="1" t="inlineStr">
        <is>
          <t>Windows 11</t>
        </is>
      </c>
      <c r="N12" s="1" t="inlineStr">
        <is>
          <t xml:space="preserve">OFFICE H&amp;S 2021  </t>
        </is>
      </c>
      <c r="O12" s="1" t="inlineStr">
        <is>
          <t>RTX 2050 4GB</t>
        </is>
      </c>
      <c r="P12" s="1" t="inlineStr">
        <is>
          <t>15.6FHD_AG_350N_144_N</t>
        </is>
      </c>
      <c r="Q12" s="1" t="inlineStr">
        <is>
          <t>1 Year Onsite</t>
        </is>
      </c>
      <c r="R12" s="1" t="inlineStr">
        <is>
          <t>Zero GTN</t>
        </is>
      </c>
      <c r="S12" s="1" t="n">
        <v>725</v>
      </c>
      <c r="T12" s="2">
        <f>U12*0.98*0.98</f>
        <v/>
      </c>
      <c r="U12" s="13" t="n">
        <v>59630.50847457627</v>
      </c>
      <c r="V12" s="13" t="n">
        <v>0</v>
      </c>
      <c r="W12" s="13" t="n">
        <v>10941.03389830508</v>
      </c>
      <c r="X12" s="13" t="n"/>
      <c r="Y12" s="2">
        <f>(U12*0.98-S12-V12-W12-X12)*1.18/0.92</f>
        <v/>
      </c>
      <c r="Z12" s="1" t="n">
        <v>59990</v>
      </c>
      <c r="AA12" s="5" t="n"/>
      <c r="AB12" s="5" t="n"/>
      <c r="AC12" s="14" t="n">
        <v>59990</v>
      </c>
      <c r="AD12" s="5">
        <f>(Y12-AC12)/1.18*0.92</f>
        <v/>
      </c>
      <c r="AE12" s="5" t="n"/>
      <c r="AF12" s="5">
        <f>W12+X12</f>
        <v/>
      </c>
      <c r="AG12" s="5" t="n"/>
      <c r="AH12" s="13" t="n">
        <v>0</v>
      </c>
      <c r="AI12" s="13" t="n">
        <v>10941.03389830508</v>
      </c>
      <c r="AJ12" s="5" t="n"/>
      <c r="AL12" s="5" t="n"/>
      <c r="AM12" s="5" t="n">
        <v>59990</v>
      </c>
      <c r="AN12" s="5">
        <f>Y12-AM12</f>
        <v/>
      </c>
      <c r="AO12" s="5" t="n"/>
      <c r="AP12" s="5">
        <f>U12-AL12</f>
        <v/>
      </c>
      <c r="AQ12" s="20" t="n">
        <v>0</v>
      </c>
      <c r="AR12" s="20" t="n">
        <v>10941.03389830508</v>
      </c>
      <c r="AT12" s="3" t="n">
        <v>81</v>
      </c>
      <c r="AV12" s="5">
        <f>ROUNDUP((AT12/8)*80,0)</f>
        <v/>
      </c>
      <c r="AX12" s="38">
        <f>AV12*W12</f>
        <v/>
      </c>
      <c r="BA12" s="3" t="n">
        <v>0</v>
      </c>
      <c r="BB12" s="3" t="n">
        <v>353</v>
      </c>
      <c r="BC12" s="3" t="n">
        <v>30</v>
      </c>
      <c r="BD12" s="3">
        <f>BC12+BB12+BA12</f>
        <v/>
      </c>
      <c r="BE12" s="3" t="n">
        <v>5</v>
      </c>
      <c r="BF12" s="3" t="n">
        <v>0</v>
      </c>
      <c r="BH12" s="3">
        <f>ROUNDUP(BD12*1.85,0)</f>
        <v/>
      </c>
      <c r="BJ12" s="38">
        <f>BH12*V12</f>
        <v/>
      </c>
      <c r="BL12" s="3">
        <f>U12*1.18</f>
        <v/>
      </c>
    </row>
    <row r="13">
      <c r="A13" s="1" t="inlineStr">
        <is>
          <t>82SB00V5IN</t>
        </is>
      </c>
      <c r="B13" s="1">
        <f>IF(BL13&lt;40000,"Entry",IF(BL13&gt;65000,"Premium","Mainstream"))</f>
        <v/>
      </c>
      <c r="C13" s="1" t="inlineStr">
        <is>
          <t>Premium</t>
        </is>
      </c>
      <c r="D13" s="1" t="inlineStr">
        <is>
          <t>R7 OS 4GB Graphics Office</t>
        </is>
      </c>
      <c r="E13" s="1" t="inlineStr">
        <is>
          <t>Gaming</t>
        </is>
      </c>
      <c r="F13" s="1" t="inlineStr">
        <is>
          <t>IP Gaming 3</t>
        </is>
      </c>
      <c r="G13" s="1" t="inlineStr">
        <is>
          <t>IdeaPad Gaming 3 15ARH7</t>
        </is>
      </c>
      <c r="H13" s="1" t="inlineStr">
        <is>
          <t>R7</t>
        </is>
      </c>
      <c r="I13" s="1" t="inlineStr">
        <is>
          <t>6XXXH</t>
        </is>
      </c>
      <c r="J13" s="1" t="inlineStr">
        <is>
          <t>R7 6800H</t>
        </is>
      </c>
      <c r="K13" s="1" t="inlineStr">
        <is>
          <t>8GB</t>
        </is>
      </c>
      <c r="L13" s="1" t="inlineStr">
        <is>
          <t>512GB SSD</t>
        </is>
      </c>
      <c r="M13" s="1" t="inlineStr">
        <is>
          <t>Windows 11</t>
        </is>
      </c>
      <c r="N13" s="1" t="inlineStr">
        <is>
          <t>Office 2021</t>
        </is>
      </c>
      <c r="O13" s="1" t="inlineStr">
        <is>
          <t>RTX 3050 4GB</t>
        </is>
      </c>
      <c r="P13" s="1" t="inlineStr">
        <is>
          <t>15.6_FHD_AG_250N_120Hz</t>
        </is>
      </c>
      <c r="Q13" s="1" t="inlineStr">
        <is>
          <t>1 year Onsite</t>
        </is>
      </c>
      <c r="R13" s="1" t="inlineStr">
        <is>
          <t>Zero GTN</t>
        </is>
      </c>
      <c r="S13" s="1" t="n">
        <v>0</v>
      </c>
      <c r="T13" s="2">
        <f>U13*0.98*0.98</f>
        <v/>
      </c>
      <c r="U13" s="13" t="n">
        <v>60260.16949152543</v>
      </c>
      <c r="V13" s="13" t="n">
        <v>6825.47457627119</v>
      </c>
      <c r="W13" s="13" t="n">
        <v>1559</v>
      </c>
      <c r="X13" s="13" t="n"/>
      <c r="Y13" s="2">
        <f>(U13*0.98-S13-V13-W13-X13)*1.18/0.92</f>
        <v/>
      </c>
      <c r="Z13" s="1" t="n">
        <v>64990</v>
      </c>
      <c r="AA13" s="5" t="n"/>
      <c r="AB13" s="5" t="n"/>
      <c r="AC13" s="14" t="n">
        <v>64990</v>
      </c>
      <c r="AD13" s="5">
        <f>(Y13-AC13)/1.18*0.92</f>
        <v/>
      </c>
      <c r="AE13" s="5" t="n"/>
      <c r="AF13" s="5">
        <f>W13+X13</f>
        <v/>
      </c>
      <c r="AG13" s="5" t="n"/>
      <c r="AH13" s="13" t="n">
        <v>6825.47457627119</v>
      </c>
      <c r="AI13" s="13" t="n">
        <v>1559</v>
      </c>
      <c r="AJ13" s="5" t="n"/>
      <c r="AL13" s="5" t="n"/>
      <c r="AM13" s="5" t="n">
        <v>64990.41304347825</v>
      </c>
      <c r="AN13" s="5">
        <f>Y13-AM13</f>
        <v/>
      </c>
      <c r="AO13" s="5" t="n"/>
      <c r="AP13" s="5">
        <f>U13-AL13</f>
        <v/>
      </c>
      <c r="AQ13" s="20" t="n">
        <v>6825.47457627119</v>
      </c>
      <c r="AR13" s="20" t="n">
        <v>0</v>
      </c>
      <c r="AT13" s="3" t="n">
        <v>7</v>
      </c>
      <c r="AV13" s="5">
        <f>ROUNDUP((AT13/8)*80,0)</f>
        <v/>
      </c>
      <c r="AX13" s="38">
        <f>AV13*W13</f>
        <v/>
      </c>
      <c r="BA13" s="3" t="n">
        <v>20</v>
      </c>
      <c r="BB13" s="3" t="n">
        <v>0</v>
      </c>
      <c r="BC13" s="3" t="n">
        <v>0</v>
      </c>
      <c r="BD13" s="3">
        <f>BC13+BB13+BA13</f>
        <v/>
      </c>
      <c r="BE13" s="3" t="n">
        <v>391</v>
      </c>
      <c r="BF13" s="3" t="n">
        <v>0</v>
      </c>
      <c r="BH13" s="3">
        <f>ROUNDUP(BD13*1.85,0)</f>
        <v/>
      </c>
      <c r="BJ13" s="38">
        <f>BH13*V13</f>
        <v/>
      </c>
      <c r="BL13" s="3">
        <f>U13*1.18</f>
        <v/>
      </c>
    </row>
    <row r="14">
      <c r="A14" s="1" t="inlineStr">
        <is>
          <t>82LN00JSIN</t>
        </is>
      </c>
      <c r="B14" s="1">
        <f>IF(BL14&lt;40000,"Entry",IF(BL14&gt;65000,"Premium","Mainstream"))</f>
        <v/>
      </c>
      <c r="C14" s="1" t="inlineStr">
        <is>
          <t>Premium</t>
        </is>
      </c>
      <c r="D14" s="1" t="inlineStr">
        <is>
          <t>R7 OS Office</t>
        </is>
      </c>
      <c r="E14" s="1" t="inlineStr">
        <is>
          <t>Thin &amp; Light</t>
        </is>
      </c>
      <c r="F14" s="1" t="inlineStr">
        <is>
          <t>Slim 5</t>
        </is>
      </c>
      <c r="G14" s="1" t="inlineStr">
        <is>
          <t>IdeaPad 5 15ALC05</t>
        </is>
      </c>
      <c r="H14" s="1" t="inlineStr">
        <is>
          <t>R7</t>
        </is>
      </c>
      <c r="I14" s="1" t="inlineStr">
        <is>
          <t>5XXXU</t>
        </is>
      </c>
      <c r="J14" s="1" t="inlineStr">
        <is>
          <t>Ryzen 7 5700U</t>
        </is>
      </c>
      <c r="K14" s="1" t="inlineStr">
        <is>
          <t>16GB</t>
        </is>
      </c>
      <c r="L14" s="1" t="inlineStr">
        <is>
          <t>512GB SSD</t>
        </is>
      </c>
      <c r="M14" s="1" t="inlineStr">
        <is>
          <t>Windows 11</t>
        </is>
      </c>
      <c r="N14" s="1" t="inlineStr">
        <is>
          <t>Office 2021</t>
        </is>
      </c>
      <c r="O14" s="1" t="inlineStr">
        <is>
          <t>INTEGRATED_GRAPHICS</t>
        </is>
      </c>
      <c r="P14" s="1" t="inlineStr">
        <is>
          <t>15.6FHD_IPS_AG_300N_N</t>
        </is>
      </c>
      <c r="Q14" s="1" t="inlineStr">
        <is>
          <t>1 Yr Onsite + 1 Yr PC + 1 Yr ADP</t>
        </is>
      </c>
      <c r="R14" s="1" t="inlineStr">
        <is>
          <t>Full GTN</t>
        </is>
      </c>
      <c r="S14" s="1" t="n">
        <v>725</v>
      </c>
      <c r="T14" s="2">
        <f>U14*0.965*0.98</f>
        <v/>
      </c>
      <c r="U14" s="13" t="n">
        <v>56771.18644067797</v>
      </c>
      <c r="V14" s="13" t="n">
        <v>0</v>
      </c>
      <c r="W14" s="13" t="n">
        <v>5580</v>
      </c>
      <c r="X14" s="13" t="n"/>
      <c r="Y14" s="2">
        <f>(U14*0.88-S14-V14-W14-X14)*1.18/0.92</f>
        <v/>
      </c>
      <c r="Z14" s="18" t="n">
        <v>55990</v>
      </c>
      <c r="AA14" s="5" t="n"/>
      <c r="AB14" s="5" t="n"/>
      <c r="AC14" s="14" t="n">
        <v>55990</v>
      </c>
      <c r="AD14" s="5">
        <f>(Y14-AC14)/1.18*0.92</f>
        <v/>
      </c>
      <c r="AE14" s="5" t="n"/>
      <c r="AF14" s="5">
        <f>W14+X14</f>
        <v/>
      </c>
      <c r="AG14" s="5" t="n"/>
      <c r="AH14" s="13" t="n">
        <v>0</v>
      </c>
      <c r="AI14" s="13">
        <f>4021.10169491526+1559</f>
        <v/>
      </c>
      <c r="AJ14" s="5" t="n"/>
      <c r="AL14" s="5" t="n"/>
      <c r="AM14" s="5" t="n">
        <v>55990.41304347825</v>
      </c>
      <c r="AN14" s="5">
        <f>Y14-AM14</f>
        <v/>
      </c>
      <c r="AO14" s="5" t="n"/>
      <c r="AP14" s="5">
        <f>U14-AL14</f>
        <v/>
      </c>
      <c r="AQ14" s="20" t="n">
        <v>0</v>
      </c>
      <c r="AR14" s="20" t="n">
        <v>5580.10169491526</v>
      </c>
      <c r="AT14" s="3" t="n">
        <v>4</v>
      </c>
      <c r="AV14" s="5">
        <f>ROUNDUP((AT14/8)*80,0)</f>
        <v/>
      </c>
      <c r="AX14" s="38">
        <f>AV14*W14</f>
        <v/>
      </c>
      <c r="BA14" s="3" t="n">
        <v>0</v>
      </c>
      <c r="BB14" s="3" t="n">
        <v>0</v>
      </c>
      <c r="BC14" s="3" t="n">
        <v>0</v>
      </c>
      <c r="BD14" s="3">
        <f>BC14+BB14+BA14</f>
        <v/>
      </c>
      <c r="BE14" s="3" t="n">
        <v>0</v>
      </c>
      <c r="BF14" s="3" t="n">
        <v>0</v>
      </c>
      <c r="BH14" s="3">
        <f>ROUNDUP(BD14*1.85,0)</f>
        <v/>
      </c>
      <c r="BJ14" s="38">
        <f>BH14*V14</f>
        <v/>
      </c>
      <c r="BL14" s="3">
        <f>U14*1.18</f>
        <v/>
      </c>
    </row>
    <row r="15">
      <c r="A15" s="1" t="inlineStr">
        <is>
          <t>82XE004RIN</t>
        </is>
      </c>
      <c r="B15" s="1">
        <f>IF(BL15&lt;40000,"Entry",IF(BL15&gt;65000,"Premium","Mainstream"))</f>
        <v/>
      </c>
      <c r="C15" s="1" t="inlineStr">
        <is>
          <t>Premium</t>
        </is>
      </c>
      <c r="D15" s="1" t="inlineStr">
        <is>
          <t>R5 OS Office</t>
        </is>
      </c>
      <c r="E15" s="1" t="inlineStr">
        <is>
          <t>Thin &amp; Light</t>
        </is>
      </c>
      <c r="F15" s="1" t="inlineStr">
        <is>
          <t>Slim 5</t>
        </is>
      </c>
      <c r="G15" s="1" t="inlineStr">
        <is>
          <t>IPS5 14ABR8</t>
        </is>
      </c>
      <c r="H15" s="1" t="inlineStr">
        <is>
          <t>R5</t>
        </is>
      </c>
      <c r="I15" s="1" t="inlineStr">
        <is>
          <t>7XXXU</t>
        </is>
      </c>
      <c r="J15" s="1" t="inlineStr">
        <is>
          <t>R5-7530U</t>
        </is>
      </c>
      <c r="K15" s="1" t="inlineStr">
        <is>
          <t>16GB</t>
        </is>
      </c>
      <c r="L15" s="1" t="inlineStr">
        <is>
          <t>512GB SSD</t>
        </is>
      </c>
      <c r="M15" s="1" t="inlineStr">
        <is>
          <t>Windows 11</t>
        </is>
      </c>
      <c r="N15" s="1" t="inlineStr">
        <is>
          <t>Office 2021</t>
        </is>
      </c>
      <c r="O15" s="1" t="inlineStr">
        <is>
          <t>INTEGRATED_GRAPHICS</t>
        </is>
      </c>
      <c r="P15" s="1" t="inlineStr">
        <is>
          <t>14.0FHD_AG_300N_N</t>
        </is>
      </c>
      <c r="Q15" s="1" t="inlineStr">
        <is>
          <t>1 Yr Onsite + 1 Yr PC</t>
        </is>
      </c>
      <c r="R15" s="1" t="inlineStr">
        <is>
          <t>Full GTN</t>
        </is>
      </c>
      <c r="S15" s="1" t="n">
        <v>0</v>
      </c>
      <c r="T15" s="2">
        <f>U15*0.965*0.98</f>
        <v/>
      </c>
      <c r="U15" s="13" t="n">
        <v>52372.88135593221</v>
      </c>
      <c r="V15" s="13" t="n">
        <v>0</v>
      </c>
      <c r="W15" s="13">
        <f>2279</f>
        <v/>
      </c>
      <c r="X15" s="13" t="n"/>
      <c r="Y15" s="2">
        <f>(U15*0.88-S15-V15-W15-X15)*1.18/0.92</f>
        <v/>
      </c>
      <c r="Z15" s="1" t="n">
        <v>56190</v>
      </c>
      <c r="AA15" s="5" t="n"/>
      <c r="AB15" s="5" t="n"/>
      <c r="AC15" s="14" t="n">
        <v>56190</v>
      </c>
      <c r="AD15" s="5">
        <f>(Y15-AC15)/1.18*0.92</f>
        <v/>
      </c>
      <c r="AE15" s="5" t="n"/>
      <c r="AF15" s="5">
        <f>W15+X15</f>
        <v/>
      </c>
      <c r="AG15" s="5" t="n"/>
      <c r="AH15" s="13" t="n">
        <v>0</v>
      </c>
      <c r="AI15" s="13" t="n">
        <v>2278.983050847462</v>
      </c>
      <c r="AJ15" s="5" t="n"/>
      <c r="AL15" s="5" t="n"/>
      <c r="AM15" s="5" t="n">
        <v>56189.99999999999</v>
      </c>
      <c r="AN15" s="5">
        <f>Y15-AM15</f>
        <v/>
      </c>
      <c r="AO15" s="5" t="n"/>
      <c r="AP15" s="5">
        <f>U15-AL15</f>
        <v/>
      </c>
      <c r="AQ15" s="20" t="n">
        <v>0</v>
      </c>
      <c r="AR15" s="20" t="n">
        <v>2278.983050847462</v>
      </c>
      <c r="AT15" s="3" t="n">
        <v>12</v>
      </c>
      <c r="AV15" s="5">
        <f>ROUNDUP((AT15/8)*80,0)</f>
        <v/>
      </c>
      <c r="AX15" s="38">
        <f>AV15*W15</f>
        <v/>
      </c>
      <c r="BA15" s="3" t="n">
        <v>68</v>
      </c>
      <c r="BB15" s="3" t="n">
        <v>55</v>
      </c>
      <c r="BC15" s="3" t="n">
        <v>12</v>
      </c>
      <c r="BD15" s="3">
        <f>BC15+BB15+BA15</f>
        <v/>
      </c>
      <c r="BE15" s="3" t="n">
        <v>596</v>
      </c>
      <c r="BF15" s="3" t="n">
        <v>0</v>
      </c>
      <c r="BH15" s="3">
        <f>ROUNDUP(BD15*1.85,0)</f>
        <v/>
      </c>
      <c r="BJ15" s="38">
        <f>BH15*V15</f>
        <v/>
      </c>
      <c r="BL15" s="3">
        <f>U15*1.18</f>
        <v/>
      </c>
    </row>
    <row r="16">
      <c r="A16" s="1" t="inlineStr">
        <is>
          <t>82K200X3IN</t>
        </is>
      </c>
      <c r="B16" s="1">
        <f>IF(BL16&lt;40000,"Entry",IF(BL16&gt;65000,"Premium","Mainstream"))</f>
        <v/>
      </c>
      <c r="C16" s="1" t="inlineStr">
        <is>
          <t>Premium</t>
        </is>
      </c>
      <c r="D16" s="1" t="inlineStr">
        <is>
          <t>R7 OS 4GB Graphics Office</t>
        </is>
      </c>
      <c r="E16" s="1" t="inlineStr">
        <is>
          <t>Gaming</t>
        </is>
      </c>
      <c r="F16" s="1" t="inlineStr">
        <is>
          <t>IP Gaming 3</t>
        </is>
      </c>
      <c r="G16" s="1" t="inlineStr">
        <is>
          <t>IdeaPad Gaming 3 15ACH6</t>
        </is>
      </c>
      <c r="H16" s="1" t="inlineStr">
        <is>
          <t>R7</t>
        </is>
      </c>
      <c r="I16" s="1" t="inlineStr">
        <is>
          <t>5XXXH</t>
        </is>
      </c>
      <c r="J16" s="1" t="inlineStr">
        <is>
          <t>Ryzen 7 5800H</t>
        </is>
      </c>
      <c r="K16" s="1" t="inlineStr">
        <is>
          <t>16GB</t>
        </is>
      </c>
      <c r="L16" s="1" t="inlineStr">
        <is>
          <t>512GB SSD</t>
        </is>
      </c>
      <c r="M16" s="1" t="inlineStr">
        <is>
          <t>Win11</t>
        </is>
      </c>
      <c r="N16" s="1" t="inlineStr">
        <is>
          <t>Office 2021</t>
        </is>
      </c>
      <c r="O16" s="1" t="inlineStr">
        <is>
          <t>RTX 3050 4GB</t>
        </is>
      </c>
      <c r="P16" s="1" t="inlineStr">
        <is>
          <t>15.6FHD_AG_250N_120_N</t>
        </is>
      </c>
      <c r="Q16" s="1" t="inlineStr">
        <is>
          <t>1 Yr Onsite + 1 Yr PC + 1 Yr ADP</t>
        </is>
      </c>
      <c r="R16" s="7" t="inlineStr">
        <is>
          <t>Zero GTN</t>
        </is>
      </c>
      <c r="S16" s="1" t="n">
        <v>725</v>
      </c>
      <c r="T16" s="2">
        <f>U16*0.98*0.98</f>
        <v/>
      </c>
      <c r="U16" s="13" t="n">
        <v>66432.49152542373</v>
      </c>
      <c r="V16" s="13" t="n">
        <v>4966</v>
      </c>
      <c r="W16" s="13" t="n">
        <v>6403.689152542371</v>
      </c>
      <c r="X16" s="13" t="n"/>
      <c r="Y16" s="2">
        <f>(U16*0.98-S16-V16-W16-X16)*1.18/0.92</f>
        <v/>
      </c>
      <c r="Z16" s="1" t="n">
        <v>67990</v>
      </c>
      <c r="AA16" s="5" t="n"/>
      <c r="AB16" s="5" t="n"/>
      <c r="AC16" s="14" t="n">
        <v>67990</v>
      </c>
      <c r="AD16" s="5">
        <f>(Y16-AC16)/1.18*0.92</f>
        <v/>
      </c>
      <c r="AE16" s="5" t="n"/>
      <c r="AF16" s="5">
        <f>W16+X16</f>
        <v/>
      </c>
      <c r="AG16" s="5" t="n"/>
      <c r="AH16" s="13" t="n">
        <v>4966</v>
      </c>
      <c r="AI16" s="13" t="n">
        <v>6403.689152542371</v>
      </c>
      <c r="AJ16" s="5" t="n"/>
      <c r="AL16" s="5" t="n"/>
      <c r="AM16" s="5" t="n">
        <v>67989.99999999999</v>
      </c>
      <c r="AN16" s="5">
        <f>Y16-AM16</f>
        <v/>
      </c>
      <c r="AO16" s="5" t="n"/>
      <c r="AP16" s="5">
        <f>U16-AL16</f>
        <v/>
      </c>
      <c r="AQ16" s="20" t="n">
        <v>4966</v>
      </c>
      <c r="AR16" s="20" t="n">
        <v>6403.689152542371</v>
      </c>
      <c r="AT16" s="3" t="n">
        <v>0</v>
      </c>
      <c r="AV16" s="5">
        <f>ROUNDUP((AT16/8)*80,0)</f>
        <v/>
      </c>
      <c r="AX16" s="38">
        <f>AV16*W16</f>
        <v/>
      </c>
      <c r="BA16" s="3" t="n">
        <v>0</v>
      </c>
      <c r="BB16" s="3" t="n">
        <v>0</v>
      </c>
      <c r="BC16" s="3" t="n">
        <v>0</v>
      </c>
      <c r="BD16" s="3">
        <f>BC16+BB16+BA16</f>
        <v/>
      </c>
      <c r="BE16" s="3" t="n">
        <v>32</v>
      </c>
      <c r="BF16" s="3" t="n">
        <v>0</v>
      </c>
      <c r="BH16" s="3">
        <f>ROUNDUP(BD16*1.85,0)</f>
        <v/>
      </c>
      <c r="BJ16" s="38">
        <f>BH16*V16</f>
        <v/>
      </c>
      <c r="BL16" s="3">
        <f>U16*1.18</f>
        <v/>
      </c>
    </row>
    <row r="17">
      <c r="A17" s="1" t="inlineStr">
        <is>
          <t>82K201UMIN</t>
        </is>
      </c>
      <c r="B17" s="1">
        <f>IF(BL17&lt;40000,"Entry",IF(BL17&gt;65000,"Premium","Mainstream"))</f>
        <v/>
      </c>
      <c r="C17" s="1" t="inlineStr">
        <is>
          <t>Premium</t>
        </is>
      </c>
      <c r="D17" s="1" t="inlineStr">
        <is>
          <t>R7 OS 4GB Graphics Office</t>
        </is>
      </c>
      <c r="E17" s="1" t="inlineStr">
        <is>
          <t>Gaming</t>
        </is>
      </c>
      <c r="F17" s="1" t="inlineStr">
        <is>
          <t>IP Gaming 3</t>
        </is>
      </c>
      <c r="G17" s="1" t="inlineStr">
        <is>
          <t>IdeaPad Gaming 3 15ACH6</t>
        </is>
      </c>
      <c r="H17" s="1" t="inlineStr">
        <is>
          <t>R7</t>
        </is>
      </c>
      <c r="I17" s="1" t="inlineStr">
        <is>
          <t>5XXXH</t>
        </is>
      </c>
      <c r="J17" s="1" t="inlineStr">
        <is>
          <t>Ryzen 7 5800H</t>
        </is>
      </c>
      <c r="K17" s="1" t="inlineStr">
        <is>
          <t>16GB</t>
        </is>
      </c>
      <c r="L17" s="1" t="inlineStr">
        <is>
          <t>512GB SSD</t>
        </is>
      </c>
      <c r="M17" s="1" t="inlineStr">
        <is>
          <t>Win11</t>
        </is>
      </c>
      <c r="N17" s="1" t="inlineStr">
        <is>
          <t>Office 2021</t>
        </is>
      </c>
      <c r="O17" s="1" t="inlineStr">
        <is>
          <t>RTX 3050 4GB</t>
        </is>
      </c>
      <c r="P17" s="1" t="inlineStr">
        <is>
          <t>15.6FHD_AG_250N_120_N</t>
        </is>
      </c>
      <c r="Q17" s="1" t="inlineStr">
        <is>
          <t>1 Yr Onsite + 1 Yr PC + 1 Yr ADP</t>
        </is>
      </c>
      <c r="R17" s="1" t="inlineStr">
        <is>
          <t>Zero GTN</t>
        </is>
      </c>
      <c r="S17" s="1" t="n">
        <v>725</v>
      </c>
      <c r="T17" s="2">
        <f>U17*0.98*0.98</f>
        <v/>
      </c>
      <c r="U17" s="13" t="n">
        <v>62364.39559322035</v>
      </c>
      <c r="V17" s="13" t="n">
        <v>4966</v>
      </c>
      <c r="W17" s="13" t="n">
        <v>2416.955138983059</v>
      </c>
      <c r="X17" s="13" t="n"/>
      <c r="Y17" s="2">
        <f>(U17*0.98-S17-V17-W17-X17)*1.18/0.92</f>
        <v/>
      </c>
      <c r="Z17" s="1" t="n">
        <v>67990</v>
      </c>
      <c r="AA17" s="5" t="n"/>
      <c r="AB17" s="5" t="n"/>
      <c r="AC17" s="14" t="n">
        <v>67990</v>
      </c>
      <c r="AD17" s="5">
        <f>(Y17-AC17)/1.18*0.92</f>
        <v/>
      </c>
      <c r="AE17" s="5" t="n"/>
      <c r="AF17" s="5">
        <f>W17+X17</f>
        <v/>
      </c>
      <c r="AG17" s="5" t="n"/>
      <c r="AH17" s="13" t="n">
        <v>4966</v>
      </c>
      <c r="AI17" s="13" t="n">
        <v>2416.955138983059</v>
      </c>
      <c r="AJ17" s="5" t="n"/>
      <c r="AL17" s="5" t="n"/>
      <c r="AM17" s="5" t="n">
        <v>67989.99999999999</v>
      </c>
      <c r="AN17" s="5">
        <f>Y17-AM17</f>
        <v/>
      </c>
      <c r="AO17" s="5" t="n"/>
      <c r="AP17" s="5">
        <f>U17-AL17</f>
        <v/>
      </c>
      <c r="AQ17" s="20" t="n">
        <v>4966</v>
      </c>
      <c r="AR17" s="20" t="n">
        <v>2416.955138983059</v>
      </c>
      <c r="AT17" s="3" t="n">
        <v>0</v>
      </c>
      <c r="AV17" s="5">
        <f>ROUNDUP((AT17/8)*80,0)</f>
        <v/>
      </c>
      <c r="AX17" s="38">
        <f>AV17*W17</f>
        <v/>
      </c>
      <c r="BA17" s="3" t="n">
        <v>0</v>
      </c>
      <c r="BB17" s="3" t="n">
        <v>0</v>
      </c>
      <c r="BC17" s="3" t="n">
        <v>0</v>
      </c>
      <c r="BD17" s="3">
        <f>BC17+BB17+BA17</f>
        <v/>
      </c>
      <c r="BE17" s="3" t="n">
        <v>1</v>
      </c>
      <c r="BF17" s="3" t="n">
        <v>0</v>
      </c>
      <c r="BH17" s="3">
        <f>ROUNDUP(BD17*1.85,0)</f>
        <v/>
      </c>
      <c r="BJ17" s="38">
        <f>BH17*V17</f>
        <v/>
      </c>
      <c r="BL17" s="3">
        <f>U17*1.18</f>
        <v/>
      </c>
    </row>
    <row r="18">
      <c r="A18" s="1" t="inlineStr">
        <is>
          <t>82K20145IN</t>
        </is>
      </c>
      <c r="B18" s="1">
        <f>IF(BL18&lt;40000,"Entry",IF(BL18&gt;65000,"Premium","Mainstream"))</f>
        <v/>
      </c>
      <c r="C18" s="1" t="inlineStr">
        <is>
          <t>Premium</t>
        </is>
      </c>
      <c r="D18" s="1" t="inlineStr">
        <is>
          <t>R7 OS 4GB Graphics Office</t>
        </is>
      </c>
      <c r="E18" s="1" t="inlineStr">
        <is>
          <t>Gaming</t>
        </is>
      </c>
      <c r="F18" s="1" t="inlineStr">
        <is>
          <t>IP Gaming 3</t>
        </is>
      </c>
      <c r="G18" s="1" t="inlineStr">
        <is>
          <t>IdeaPad Gaming 3 15ACH6</t>
        </is>
      </c>
      <c r="H18" s="1" t="inlineStr">
        <is>
          <t>R7</t>
        </is>
      </c>
      <c r="I18" s="1" t="inlineStr">
        <is>
          <t>5XXXH</t>
        </is>
      </c>
      <c r="J18" s="1" t="inlineStr">
        <is>
          <t>Ryzen 7 5800H</t>
        </is>
      </c>
      <c r="K18" s="1" t="inlineStr">
        <is>
          <t>16GB</t>
        </is>
      </c>
      <c r="L18" s="1" t="inlineStr">
        <is>
          <t>512GB SSD</t>
        </is>
      </c>
      <c r="M18" s="1" t="inlineStr">
        <is>
          <t>Windows 11</t>
        </is>
      </c>
      <c r="N18" s="1" t="inlineStr">
        <is>
          <t>OFFICE_TRIAL</t>
        </is>
      </c>
      <c r="O18" s="1" t="inlineStr">
        <is>
          <t>RTX 3050 4GB</t>
        </is>
      </c>
      <c r="P18" s="1" t="inlineStr">
        <is>
          <t>15.6FHD_AG_250N_120_N</t>
        </is>
      </c>
      <c r="Q18" s="1" t="inlineStr">
        <is>
          <t>1 Yr Onsite + 1 Yr PC + 1 Yr ADP</t>
        </is>
      </c>
      <c r="R18" s="1" t="inlineStr">
        <is>
          <t>Zero GTN</t>
        </is>
      </c>
      <c r="S18" s="1" t="n">
        <v>725</v>
      </c>
      <c r="T18" s="2">
        <f>U18*0.98*0.98</f>
        <v/>
      </c>
      <c r="U18" s="13" t="n">
        <v>60670.18644067796</v>
      </c>
      <c r="V18" s="13" t="n">
        <v>4865.003050847443</v>
      </c>
      <c r="W18" s="13" t="n">
        <v>857.6271186440717</v>
      </c>
      <c r="X18" s="13" t="n"/>
      <c r="Y18" s="2">
        <f>(U18*0.98-S18-V18-W18-X18)*1.18/0.92</f>
        <v/>
      </c>
      <c r="Z18" s="1" t="n">
        <v>67990</v>
      </c>
      <c r="AA18" s="5" t="n"/>
      <c r="AB18" s="5" t="n"/>
      <c r="AC18" s="14" t="n">
        <v>67990</v>
      </c>
      <c r="AD18" s="5">
        <f>(Y18-AC18)/1.18*0.92</f>
        <v/>
      </c>
      <c r="AE18" s="5" t="n"/>
      <c r="AF18" s="5">
        <f>W18+X18</f>
        <v/>
      </c>
      <c r="AG18" s="5" t="n"/>
      <c r="AH18" s="13" t="n">
        <v>4865.003050847443</v>
      </c>
      <c r="AI18" s="13" t="n">
        <v>857.6271186440717</v>
      </c>
      <c r="AJ18" s="5" t="n"/>
      <c r="AL18" s="5" t="n"/>
      <c r="AM18" s="5" t="n">
        <v>67989.99999999999</v>
      </c>
      <c r="AN18" s="5">
        <f>Y18-AM18</f>
        <v/>
      </c>
      <c r="AO18" s="5" t="n"/>
      <c r="AP18" s="5">
        <f>U18-AL18</f>
        <v/>
      </c>
      <c r="AQ18" s="20" t="n">
        <v>4865.003050847443</v>
      </c>
      <c r="AR18" s="20" t="n">
        <v>857.6271186440717</v>
      </c>
      <c r="AT18" s="3" t="n">
        <v>0</v>
      </c>
      <c r="AV18" s="5">
        <f>ROUNDUP((AT18/8)*80,0)</f>
        <v/>
      </c>
      <c r="AX18" s="38">
        <f>AV18*W18</f>
        <v/>
      </c>
      <c r="BA18" s="3" t="n">
        <v>-2</v>
      </c>
      <c r="BB18" s="3" t="n">
        <v>0</v>
      </c>
      <c r="BC18" s="3" t="n">
        <v>0</v>
      </c>
      <c r="BD18" s="3">
        <f>BC18+BB18+BA18</f>
        <v/>
      </c>
      <c r="BE18" s="3" t="n">
        <v>1</v>
      </c>
      <c r="BF18" s="3" t="n">
        <v>0</v>
      </c>
      <c r="BH18" s="3">
        <f>ROUNDUP(BD18*1.85,0)</f>
        <v/>
      </c>
      <c r="BJ18" s="38">
        <f>BH18*V18</f>
        <v/>
      </c>
      <c r="BL18" s="3">
        <f>U18*1.18</f>
        <v/>
      </c>
    </row>
    <row r="19">
      <c r="A19" s="1" t="inlineStr">
        <is>
          <t>82K2022WIN</t>
        </is>
      </c>
      <c r="B19" s="1">
        <f>IF(BL19&lt;40000,"Entry",IF(BL19&gt;65000,"Premium","Mainstream"))</f>
        <v/>
      </c>
      <c r="C19" s="1" t="inlineStr">
        <is>
          <t>Premium</t>
        </is>
      </c>
      <c r="D19" s="1" t="inlineStr">
        <is>
          <t>R7 OS 4GB Graphics Office</t>
        </is>
      </c>
      <c r="E19" s="1" t="inlineStr">
        <is>
          <t>Gaming</t>
        </is>
      </c>
      <c r="F19" s="1" t="inlineStr">
        <is>
          <t>IP Gaming 3</t>
        </is>
      </c>
      <c r="G19" s="1" t="inlineStr">
        <is>
          <t>IdeaPad Gaming 3 15ACH6</t>
        </is>
      </c>
      <c r="H19" s="1" t="inlineStr">
        <is>
          <t>R7</t>
        </is>
      </c>
      <c r="I19" s="1" t="inlineStr">
        <is>
          <t>5XXXH</t>
        </is>
      </c>
      <c r="J19" s="1" t="inlineStr">
        <is>
          <t>Ryzen 7 5800H</t>
        </is>
      </c>
      <c r="K19" s="1" t="inlineStr">
        <is>
          <t>16GB</t>
        </is>
      </c>
      <c r="L19" s="1" t="inlineStr">
        <is>
          <t>512GB SSD</t>
        </is>
      </c>
      <c r="M19" s="1" t="inlineStr">
        <is>
          <t>Win11</t>
        </is>
      </c>
      <c r="N19" s="1" t="inlineStr">
        <is>
          <t>Office 2021</t>
        </is>
      </c>
      <c r="O19" s="1" t="inlineStr">
        <is>
          <t>RTX 3050 4GB</t>
        </is>
      </c>
      <c r="P19" s="1" t="inlineStr">
        <is>
          <t>15.6FHD_AG_250N_120_N</t>
        </is>
      </c>
      <c r="Q19" s="1" t="inlineStr">
        <is>
          <t>1 Yr Onsite + 1 Yr PC + 1 Yr ADP</t>
        </is>
      </c>
      <c r="R19" s="1" t="inlineStr">
        <is>
          <t>Zero GTN</t>
        </is>
      </c>
      <c r="S19" s="1" t="n">
        <v>725</v>
      </c>
      <c r="T19" s="2">
        <f>U19*0.98*0.98</f>
        <v/>
      </c>
      <c r="U19" s="13" t="n">
        <v>62365.18644067796</v>
      </c>
      <c r="V19" s="13" t="n">
        <v>4966.781016949133</v>
      </c>
      <c r="W19" s="13" t="n">
        <v>2416.94915254238</v>
      </c>
      <c r="X19" s="13" t="n"/>
      <c r="Y19" s="2">
        <f>(U19*0.98-S19-V19-W19-X19)*1.18/0.92</f>
        <v/>
      </c>
      <c r="Z19" s="1" t="n">
        <v>67990</v>
      </c>
      <c r="AA19" s="5" t="n"/>
      <c r="AB19" s="5" t="n"/>
      <c r="AC19" s="14" t="n">
        <v>67990</v>
      </c>
      <c r="AD19" s="5">
        <f>(Y19-AC19)/1.18*0.92</f>
        <v/>
      </c>
      <c r="AE19" s="5" t="n"/>
      <c r="AF19" s="5">
        <f>W19+X19</f>
        <v/>
      </c>
      <c r="AG19" s="5" t="n"/>
      <c r="AH19" s="13" t="n">
        <v>4966.781016949133</v>
      </c>
      <c r="AI19" s="13" t="n">
        <v>2416.94915254238</v>
      </c>
      <c r="AJ19" s="5" t="n"/>
      <c r="AL19" s="5" t="n"/>
      <c r="AM19" s="5" t="n">
        <v>67989.99999999999</v>
      </c>
      <c r="AN19" s="5">
        <f>Y19-AM19</f>
        <v/>
      </c>
      <c r="AO19" s="5" t="n"/>
      <c r="AP19" s="5">
        <f>U19-AL19</f>
        <v/>
      </c>
      <c r="AQ19" s="20" t="n">
        <v>4966.781016949133</v>
      </c>
      <c r="AR19" s="20" t="n">
        <v>2416.94915254238</v>
      </c>
      <c r="AT19" s="3" t="n">
        <v>0</v>
      </c>
      <c r="AV19" s="5">
        <f>ROUNDUP((AT19/8)*80,0)</f>
        <v/>
      </c>
      <c r="AX19" s="38">
        <f>AV19*W19</f>
        <v/>
      </c>
      <c r="BA19" s="3" t="n">
        <v>0</v>
      </c>
      <c r="BB19" s="3" t="n">
        <v>0</v>
      </c>
      <c r="BC19" s="3" t="n">
        <v>0</v>
      </c>
      <c r="BD19" s="3">
        <f>BC19+BB19+BA19</f>
        <v/>
      </c>
      <c r="BE19" s="3" t="n">
        <v>0</v>
      </c>
      <c r="BF19" s="3" t="n">
        <v>0</v>
      </c>
      <c r="BH19" s="3">
        <f>ROUNDUP(BD19*1.85,0)</f>
        <v/>
      </c>
      <c r="BJ19" s="38">
        <f>BH19*V19</f>
        <v/>
      </c>
      <c r="BL19" s="3">
        <f>U19*1.18</f>
        <v/>
      </c>
    </row>
    <row r="20">
      <c r="A20" s="1" t="inlineStr">
        <is>
          <t>82SB00NXIN</t>
        </is>
      </c>
      <c r="B20" s="1">
        <f>IF(BL20&lt;40000,"Entry",IF(BL20&gt;65000,"Premium","Mainstream"))</f>
        <v/>
      </c>
      <c r="C20" s="1" t="inlineStr">
        <is>
          <t>Premium</t>
        </is>
      </c>
      <c r="D20" s="1" t="inlineStr">
        <is>
          <t>R5 OS 4GB Graphics</t>
        </is>
      </c>
      <c r="E20" s="1" t="inlineStr">
        <is>
          <t>Gaming</t>
        </is>
      </c>
      <c r="F20" s="1" t="inlineStr">
        <is>
          <t>IP Gaming 3</t>
        </is>
      </c>
      <c r="G20" s="1" t="inlineStr">
        <is>
          <t>Ideapad Gaming 3 15ARH7</t>
        </is>
      </c>
      <c r="H20" s="1" t="inlineStr">
        <is>
          <t>R5</t>
        </is>
      </c>
      <c r="I20" s="1" t="inlineStr">
        <is>
          <t>7XXXHS</t>
        </is>
      </c>
      <c r="J20" s="1" t="inlineStr">
        <is>
          <t>R5-7535HS</t>
        </is>
      </c>
      <c r="K20" s="1" t="inlineStr">
        <is>
          <t>16GB</t>
        </is>
      </c>
      <c r="L20" s="1" t="inlineStr">
        <is>
          <t>512GB SSD</t>
        </is>
      </c>
      <c r="M20" s="1" t="inlineStr">
        <is>
          <t>Windows 11</t>
        </is>
      </c>
      <c r="N20" s="1" t="inlineStr">
        <is>
          <t>No Office</t>
        </is>
      </c>
      <c r="O20" s="1" t="inlineStr">
        <is>
          <t>RTX 2050 4GB</t>
        </is>
      </c>
      <c r="P20" s="1" t="inlineStr">
        <is>
          <t>15.6FHD_AG_250N_120_N</t>
        </is>
      </c>
      <c r="Q20" s="1" t="inlineStr">
        <is>
          <t>1 Yr. Onsite</t>
        </is>
      </c>
      <c r="R20" s="1" t="inlineStr">
        <is>
          <t>Zero GTN</t>
        </is>
      </c>
      <c r="S20" s="1" t="n"/>
      <c r="T20" s="2">
        <f>U20*0.98*0.98</f>
        <v/>
      </c>
      <c r="U20" s="13" t="n">
        <v>53254.2372881356</v>
      </c>
      <c r="V20" s="13" t="n">
        <v>0</v>
      </c>
      <c r="W20" s="13" t="n">
        <v>8535.593220338989</v>
      </c>
      <c r="X20" s="13" t="n"/>
      <c r="Y20" s="2">
        <f>(U20*0.98-S20-V20-W20-X20)*1.18/0.92</f>
        <v/>
      </c>
      <c r="Z20" s="1" t="n">
        <v>55990</v>
      </c>
      <c r="AA20" s="5" t="n"/>
      <c r="AB20" s="5" t="n"/>
      <c r="AC20" s="14" t="n">
        <v>55990</v>
      </c>
      <c r="AD20" s="5">
        <f>(Y20-AC20)/1.18*0.92</f>
        <v/>
      </c>
      <c r="AE20" s="5" t="n"/>
      <c r="AF20" s="5">
        <f>W20+X20</f>
        <v/>
      </c>
      <c r="AG20" s="5" t="n"/>
      <c r="AH20" s="13" t="n">
        <v>0</v>
      </c>
      <c r="AI20" s="13">
        <f>9315.59322033899-780</f>
        <v/>
      </c>
      <c r="AJ20" s="5" t="n"/>
      <c r="AL20" s="5" t="n"/>
      <c r="AM20" s="5" t="n">
        <v>55990.43478260869</v>
      </c>
      <c r="AN20" s="5">
        <f>Y20-AM20</f>
        <v/>
      </c>
      <c r="AO20" s="5" t="n"/>
      <c r="AP20" s="5">
        <f>U20-AL20</f>
        <v/>
      </c>
      <c r="AQ20" s="20" t="n">
        <v>0</v>
      </c>
      <c r="AR20" s="20" t="n">
        <v>8535.593220338989</v>
      </c>
      <c r="AT20" s="3" t="n">
        <v>34</v>
      </c>
      <c r="AV20" s="5">
        <f>ROUNDUP((AT20/8)*80,0)</f>
        <v/>
      </c>
      <c r="AX20" s="38">
        <f>AV20*W20</f>
        <v/>
      </c>
      <c r="BA20" s="3" t="n">
        <v>120</v>
      </c>
      <c r="BB20" s="3" t="n">
        <v>46</v>
      </c>
      <c r="BC20" s="3" t="n">
        <v>453</v>
      </c>
      <c r="BD20" s="3">
        <f>BC20+BB20+BA20</f>
        <v/>
      </c>
      <c r="BE20" s="3" t="n">
        <v>50</v>
      </c>
      <c r="BF20" s="3" t="n">
        <v>0</v>
      </c>
      <c r="BH20" s="3">
        <f>ROUNDUP(BD20*1.85,0)</f>
        <v/>
      </c>
      <c r="BJ20" s="38">
        <f>BH20*V20</f>
        <v/>
      </c>
      <c r="BL20" s="3">
        <f>U20*1.18</f>
        <v/>
      </c>
    </row>
    <row r="21">
      <c r="A21" s="1" t="inlineStr">
        <is>
          <t>82K2025MIN</t>
        </is>
      </c>
      <c r="B21" s="1">
        <f>IF(BL21&lt;40000,"Entry",IF(BL21&gt;65000,"Premium","Mainstream"))</f>
        <v/>
      </c>
      <c r="C21" s="1" t="inlineStr">
        <is>
          <t>Premium</t>
        </is>
      </c>
      <c r="D21" s="1" t="inlineStr">
        <is>
          <t>R5 OS 4GB Graphics</t>
        </is>
      </c>
      <c r="E21" s="1" t="inlineStr">
        <is>
          <t>Gaming</t>
        </is>
      </c>
      <c r="F21" s="1" t="inlineStr">
        <is>
          <t>IP Gaming 3</t>
        </is>
      </c>
      <c r="G21" s="1" t="inlineStr">
        <is>
          <t>IdeaPad Gaming 3 15ACH6</t>
        </is>
      </c>
      <c r="H21" s="1" t="inlineStr">
        <is>
          <t>R5</t>
        </is>
      </c>
      <c r="I21" s="1" t="inlineStr">
        <is>
          <t>5XXXH</t>
        </is>
      </c>
      <c r="J21" s="1" t="inlineStr">
        <is>
          <t>R5-5600H</t>
        </is>
      </c>
      <c r="K21" s="1" t="inlineStr">
        <is>
          <t>16GB</t>
        </is>
      </c>
      <c r="L21" s="1" t="inlineStr">
        <is>
          <t>512GB SSD</t>
        </is>
      </c>
      <c r="M21" s="1" t="inlineStr">
        <is>
          <t>Windows 11</t>
        </is>
      </c>
      <c r="N21" s="1" t="inlineStr">
        <is>
          <t>No Office</t>
        </is>
      </c>
      <c r="O21" s="1" t="inlineStr">
        <is>
          <t>GTX 1650 4GB</t>
        </is>
      </c>
      <c r="P21" s="1" t="inlineStr">
        <is>
          <t>15.6FHD_AG_250N_120_N</t>
        </is>
      </c>
      <c r="Q21" s="1" t="inlineStr">
        <is>
          <t>1 Yr. Onsite</t>
        </is>
      </c>
      <c r="R21" s="1" t="inlineStr">
        <is>
          <t>Zero GTN</t>
        </is>
      </c>
      <c r="S21" s="1" t="n"/>
      <c r="T21" s="2">
        <f>U21*0.98*0.98</f>
        <v/>
      </c>
      <c r="U21" s="13" t="n">
        <v>49228.81355932204</v>
      </c>
      <c r="V21" s="13" t="n">
        <v>0</v>
      </c>
      <c r="W21" s="13" t="n">
        <v>6930</v>
      </c>
      <c r="X21" s="13" t="n"/>
      <c r="Y21" s="2">
        <f>(U21*0.98-S21-V21-W21-X21)*1.18/0.92</f>
        <v/>
      </c>
      <c r="Z21" s="1" t="n">
        <v>52990</v>
      </c>
      <c r="AA21" s="5" t="n"/>
      <c r="AB21" s="5" t="n"/>
      <c r="AC21" s="14" t="n">
        <v>52990</v>
      </c>
      <c r="AD21" s="5">
        <f>(Y21-AC21)/1.18*0.92</f>
        <v/>
      </c>
      <c r="AE21" s="5" t="n"/>
      <c r="AF21" s="5">
        <f>W21+X21</f>
        <v/>
      </c>
      <c r="AG21" s="5" t="n"/>
      <c r="AH21" s="13" t="n">
        <v>0</v>
      </c>
      <c r="AI21" s="13" t="n">
        <v>6930</v>
      </c>
      <c r="AJ21" s="5" t="n"/>
      <c r="AL21" s="5" t="n"/>
      <c r="AM21" s="5" t="n">
        <v>52989.99999999999</v>
      </c>
      <c r="AN21" s="5">
        <f>Y21-AM21</f>
        <v/>
      </c>
      <c r="AO21" s="5" t="n"/>
      <c r="AP21" s="5">
        <f>U21-AL21</f>
        <v/>
      </c>
      <c r="AQ21" s="20" t="n">
        <v>0</v>
      </c>
      <c r="AR21" s="20" t="n">
        <v>6930</v>
      </c>
      <c r="AT21" s="3" t="n">
        <v>0</v>
      </c>
      <c r="AV21" s="5">
        <f>ROUNDUP((AT21/8)*80,0)</f>
        <v/>
      </c>
      <c r="AX21" s="38">
        <f>AV21*W21</f>
        <v/>
      </c>
      <c r="BA21" s="3" t="n">
        <v>0</v>
      </c>
      <c r="BB21" s="3" t="n">
        <v>0</v>
      </c>
      <c r="BC21" s="3" t="n">
        <v>0</v>
      </c>
      <c r="BD21" s="3">
        <f>BC21+BB21+BA21</f>
        <v/>
      </c>
      <c r="BE21" s="3" t="n">
        <v>0</v>
      </c>
      <c r="BF21" s="3" t="n">
        <v>2</v>
      </c>
      <c r="BH21" s="3">
        <f>ROUNDUP(BD21*1.85,0)</f>
        <v/>
      </c>
      <c r="BJ21" s="38">
        <f>BH21*V21</f>
        <v/>
      </c>
      <c r="BL21" s="3">
        <f>U21*1.18</f>
        <v/>
      </c>
    </row>
    <row r="22">
      <c r="A22" s="1" t="inlineStr">
        <is>
          <t>82R10049IN</t>
        </is>
      </c>
      <c r="B22" s="1">
        <f>IF(BL22&lt;40000,"Entry",IF(BL22&gt;65000,"Premium","Mainstream"))</f>
        <v/>
      </c>
      <c r="C22" s="1" t="inlineStr">
        <is>
          <t>Mainstream</t>
        </is>
      </c>
      <c r="D22" s="1" t="inlineStr">
        <is>
          <t>R3 OS Office</t>
        </is>
      </c>
      <c r="E22" s="1" t="inlineStr">
        <is>
          <t>Thin &amp; Light</t>
        </is>
      </c>
      <c r="F22" s="1" t="inlineStr">
        <is>
          <t>Slim 1</t>
        </is>
      </c>
      <c r="G22" s="1" t="inlineStr">
        <is>
          <t>IdeaPad 1 15ADA7</t>
        </is>
      </c>
      <c r="H22" s="1" t="inlineStr">
        <is>
          <t>R3</t>
        </is>
      </c>
      <c r="I22" s="1" t="inlineStr">
        <is>
          <t>3XXu</t>
        </is>
      </c>
      <c r="J22" s="1" t="inlineStr">
        <is>
          <t>R3-3250U</t>
        </is>
      </c>
      <c r="K22" s="1" t="inlineStr">
        <is>
          <t>8GB</t>
        </is>
      </c>
      <c r="L22" s="1" t="inlineStr">
        <is>
          <t>512GB SSD</t>
        </is>
      </c>
      <c r="M22" s="1" t="inlineStr">
        <is>
          <t>Win11</t>
        </is>
      </c>
      <c r="N22" s="1" t="inlineStr">
        <is>
          <t>Office 2021</t>
        </is>
      </c>
      <c r="O22" s="1" t="inlineStr">
        <is>
          <t>INTEGRATED_GRAPHICS</t>
        </is>
      </c>
      <c r="P22" s="1" t="inlineStr">
        <is>
          <t>15.6FHD_TN_AG_250N_N</t>
        </is>
      </c>
      <c r="Q22" s="1" t="inlineStr">
        <is>
          <t>2 Yr Warranty</t>
        </is>
      </c>
      <c r="R22" s="1" t="inlineStr">
        <is>
          <t>Zero GTN</t>
        </is>
      </c>
      <c r="S22" s="1" t="n">
        <v>725</v>
      </c>
      <c r="T22" s="2" t="n">
        <v>29861.42419661017</v>
      </c>
      <c r="U22" s="13" t="n">
        <v>31092.69491525424</v>
      </c>
      <c r="V22" s="13" t="n">
        <v>0</v>
      </c>
      <c r="W22" s="13" t="n">
        <v>0</v>
      </c>
      <c r="X22" s="13" t="n"/>
      <c r="Y22" s="2">
        <f>(U22*0.98-S22-V22-W22-X22)*1.18/0.92</f>
        <v/>
      </c>
      <c r="Z22" s="18">
        <f>AC22</f>
        <v/>
      </c>
      <c r="AA22" s="5" t="inlineStr">
        <is>
          <t>Ok</t>
        </is>
      </c>
      <c r="AB22" s="5" t="n"/>
      <c r="AC22" s="14" t="n">
        <v>31990</v>
      </c>
      <c r="AD22" s="5" t="n">
        <v>0</v>
      </c>
      <c r="AE22" s="5" t="n"/>
      <c r="AF22" s="5">
        <f>W22+X22</f>
        <v/>
      </c>
      <c r="AG22" s="5" t="n"/>
      <c r="AH22" s="13" t="n">
        <v>0</v>
      </c>
      <c r="AI22" s="13" t="n">
        <v>4804.485084745767</v>
      </c>
      <c r="AJ22" s="5" t="n"/>
      <c r="AL22" s="5" t="n"/>
      <c r="AM22" s="5" t="n">
        <v>31990</v>
      </c>
      <c r="AN22" s="5">
        <f>Y22-AM22</f>
        <v/>
      </c>
      <c r="AO22" s="5" t="n"/>
      <c r="AP22" s="5">
        <f>U22-AL22</f>
        <v/>
      </c>
      <c r="AQ22" s="20" t="n">
        <v>0</v>
      </c>
      <c r="AR22" s="20" t="n">
        <v>4804.485084745767</v>
      </c>
      <c r="AT22" s="3" t="n">
        <v>0</v>
      </c>
      <c r="AV22" s="5">
        <f>ROUNDUP((AT22/8)*80,0)</f>
        <v/>
      </c>
      <c r="AX22" s="38">
        <f>AV22*W22</f>
        <v/>
      </c>
      <c r="BA22" s="3" t="n">
        <v>0</v>
      </c>
      <c r="BB22" s="3" t="n">
        <v>-2</v>
      </c>
      <c r="BC22" s="3" t="n">
        <v>0</v>
      </c>
      <c r="BD22" s="3">
        <f>BC22+BB22+BA22</f>
        <v/>
      </c>
      <c r="BE22" s="3" t="n">
        <v>5</v>
      </c>
      <c r="BF22" s="3" t="n">
        <v>0</v>
      </c>
      <c r="BH22" s="3">
        <f>ROUNDUP(BD22*1.85,0)</f>
        <v/>
      </c>
      <c r="BJ22" s="38">
        <f>BH22*V22</f>
        <v/>
      </c>
      <c r="BL22" s="3">
        <f>U22*1.18</f>
        <v/>
      </c>
    </row>
    <row r="23">
      <c r="A23" s="1" t="inlineStr">
        <is>
          <t>82R1007XIN</t>
        </is>
      </c>
      <c r="B23" s="1">
        <f>IF(BL23&lt;40000,"Entry",IF(BL23&gt;65000,"Premium","Mainstream"))</f>
        <v/>
      </c>
      <c r="C23" s="1" t="inlineStr">
        <is>
          <t>Mainstream</t>
        </is>
      </c>
      <c r="D23" s="1" t="inlineStr">
        <is>
          <t>R3 OS Office</t>
        </is>
      </c>
      <c r="E23" s="1" t="inlineStr">
        <is>
          <t>Thin &amp; Light</t>
        </is>
      </c>
      <c r="F23" s="1" t="inlineStr">
        <is>
          <t>Slim 1</t>
        </is>
      </c>
      <c r="G23" s="1" t="inlineStr">
        <is>
          <t>IdeaPad 1 15ADA7</t>
        </is>
      </c>
      <c r="H23" s="1" t="inlineStr">
        <is>
          <t>R3</t>
        </is>
      </c>
      <c r="I23" s="1" t="inlineStr">
        <is>
          <t>3XXu</t>
        </is>
      </c>
      <c r="J23" s="1" t="inlineStr">
        <is>
          <t>R3-3250U</t>
        </is>
      </c>
      <c r="K23" s="1" t="inlineStr">
        <is>
          <t>8GB</t>
        </is>
      </c>
      <c r="L23" s="1" t="inlineStr">
        <is>
          <t>512GB SSD</t>
        </is>
      </c>
      <c r="M23" s="1" t="inlineStr">
        <is>
          <t>Win11</t>
        </is>
      </c>
      <c r="N23" s="1" t="inlineStr">
        <is>
          <t>Office 2021</t>
        </is>
      </c>
      <c r="O23" s="1" t="inlineStr">
        <is>
          <t>INTEGRATED_GRAPHICS</t>
        </is>
      </c>
      <c r="P23" s="1" t="inlineStr">
        <is>
          <t>15.6FHD_TN_AG_250N_N</t>
        </is>
      </c>
      <c r="Q23" s="1" t="inlineStr">
        <is>
          <t>2 Yr Warranty</t>
        </is>
      </c>
      <c r="R23" s="1" t="inlineStr">
        <is>
          <t>Zero GTN</t>
        </is>
      </c>
      <c r="S23" s="1" t="n">
        <v>725</v>
      </c>
      <c r="T23" s="2" t="n">
        <v>29786.4728</v>
      </c>
      <c r="U23" s="13" t="n">
        <v>31014.65306122449</v>
      </c>
      <c r="V23" s="13" t="n">
        <v>0</v>
      </c>
      <c r="W23" s="13" t="n">
        <v>0</v>
      </c>
      <c r="X23" s="13" t="n"/>
      <c r="Y23" s="2">
        <f>(U23*0.98-S23-V23-W23-X23)*1.18/0.92</f>
        <v/>
      </c>
      <c r="Z23" s="18">
        <f>AC23</f>
        <v/>
      </c>
      <c r="AA23" s="5" t="inlineStr">
        <is>
          <t>Ok</t>
        </is>
      </c>
      <c r="AB23" s="5" t="n"/>
      <c r="AC23" s="14" t="n">
        <v>31990</v>
      </c>
      <c r="AD23" s="5" t="n">
        <v>0</v>
      </c>
      <c r="AE23" s="5" t="n"/>
      <c r="AF23" s="5">
        <f>W23+X23</f>
        <v/>
      </c>
      <c r="AG23" s="5" t="n"/>
      <c r="AH23" s="13" t="n">
        <v>0</v>
      </c>
      <c r="AI23" s="13" t="n">
        <v>4728.00406779661</v>
      </c>
      <c r="AJ23" s="5" t="n"/>
      <c r="AL23" s="5" t="n"/>
      <c r="AM23" s="5" t="n">
        <v>31990</v>
      </c>
      <c r="AN23" s="5">
        <f>Y23-AM23</f>
        <v/>
      </c>
      <c r="AO23" s="5" t="n"/>
      <c r="AP23" s="5">
        <f>U23-AL23</f>
        <v/>
      </c>
      <c r="AQ23" s="20" t="n">
        <v>0</v>
      </c>
      <c r="AR23" s="20" t="n">
        <v>4728.00406779661</v>
      </c>
      <c r="AT23" s="3" t="n">
        <v>0</v>
      </c>
      <c r="AV23" s="5">
        <f>ROUNDUP((AT23/8)*80,0)</f>
        <v/>
      </c>
      <c r="AX23" s="38">
        <f>AV23*W23</f>
        <v/>
      </c>
      <c r="BA23" s="3" t="n">
        <v>0</v>
      </c>
      <c r="BB23" s="3" t="n">
        <v>0</v>
      </c>
      <c r="BC23" s="3" t="n">
        <v>0</v>
      </c>
      <c r="BD23" s="3">
        <f>BC23+BB23+BA23</f>
        <v/>
      </c>
      <c r="BE23" s="3" t="n">
        <v>0</v>
      </c>
      <c r="BF23" s="3" t="n">
        <v>0</v>
      </c>
      <c r="BH23" s="3">
        <f>ROUNDUP(BD23*1.85,0)</f>
        <v/>
      </c>
      <c r="BJ23" s="38">
        <f>BH23*V23</f>
        <v/>
      </c>
      <c r="BL23" s="3">
        <f>U23*1.18</f>
        <v/>
      </c>
    </row>
    <row r="24">
      <c r="A24" s="1" t="inlineStr">
        <is>
          <t>82XV00BRIN</t>
        </is>
      </c>
      <c r="B24" s="1">
        <f>IF(BL24&lt;40000,"Entry",IF(BL24&gt;65000,"Premium","Mainstream"))</f>
        <v/>
      </c>
      <c r="C24" s="1" t="inlineStr">
        <is>
          <t>Premium</t>
        </is>
      </c>
      <c r="D24" s="1" t="inlineStr">
        <is>
          <t>i7 OS 8GB Graphics Office</t>
        </is>
      </c>
      <c r="E24" s="1" t="inlineStr">
        <is>
          <t>Gaming</t>
        </is>
      </c>
      <c r="F24" s="1" t="inlineStr">
        <is>
          <t>LOQ</t>
        </is>
      </c>
      <c r="G24" s="1" t="inlineStr">
        <is>
          <t>LOQ 15IRH8</t>
        </is>
      </c>
      <c r="H24" s="1" t="inlineStr">
        <is>
          <t>i7</t>
        </is>
      </c>
      <c r="I24" s="1" t="inlineStr">
        <is>
          <t>13th Gen</t>
        </is>
      </c>
      <c r="J24" s="1" t="inlineStr">
        <is>
          <t>i7-13620H</t>
        </is>
      </c>
      <c r="K24" s="1" t="inlineStr">
        <is>
          <t>16GB</t>
        </is>
      </c>
      <c r="L24" s="1" t="inlineStr">
        <is>
          <t>512GB SSD</t>
        </is>
      </c>
      <c r="M24" s="1" t="inlineStr">
        <is>
          <t>Windows 11</t>
        </is>
      </c>
      <c r="N24" s="1" t="inlineStr">
        <is>
          <t xml:space="preserve">OFFICE H&amp;S 2021  </t>
        </is>
      </c>
      <c r="O24" s="1" t="inlineStr">
        <is>
          <t>RTX 4060 8GB</t>
        </is>
      </c>
      <c r="P24" s="1" t="inlineStr">
        <is>
          <t>15.6_FHD_AG_350N_144_N</t>
        </is>
      </c>
      <c r="Q24" s="1" t="inlineStr">
        <is>
          <t>1 Year Onsite</t>
        </is>
      </c>
      <c r="R24" s="1" t="inlineStr">
        <is>
          <t>Full GTN</t>
        </is>
      </c>
      <c r="S24" s="1" t="n">
        <v>725</v>
      </c>
      <c r="T24" s="2">
        <f>U24*0.98*0.965</f>
        <v/>
      </c>
      <c r="U24" s="13" t="n">
        <v>102900.4915254237</v>
      </c>
      <c r="V24" s="13" t="n">
        <v>0</v>
      </c>
      <c r="W24" s="13" t="n">
        <v>7970.83932203391</v>
      </c>
      <c r="X24" s="13" t="n"/>
      <c r="Y24" s="2">
        <f>(U24*0.88-S24-V24-W24-X24)*1.18/0.92</f>
        <v/>
      </c>
      <c r="Z24" s="1" t="n">
        <v>104990</v>
      </c>
      <c r="AA24" s="5" t="n"/>
      <c r="AB24" s="5" t="n"/>
      <c r="AC24" s="14" t="n">
        <v>104990</v>
      </c>
      <c r="AD24" s="5">
        <f>(Y24-AC24)/1.18*0.92</f>
        <v/>
      </c>
      <c r="AE24" s="5" t="n"/>
      <c r="AF24" s="5">
        <f>W24+X24</f>
        <v/>
      </c>
      <c r="AG24" s="5" t="n"/>
      <c r="AH24" s="13" t="n">
        <v>0</v>
      </c>
      <c r="AI24" s="13">
        <f>5631.83932203391+2339</f>
        <v/>
      </c>
      <c r="AJ24" s="5" t="n"/>
      <c r="AL24" s="5" t="n"/>
      <c r="AM24" s="5" t="n">
        <v>104989.9782608696</v>
      </c>
      <c r="AN24" s="5">
        <f>Y24-AM24</f>
        <v/>
      </c>
      <c r="AO24" s="5" t="n"/>
      <c r="AP24" s="5">
        <f>U24-AL24</f>
        <v/>
      </c>
      <c r="AQ24" s="20" t="n">
        <v>0</v>
      </c>
      <c r="AR24" s="20" t="n">
        <v>7970.83932203391</v>
      </c>
      <c r="AT24" s="3" t="n">
        <v>30</v>
      </c>
      <c r="AV24" s="5">
        <f>ROUNDUP((AT24/8)*80,0)</f>
        <v/>
      </c>
      <c r="AX24" s="38">
        <f>AV24*W24</f>
        <v/>
      </c>
      <c r="BA24" s="3" t="n">
        <v>0</v>
      </c>
      <c r="BB24" s="3" t="n">
        <v>0</v>
      </c>
      <c r="BC24" s="3" t="n">
        <v>8</v>
      </c>
      <c r="BD24" s="3">
        <f>BC24+BB24+BA24</f>
        <v/>
      </c>
      <c r="BE24" s="3" t="n">
        <v>738</v>
      </c>
      <c r="BF24" s="3" t="n">
        <v>0</v>
      </c>
      <c r="BH24" s="3">
        <f>ROUNDUP(BD24*1.85,0)</f>
        <v/>
      </c>
      <c r="BJ24" s="38">
        <f>BH24*V24</f>
        <v/>
      </c>
      <c r="BL24" s="3">
        <f>U24*1.18</f>
        <v/>
      </c>
    </row>
    <row r="25">
      <c r="A25" s="1" t="inlineStr">
        <is>
          <t>82KU0238IN</t>
        </is>
      </c>
      <c r="B25" s="1">
        <f>IF(BL25&lt;40000,"Entry",IF(BL25&gt;65000,"Premium","Mainstream"))</f>
        <v/>
      </c>
      <c r="C25" s="1" t="inlineStr">
        <is>
          <t>Mainstream</t>
        </is>
      </c>
      <c r="D25" s="1" t="inlineStr">
        <is>
          <t>R5 OS Office</t>
        </is>
      </c>
      <c r="E25" s="1" t="inlineStr">
        <is>
          <t>Thin &amp; Light</t>
        </is>
      </c>
      <c r="F25" s="1" t="inlineStr">
        <is>
          <t>Slim 3</t>
        </is>
      </c>
      <c r="G25" s="1" t="inlineStr">
        <is>
          <t>IdeaPad 3 15ALC6</t>
        </is>
      </c>
      <c r="H25" s="1" t="inlineStr">
        <is>
          <t>R5</t>
        </is>
      </c>
      <c r="I25" s="1" t="inlineStr">
        <is>
          <t>5XXXU</t>
        </is>
      </c>
      <c r="J25" s="1" t="inlineStr">
        <is>
          <t>R5-5500U</t>
        </is>
      </c>
      <c r="K25" s="1" t="inlineStr">
        <is>
          <t>16GB</t>
        </is>
      </c>
      <c r="L25" s="1" t="inlineStr">
        <is>
          <t>512GB SSD</t>
        </is>
      </c>
      <c r="M25" s="1" t="inlineStr">
        <is>
          <t>Win11</t>
        </is>
      </c>
      <c r="N25" s="1" t="inlineStr">
        <is>
          <t>Office 2021</t>
        </is>
      </c>
      <c r="O25" s="1" t="inlineStr">
        <is>
          <t>INTEGRATED_GRAPHICS</t>
        </is>
      </c>
      <c r="P25" s="1" t="inlineStr">
        <is>
          <t>15.6FHD_AG_300N_N</t>
        </is>
      </c>
      <c r="Q25" s="1" t="inlineStr">
        <is>
          <t>2 Yr Warranty</t>
        </is>
      </c>
      <c r="R25" s="1" t="inlineStr">
        <is>
          <t>Full GTN</t>
        </is>
      </c>
      <c r="S25" s="1" t="n">
        <v>725</v>
      </c>
      <c r="T25" s="2" t="n">
        <v>41770.63788802133</v>
      </c>
      <c r="U25" s="13" t="n">
        <v>44169.01542563322</v>
      </c>
      <c r="V25" s="13" t="n">
        <v>0</v>
      </c>
      <c r="W25" s="13" t="n">
        <v>5068</v>
      </c>
      <c r="X25" s="13" t="n"/>
      <c r="Y25" s="2">
        <f>(U25*0.89-S25-V25-W25-X25)*1.18/0.92</f>
        <v/>
      </c>
      <c r="Z25" s="18">
        <f>AC25</f>
        <v/>
      </c>
      <c r="AA25" s="5" t="inlineStr">
        <is>
          <t>Ok</t>
        </is>
      </c>
      <c r="AB25" s="5" t="n"/>
      <c r="AC25" s="14" t="n">
        <v>42990</v>
      </c>
      <c r="AD25" s="5">
        <f>(Y25-AC25)/1.18*0.92</f>
        <v/>
      </c>
      <c r="AE25" s="5" t="n"/>
      <c r="AF25" s="5">
        <f>W25+X25</f>
        <v/>
      </c>
      <c r="AG25" s="5" t="n"/>
      <c r="AH25" s="13" t="n">
        <v>0</v>
      </c>
      <c r="AI25" s="13" t="n">
        <v>5067.796610169491</v>
      </c>
      <c r="AJ25" s="5" t="n"/>
      <c r="AL25" s="5" t="n"/>
      <c r="AM25" s="5" t="n">
        <v>42990</v>
      </c>
      <c r="AN25" s="5">
        <f>Y25-AM25</f>
        <v/>
      </c>
      <c r="AO25" s="5" t="n"/>
      <c r="AP25" s="5">
        <f>U25-AL25</f>
        <v/>
      </c>
      <c r="AQ25" s="20" t="n">
        <v>0</v>
      </c>
      <c r="AR25" s="20" t="n">
        <v>5067.796610169491</v>
      </c>
      <c r="AT25" s="3" t="n">
        <v>1</v>
      </c>
      <c r="AV25" s="5">
        <f>ROUNDUP((AT25/8)*80,0)</f>
        <v/>
      </c>
      <c r="AX25" s="38">
        <f>AV25*W25</f>
        <v/>
      </c>
      <c r="BA25" s="3" t="n">
        <v>0</v>
      </c>
      <c r="BB25" s="3" t="n">
        <v>0</v>
      </c>
      <c r="BC25" s="3" t="n">
        <v>0</v>
      </c>
      <c r="BD25" s="3">
        <f>BC25+BB25+BA25</f>
        <v/>
      </c>
      <c r="BE25" s="3" t="n">
        <v>19</v>
      </c>
      <c r="BF25" s="3" t="n">
        <v>0</v>
      </c>
      <c r="BH25" s="3">
        <f>ROUNDUP(BD25*1.85,0)</f>
        <v/>
      </c>
      <c r="BJ25" s="38">
        <f>BH25*V25</f>
        <v/>
      </c>
      <c r="BL25" s="3">
        <f>U25*1.18</f>
        <v/>
      </c>
    </row>
    <row r="26">
      <c r="A26" s="1" t="inlineStr">
        <is>
          <t>82R400ERIN</t>
        </is>
      </c>
      <c r="B26" s="1">
        <f>IF(BL26&lt;40000,"Entry",IF(BL26&gt;65000,"Premium","Mainstream"))</f>
        <v/>
      </c>
      <c r="C26" s="1" t="inlineStr">
        <is>
          <t>Mainstream</t>
        </is>
      </c>
      <c r="D26" s="1" t="inlineStr">
        <is>
          <t>R5 OS Office</t>
        </is>
      </c>
      <c r="E26" s="1" t="inlineStr">
        <is>
          <t>Thin &amp; Light</t>
        </is>
      </c>
      <c r="F26" s="1" t="inlineStr">
        <is>
          <t>Slim 1</t>
        </is>
      </c>
      <c r="G26" s="1" t="inlineStr">
        <is>
          <t>IP 1 15ALC7</t>
        </is>
      </c>
      <c r="H26" s="1" t="inlineStr">
        <is>
          <t>R5</t>
        </is>
      </c>
      <c r="I26" s="1" t="inlineStr">
        <is>
          <t>5XXXU</t>
        </is>
      </c>
      <c r="J26" s="1" t="inlineStr">
        <is>
          <t>R5-5500U</t>
        </is>
      </c>
      <c r="K26" s="1" t="inlineStr">
        <is>
          <t>16GB</t>
        </is>
      </c>
      <c r="L26" s="1" t="inlineStr">
        <is>
          <t>512GB SSD</t>
        </is>
      </c>
      <c r="M26" s="1" t="inlineStr">
        <is>
          <t>Windows 11</t>
        </is>
      </c>
      <c r="N26" s="1" t="inlineStr">
        <is>
          <t>Office 2021</t>
        </is>
      </c>
      <c r="O26" s="1" t="inlineStr">
        <is>
          <t>INTEGRATED_GRAPHICS</t>
        </is>
      </c>
      <c r="P26" s="1" t="inlineStr">
        <is>
          <t>15.6FHD_AG_220N_N</t>
        </is>
      </c>
      <c r="Q26" s="1" t="inlineStr">
        <is>
          <t>1 Yr. Onsite + 1 Yr. ADP</t>
        </is>
      </c>
      <c r="R26" s="1" t="inlineStr">
        <is>
          <t>Zero GTN</t>
        </is>
      </c>
      <c r="S26" s="1" t="n">
        <v>0</v>
      </c>
      <c r="T26" s="2" t="n">
        <v>36218</v>
      </c>
      <c r="U26" s="13" t="n">
        <v>37711.86440677966</v>
      </c>
      <c r="V26" s="13" t="n">
        <v>0</v>
      </c>
      <c r="W26" s="13" t="n">
        <v>4999.322033898308</v>
      </c>
      <c r="X26" s="13" t="n"/>
      <c r="Y26" s="2">
        <f>(U26*0.98-S26-V26-W26-X26)*1.18/0.92</f>
        <v/>
      </c>
      <c r="Z26" s="18">
        <f>AC26</f>
        <v/>
      </c>
      <c r="AA26" s="5" t="inlineStr">
        <is>
          <t>Ok</t>
        </is>
      </c>
      <c r="AB26" s="5" t="n"/>
      <c r="AC26" s="14" t="n">
        <v>40990</v>
      </c>
      <c r="AD26" s="5">
        <f>(Y26-AC26)/1.18*0.92</f>
        <v/>
      </c>
      <c r="AE26" s="5" t="n"/>
      <c r="AF26" s="5">
        <f>W26+X26</f>
        <v/>
      </c>
      <c r="AG26" s="5" t="n"/>
      <c r="AH26" s="13" t="n">
        <v>0</v>
      </c>
      <c r="AI26" s="13" t="n">
        <v>4999.322033898308</v>
      </c>
      <c r="AJ26" s="5" t="n"/>
      <c r="AL26" s="5" t="n"/>
      <c r="AM26" s="5" t="n">
        <v>40989.99999999999</v>
      </c>
      <c r="AN26" s="5">
        <f>Y26-AM26</f>
        <v/>
      </c>
      <c r="AO26" s="5" t="n"/>
      <c r="AP26" s="5">
        <f>U26-AL26</f>
        <v/>
      </c>
      <c r="AQ26" s="20" t="n">
        <v>0</v>
      </c>
      <c r="AR26" s="20" t="n">
        <v>4999.322033898308</v>
      </c>
      <c r="AT26" s="3" t="n">
        <v>117</v>
      </c>
      <c r="AV26" s="5">
        <f>ROUNDUP((AT26/8)*80,0)</f>
        <v/>
      </c>
      <c r="AX26" s="38">
        <f>AV26*W26</f>
        <v/>
      </c>
      <c r="BA26" s="3" t="n">
        <v>0</v>
      </c>
      <c r="BB26" s="3" t="n">
        <v>141</v>
      </c>
      <c r="BC26" s="3" t="n">
        <v>533</v>
      </c>
      <c r="BD26" s="3">
        <f>BC26+BB26+BA26</f>
        <v/>
      </c>
      <c r="BE26" s="3" t="n">
        <v>5</v>
      </c>
      <c r="BF26" s="3" t="n">
        <v>0</v>
      </c>
      <c r="BH26" s="3">
        <f>ROUNDUP(BD26*1.85,0)</f>
        <v/>
      </c>
      <c r="BJ26" s="38">
        <f>BH26*V26</f>
        <v/>
      </c>
      <c r="BL26" s="3">
        <f>U26*1.18</f>
        <v/>
      </c>
    </row>
    <row r="27">
      <c r="A27" s="1" t="inlineStr">
        <is>
          <t>82SF008YIN</t>
        </is>
      </c>
      <c r="B27" s="1">
        <f>IF(BL27&lt;40000,"Entry",IF(BL27&gt;65000,"Premium","Mainstream"))</f>
        <v/>
      </c>
      <c r="C27" s="1" t="inlineStr">
        <is>
          <t>Premium</t>
        </is>
      </c>
      <c r="D27" s="1" t="inlineStr">
        <is>
          <t>i5 OS Office</t>
        </is>
      </c>
      <c r="E27" s="1" t="inlineStr">
        <is>
          <t>Thin &amp; Light</t>
        </is>
      </c>
      <c r="F27" s="1" t="inlineStr">
        <is>
          <t>Slim 5</t>
        </is>
      </c>
      <c r="G27" s="1" t="inlineStr">
        <is>
          <t>IdeaPad 5 15IAL7</t>
        </is>
      </c>
      <c r="H27" s="1" t="inlineStr">
        <is>
          <t>i5</t>
        </is>
      </c>
      <c r="I27" s="1" t="inlineStr">
        <is>
          <t>12th Gen</t>
        </is>
      </c>
      <c r="J27" s="1" t="inlineStr">
        <is>
          <t>i5-1235U</t>
        </is>
      </c>
      <c r="K27" s="1" t="inlineStr">
        <is>
          <t>16GB</t>
        </is>
      </c>
      <c r="L27" s="1" t="inlineStr">
        <is>
          <t>512GB SSD</t>
        </is>
      </c>
      <c r="M27" s="1" t="inlineStr">
        <is>
          <t>Win11</t>
        </is>
      </c>
      <c r="N27" s="1" t="inlineStr">
        <is>
          <t>Office 2021</t>
        </is>
      </c>
      <c r="O27" s="1" t="inlineStr">
        <is>
          <t>INTEGRATED_GRAPHICS</t>
        </is>
      </c>
      <c r="P27" s="1" t="inlineStr">
        <is>
          <t>15.6FHD_IPS_AG_300N_N</t>
        </is>
      </c>
      <c r="Q27" s="1" t="inlineStr">
        <is>
          <t>1 Yr Onsite + 1 Yr PC + 1 Yr ADP</t>
        </is>
      </c>
      <c r="R27" s="1" t="inlineStr">
        <is>
          <t>Full GTN</t>
        </is>
      </c>
      <c r="S27" s="1" t="n">
        <v>1881</v>
      </c>
      <c r="T27" s="2">
        <f>U27*0.965*0.98</f>
        <v/>
      </c>
      <c r="U27" s="13" t="n">
        <v>61666.3906009245</v>
      </c>
      <c r="V27" s="13" t="n">
        <v>0</v>
      </c>
      <c r="W27" s="13" t="n">
        <v>6393</v>
      </c>
      <c r="X27" s="13" t="n"/>
      <c r="Y27" s="2">
        <f>(U27*0.88-S27-V27-W27-X27)*1.18/0.92</f>
        <v/>
      </c>
      <c r="Z27" s="18" t="n">
        <v>58990</v>
      </c>
      <c r="AA27" s="5" t="n"/>
      <c r="AB27" s="5" t="n"/>
      <c r="AC27" s="14" t="n">
        <v>58990</v>
      </c>
      <c r="AD27" s="5">
        <f>(Y27-AC27)/1.18*0.92</f>
        <v/>
      </c>
      <c r="AE27" s="5" t="n"/>
      <c r="AF27" s="5">
        <f>W27+X27</f>
        <v/>
      </c>
      <c r="AG27" s="5" t="n"/>
      <c r="AH27" s="13" t="n">
        <v>0</v>
      </c>
      <c r="AI27" s="13">
        <f>4054.23728813559+2339</f>
        <v/>
      </c>
      <c r="AJ27" s="5" t="n"/>
      <c r="AL27" s="5" t="n"/>
      <c r="AM27" s="5" t="n">
        <v>58989.97826086957</v>
      </c>
      <c r="AN27" s="5">
        <f>Y27-AM27</f>
        <v/>
      </c>
      <c r="AO27" s="5" t="n"/>
      <c r="AP27" s="5">
        <f>U27-AL27</f>
        <v/>
      </c>
      <c r="AQ27" s="20" t="n">
        <v>0</v>
      </c>
      <c r="AR27" s="20" t="n">
        <v>6393.23728813559</v>
      </c>
      <c r="AT27" s="3" t="n">
        <v>6</v>
      </c>
      <c r="AV27" s="5">
        <f>ROUNDUP((AT27/8)*80,0)</f>
        <v/>
      </c>
      <c r="AX27" s="38">
        <f>AV27*W27</f>
        <v/>
      </c>
      <c r="BA27" s="3" t="n">
        <v>0</v>
      </c>
      <c r="BB27" s="3" t="n">
        <v>-1</v>
      </c>
      <c r="BC27" s="3" t="n">
        <v>-1</v>
      </c>
      <c r="BD27" s="3">
        <f>BC27+BB27+BA27</f>
        <v/>
      </c>
      <c r="BE27" s="3" t="n">
        <v>0</v>
      </c>
      <c r="BF27" s="3" t="n">
        <v>0</v>
      </c>
      <c r="BH27" s="3">
        <f>ROUNDUP(BD27*1.85,0)</f>
        <v/>
      </c>
      <c r="BJ27" s="38">
        <f>BH27*V27</f>
        <v/>
      </c>
      <c r="BL27" s="3">
        <f>U27*1.18</f>
        <v/>
      </c>
    </row>
    <row r="28">
      <c r="A28" s="1" t="inlineStr">
        <is>
          <t>82R400BRIN</t>
        </is>
      </c>
      <c r="B28" s="1">
        <f>IF(BL28&lt;40000,"Entry",IF(BL28&gt;65000,"Premium","Mainstream"))</f>
        <v/>
      </c>
      <c r="C28" s="1" t="inlineStr">
        <is>
          <t>Mainstream</t>
        </is>
      </c>
      <c r="D28" s="1" t="inlineStr">
        <is>
          <t>R5 OS Office</t>
        </is>
      </c>
      <c r="E28" s="1" t="inlineStr">
        <is>
          <t>Thin &amp; Light</t>
        </is>
      </c>
      <c r="F28" s="1" t="inlineStr">
        <is>
          <t>Slim 1</t>
        </is>
      </c>
      <c r="G28" s="1" t="inlineStr">
        <is>
          <t>IP 1 15ALC7</t>
        </is>
      </c>
      <c r="H28" s="1" t="inlineStr">
        <is>
          <t>R5</t>
        </is>
      </c>
      <c r="I28" s="1" t="inlineStr">
        <is>
          <t>5XXXU</t>
        </is>
      </c>
      <c r="J28" s="1" t="inlineStr">
        <is>
          <t>R5-5500U</t>
        </is>
      </c>
      <c r="K28" s="1" t="inlineStr">
        <is>
          <t>8GB</t>
        </is>
      </c>
      <c r="L28" s="1" t="inlineStr">
        <is>
          <t>512GB SSD</t>
        </is>
      </c>
      <c r="M28" s="1" t="inlineStr">
        <is>
          <t>Windows 11</t>
        </is>
      </c>
      <c r="N28" s="1" t="inlineStr">
        <is>
          <t>Office 2021</t>
        </is>
      </c>
      <c r="O28" s="1" t="inlineStr">
        <is>
          <t>INTEGRATED_GRAPHICS</t>
        </is>
      </c>
      <c r="P28" s="1" t="inlineStr">
        <is>
          <t>15.6FHD_AG_220N_N</t>
        </is>
      </c>
      <c r="Q28" s="1" t="inlineStr">
        <is>
          <t>1 Yr. Onsite + 1 Yr. ADP</t>
        </is>
      </c>
      <c r="R28" s="1" t="inlineStr">
        <is>
          <t>Zero GTN</t>
        </is>
      </c>
      <c r="S28" s="1" t="n">
        <v>0</v>
      </c>
      <c r="T28" s="2" t="n">
        <v>33870</v>
      </c>
      <c r="U28" s="13" t="n">
        <v>35266.94915254237</v>
      </c>
      <c r="V28" s="13" t="n">
        <v>0</v>
      </c>
      <c r="W28" s="13" t="n">
        <v>4942.288135593222</v>
      </c>
      <c r="X28" s="13" t="n"/>
      <c r="Y28" s="2">
        <f>(U28*0.98-S28-V28-W28-X28)*1.18/0.92</f>
        <v/>
      </c>
      <c r="Z28" s="18">
        <f>AC28</f>
        <v/>
      </c>
      <c r="AA28" s="5" t="inlineStr">
        <is>
          <t>Ok</t>
        </is>
      </c>
      <c r="AB28" s="5" t="n"/>
      <c r="AC28" s="14" t="n">
        <v>37990</v>
      </c>
      <c r="AD28" s="5">
        <f>(Y28-AC28)/1.18*0.92</f>
        <v/>
      </c>
      <c r="AE28" s="5" t="n"/>
      <c r="AF28" s="5">
        <f>W28+X28</f>
        <v/>
      </c>
      <c r="AG28" s="5" t="n"/>
      <c r="AH28" s="13" t="n">
        <v>0</v>
      </c>
      <c r="AI28" s="13" t="n">
        <v>4942.288135593222</v>
      </c>
      <c r="AJ28" s="5" t="n"/>
      <c r="AL28" s="5" t="n"/>
      <c r="AM28" s="5" t="n">
        <v>37989.99999999999</v>
      </c>
      <c r="AN28" s="5">
        <f>Y28-AM28</f>
        <v/>
      </c>
      <c r="AO28" s="5" t="n"/>
      <c r="AP28" s="5">
        <f>U28-AL28</f>
        <v/>
      </c>
      <c r="AQ28" s="20" t="n">
        <v>0</v>
      </c>
      <c r="AR28" s="20" t="n">
        <v>4942.288135593222</v>
      </c>
      <c r="AT28" s="3" t="n">
        <v>142</v>
      </c>
      <c r="AV28" s="5">
        <f>ROUNDUP((AT28/8)*80,0)</f>
        <v/>
      </c>
      <c r="AX28" s="38">
        <f>AV28*W28</f>
        <v/>
      </c>
      <c r="BA28" s="3" t="n">
        <v>126</v>
      </c>
      <c r="BB28" s="3" t="n">
        <v>0</v>
      </c>
      <c r="BC28" s="3" t="n">
        <v>0</v>
      </c>
      <c r="BD28" s="3">
        <f>BC28+BB28+BA28</f>
        <v/>
      </c>
      <c r="BE28" s="3" t="n">
        <v>113</v>
      </c>
      <c r="BF28" s="3" t="n">
        <v>1000</v>
      </c>
      <c r="BH28" s="3">
        <f>ROUNDUP(BD28*1.85,0)</f>
        <v/>
      </c>
      <c r="BJ28" s="38">
        <f>BH28*V28</f>
        <v/>
      </c>
      <c r="BL28" s="3">
        <f>U28*1.18</f>
        <v/>
      </c>
    </row>
    <row r="29">
      <c r="A29" s="1" t="inlineStr">
        <is>
          <t>82XT004KIN</t>
        </is>
      </c>
      <c r="B29" s="1">
        <f>IF(BL29&lt;40000,"Entry",IF(BL29&gt;65000,"Premium","Mainstream"))</f>
        <v/>
      </c>
      <c r="C29" s="1" t="inlineStr">
        <is>
          <t>Premium</t>
        </is>
      </c>
      <c r="D29" s="1" t="inlineStr">
        <is>
          <t>R7 OS 8GB Graphics Office</t>
        </is>
      </c>
      <c r="E29" s="1" t="inlineStr">
        <is>
          <t>Gaming</t>
        </is>
      </c>
      <c r="F29" s="1" t="inlineStr">
        <is>
          <t>LOQ</t>
        </is>
      </c>
      <c r="G29" s="1" t="inlineStr">
        <is>
          <t>LOQ 15APH8</t>
        </is>
      </c>
      <c r="H29" s="1" t="inlineStr">
        <is>
          <t>R7</t>
        </is>
      </c>
      <c r="I29" s="1" t="inlineStr">
        <is>
          <t>7XXXHS</t>
        </is>
      </c>
      <c r="J29" s="1" t="inlineStr">
        <is>
          <t>R7-7840HS</t>
        </is>
      </c>
      <c r="K29" s="1" t="inlineStr">
        <is>
          <t>16GB</t>
        </is>
      </c>
      <c r="L29" s="1" t="inlineStr">
        <is>
          <t>512GB SSD</t>
        </is>
      </c>
      <c r="M29" s="1" t="inlineStr">
        <is>
          <t>Windows 11</t>
        </is>
      </c>
      <c r="N29" s="1" t="inlineStr">
        <is>
          <t>Office 2021</t>
        </is>
      </c>
      <c r="O29" s="1" t="inlineStr">
        <is>
          <t>RTX 4060 8GB</t>
        </is>
      </c>
      <c r="P29" s="1" t="inlineStr">
        <is>
          <t>15.6FHD_AG_350N_144_N</t>
        </is>
      </c>
      <c r="Q29" s="1" t="inlineStr">
        <is>
          <t>1 Year onsite</t>
        </is>
      </c>
      <c r="R29" s="1" t="inlineStr">
        <is>
          <t>Full GTN</t>
        </is>
      </c>
      <c r="S29" s="1" t="n">
        <v>725</v>
      </c>
      <c r="T29" s="2">
        <f>U29*0.98*0.965</f>
        <v/>
      </c>
      <c r="U29" s="13" t="n">
        <v>97556.14406779663</v>
      </c>
      <c r="V29" s="13" t="n">
        <v>0</v>
      </c>
      <c r="W29" s="13" t="n">
        <v>5606.779661016961</v>
      </c>
      <c r="X29" s="13" t="n">
        <v>3898.305084745763</v>
      </c>
      <c r="Y29" s="2">
        <f>(U29*0.88-S29-V29-W29-X29)*1.18/0.92</f>
        <v/>
      </c>
      <c r="Z29" s="1" t="n">
        <v>96990</v>
      </c>
      <c r="AA29" s="5" t="n"/>
      <c r="AB29" s="5" t="n"/>
      <c r="AC29" s="14" t="n">
        <v>96990</v>
      </c>
      <c r="AD29" s="5">
        <f>(Y29-AC29)/1.18*0.92</f>
        <v/>
      </c>
      <c r="AE29" s="5" t="n"/>
      <c r="AF29" s="5">
        <f>W29+X29</f>
        <v/>
      </c>
      <c r="AG29" s="5" t="n"/>
      <c r="AH29" s="13" t="n">
        <v>0</v>
      </c>
      <c r="AI29" s="13" t="n">
        <v>5606.779661016961</v>
      </c>
      <c r="AJ29" s="5" t="n"/>
      <c r="AL29" s="5" t="n"/>
      <c r="AM29" s="5" t="n">
        <v>101990</v>
      </c>
      <c r="AN29" s="5">
        <f>Y29-AM29</f>
        <v/>
      </c>
      <c r="AO29" s="5" t="n"/>
      <c r="AP29" s="5">
        <f>U29-AL29</f>
        <v/>
      </c>
      <c r="AQ29" s="20" t="n">
        <v>0</v>
      </c>
      <c r="AR29" s="20" t="n">
        <v>5606.779661016961</v>
      </c>
      <c r="AT29" s="3" t="n">
        <v>2</v>
      </c>
      <c r="AV29" s="5">
        <f>ROUNDUP((AT29/8)*80,0)</f>
        <v/>
      </c>
      <c r="AX29" s="38">
        <f>AV29*W29</f>
        <v/>
      </c>
      <c r="BA29" s="3" t="n">
        <v>0</v>
      </c>
      <c r="BB29" s="3" t="n">
        <v>0</v>
      </c>
      <c r="BC29" s="3" t="n">
        <v>7</v>
      </c>
      <c r="BD29" s="3">
        <f>BC29+BB29+BA29</f>
        <v/>
      </c>
      <c r="BE29" s="3" t="n">
        <v>368</v>
      </c>
      <c r="BF29" s="3" t="n">
        <v>0</v>
      </c>
      <c r="BH29" s="3">
        <f>ROUNDUP(BD29*1.85,0)</f>
        <v/>
      </c>
      <c r="BJ29" s="38">
        <f>BH29*V29</f>
        <v/>
      </c>
      <c r="BL29" s="3">
        <f>U29*1.18</f>
        <v/>
      </c>
    </row>
    <row r="30">
      <c r="A30" s="1" t="inlineStr">
        <is>
          <t>82XT009CIN</t>
        </is>
      </c>
      <c r="B30" s="1">
        <f>IF(BL30&lt;40000,"Entry",IF(BL30&gt;65000,"Premium","Mainstream"))</f>
        <v/>
      </c>
      <c r="C30" s="1" t="inlineStr">
        <is>
          <t>Premium</t>
        </is>
      </c>
      <c r="D30" s="1" t="inlineStr">
        <is>
          <t>R7 OS 8GB Graphics Office</t>
        </is>
      </c>
      <c r="E30" s="1" t="inlineStr">
        <is>
          <t>Gaming</t>
        </is>
      </c>
      <c r="F30" s="1" t="inlineStr">
        <is>
          <t>LOQ</t>
        </is>
      </c>
      <c r="G30" s="1" t="inlineStr">
        <is>
          <t>LOQ 15APH8</t>
        </is>
      </c>
      <c r="H30" s="1" t="inlineStr">
        <is>
          <t>R7</t>
        </is>
      </c>
      <c r="I30" s="1" t="inlineStr">
        <is>
          <t>7XXXHS</t>
        </is>
      </c>
      <c r="J30" s="1" t="inlineStr">
        <is>
          <t>R7 7840HS</t>
        </is>
      </c>
      <c r="K30" s="1" t="inlineStr">
        <is>
          <t>16GB</t>
        </is>
      </c>
      <c r="L30" s="1" t="inlineStr">
        <is>
          <t>512GB SSD</t>
        </is>
      </c>
      <c r="M30" s="1" t="inlineStr">
        <is>
          <t>Windows 11</t>
        </is>
      </c>
      <c r="N30" s="1" t="inlineStr">
        <is>
          <t xml:space="preserve">OFFICE H&amp;S 2021  </t>
        </is>
      </c>
      <c r="O30" s="1" t="inlineStr">
        <is>
          <t>RTX 4060 8GB</t>
        </is>
      </c>
      <c r="P30" s="1" t="inlineStr">
        <is>
          <t>15.6" FHD (1920x1080) IPS 350nits</t>
        </is>
      </c>
      <c r="Q30" s="1" t="inlineStr">
        <is>
          <t>1 Year Onsite</t>
        </is>
      </c>
      <c r="R30" s="1" t="inlineStr">
        <is>
          <t>Full GTN</t>
        </is>
      </c>
      <c r="S30" s="1" t="n">
        <v>725</v>
      </c>
      <c r="T30" s="2">
        <f>U30*0.98*0.965</f>
        <v/>
      </c>
      <c r="U30" s="13" t="n">
        <v>98301</v>
      </c>
      <c r="V30" s="13" t="n">
        <v>0</v>
      </c>
      <c r="W30" s="13" t="n">
        <v>6262.252881355933</v>
      </c>
      <c r="X30" s="13" t="n">
        <v>3898.305084745763</v>
      </c>
      <c r="Y30" s="2">
        <f>(U30*0.88-S30-V30-W30-X30)*1.18/0.92</f>
        <v/>
      </c>
      <c r="Z30" s="1" t="n">
        <v>96990</v>
      </c>
      <c r="AA30" s="5" t="n"/>
      <c r="AB30" s="5" t="n"/>
      <c r="AC30" s="14" t="n">
        <v>96990</v>
      </c>
      <c r="AD30" s="5">
        <f>(Y30-AC30)/1.18*0.92</f>
        <v/>
      </c>
      <c r="AE30" s="5" t="n"/>
      <c r="AF30" s="5">
        <f>W30+X30</f>
        <v/>
      </c>
      <c r="AG30" s="5" t="n"/>
      <c r="AH30" s="13" t="n">
        <v>0</v>
      </c>
      <c r="AI30" s="13" t="n">
        <v>6262.252881355933</v>
      </c>
      <c r="AJ30" s="5" t="n"/>
      <c r="AL30" s="5" t="n"/>
      <c r="AM30" s="5" t="n">
        <v>101990</v>
      </c>
      <c r="AN30" s="5">
        <f>Y30-AM30</f>
        <v/>
      </c>
      <c r="AO30" s="5" t="n"/>
      <c r="AP30" s="5">
        <f>U30-AL30</f>
        <v/>
      </c>
      <c r="AQ30" s="20" t="n">
        <v>0</v>
      </c>
      <c r="AR30" s="20" t="n">
        <v>6262.252881355933</v>
      </c>
      <c r="AT30" s="3" t="n">
        <v>0</v>
      </c>
      <c r="AV30" s="5">
        <f>ROUNDUP((AT30/8)*80,0)</f>
        <v/>
      </c>
      <c r="AX30" s="38">
        <f>AV30*W30</f>
        <v/>
      </c>
      <c r="BA30" s="3" t="n">
        <v>0</v>
      </c>
      <c r="BB30" s="3" t="n">
        <v>0</v>
      </c>
      <c r="BC30" s="3" t="n">
        <v>0</v>
      </c>
      <c r="BD30" s="3">
        <f>BC30+BB30+BA30</f>
        <v/>
      </c>
      <c r="BE30" s="3" t="n">
        <v>33</v>
      </c>
      <c r="BF30" s="3" t="n">
        <v>0</v>
      </c>
      <c r="BH30" s="3">
        <f>ROUNDUP(BD30*1.85,0)</f>
        <v/>
      </c>
      <c r="BJ30" s="38">
        <f>BH30*V30</f>
        <v/>
      </c>
      <c r="BL30" s="3">
        <f>U30*1.18</f>
        <v/>
      </c>
    </row>
    <row r="31">
      <c r="A31" s="1" t="inlineStr">
        <is>
          <t>82JU00SYIN</t>
        </is>
      </c>
      <c r="B31" s="1">
        <f>IF(BL31&lt;40000,"Entry",IF(BL31&gt;65000,"Premium","Mainstream"))</f>
        <v/>
      </c>
      <c r="C31" s="1" t="inlineStr">
        <is>
          <t>Premium</t>
        </is>
      </c>
      <c r="D31" s="1" t="inlineStr">
        <is>
          <t>R7 OS 6GB Graphics Office</t>
        </is>
      </c>
      <c r="E31" s="1" t="inlineStr">
        <is>
          <t>Gaming</t>
        </is>
      </c>
      <c r="F31" s="1" t="inlineStr">
        <is>
          <t>Legion 5</t>
        </is>
      </c>
      <c r="G31" s="1" t="inlineStr">
        <is>
          <t>Legion 5 15ACH6H</t>
        </is>
      </c>
      <c r="H31" s="1" t="inlineStr">
        <is>
          <t>R7</t>
        </is>
      </c>
      <c r="I31" s="1" t="inlineStr">
        <is>
          <t>5XXXH</t>
        </is>
      </c>
      <c r="J31" s="1" t="inlineStr">
        <is>
          <t>Ryzen 7 5800H</t>
        </is>
      </c>
      <c r="K31" s="1" t="inlineStr">
        <is>
          <t>16GB</t>
        </is>
      </c>
      <c r="L31" s="1" t="inlineStr">
        <is>
          <t>1TB SSD</t>
        </is>
      </c>
      <c r="M31" s="1" t="inlineStr">
        <is>
          <t>Win11</t>
        </is>
      </c>
      <c r="N31" s="1" t="inlineStr">
        <is>
          <t>Office 2021</t>
        </is>
      </c>
      <c r="O31" s="1" t="inlineStr">
        <is>
          <t>RTX 3060 6GB</t>
        </is>
      </c>
      <c r="P31" s="1" t="inlineStr">
        <is>
          <t>15.6FHD_AG_300N_165_N_SRGB</t>
        </is>
      </c>
      <c r="Q31" s="1" t="inlineStr">
        <is>
          <t>1 Yr Onsite + 1 Yr LUS + 1 Yr ADP</t>
        </is>
      </c>
      <c r="R31" s="7" t="inlineStr">
        <is>
          <t>Full GTN</t>
        </is>
      </c>
      <c r="S31" s="1" t="n">
        <v>2457</v>
      </c>
      <c r="T31" s="2">
        <f>U31*0.98*0.965</f>
        <v/>
      </c>
      <c r="U31" s="32" t="n">
        <v>92133</v>
      </c>
      <c r="V31" s="13" t="n">
        <v>0</v>
      </c>
      <c r="W31" s="13" t="n">
        <v>661.7349152542301</v>
      </c>
      <c r="X31" s="13" t="n"/>
      <c r="Y31" s="2">
        <f>(U31*0.88-S31-V31-W31-X31)*1.18/0.92</f>
        <v/>
      </c>
      <c r="Z31" s="1" t="n">
        <v>99990</v>
      </c>
      <c r="AA31" s="5" t="n"/>
      <c r="AB31" s="5" t="n"/>
      <c r="AC31" s="14" t="n">
        <v>99990</v>
      </c>
      <c r="AD31" s="5">
        <f>(Y31-AC31)/1.18*0.92</f>
        <v/>
      </c>
      <c r="AE31" s="5" t="n"/>
      <c r="AF31" s="5">
        <f>W31+X31</f>
        <v/>
      </c>
      <c r="AG31" s="5" t="n"/>
      <c r="AH31" s="13" t="n">
        <v>0</v>
      </c>
      <c r="AI31" s="13" t="n">
        <v>661.7349152542301</v>
      </c>
      <c r="AJ31" s="5" t="n"/>
      <c r="AL31" s="5" t="n"/>
      <c r="AM31" s="5" t="n">
        <v>99990</v>
      </c>
      <c r="AN31" s="5">
        <f>Y31-AM31</f>
        <v/>
      </c>
      <c r="AO31" s="5" t="n"/>
      <c r="AP31" s="5">
        <f>U31-AL31</f>
        <v/>
      </c>
      <c r="AQ31" s="20" t="n">
        <v>0</v>
      </c>
      <c r="AR31" s="20" t="n">
        <v>661.7349152542301</v>
      </c>
      <c r="AT31" s="3" t="n">
        <v>0</v>
      </c>
      <c r="AV31" s="5">
        <f>ROUNDUP((AT31/8)*80,0)</f>
        <v/>
      </c>
      <c r="AX31" s="38">
        <f>AV31*W31</f>
        <v/>
      </c>
      <c r="BA31" s="3" t="n">
        <v>0</v>
      </c>
      <c r="BB31" s="3" t="n">
        <v>0</v>
      </c>
      <c r="BC31" s="3" t="n">
        <v>0</v>
      </c>
      <c r="BD31" s="3">
        <f>BC31+BB31+BA31</f>
        <v/>
      </c>
      <c r="BE31" s="3" t="n">
        <v>9</v>
      </c>
      <c r="BF31" s="3" t="n">
        <v>10</v>
      </c>
      <c r="BH31" s="3">
        <f>ROUNDUP(BD31*1.85,0)</f>
        <v/>
      </c>
      <c r="BJ31" s="38">
        <f>BH31*V31</f>
        <v/>
      </c>
      <c r="BL31" s="3">
        <f>U31*1.18</f>
        <v/>
      </c>
    </row>
    <row r="32">
      <c r="A32" s="1" t="inlineStr">
        <is>
          <t>82XT004JIN</t>
        </is>
      </c>
      <c r="B32" s="1">
        <f>IF(BL32&lt;40000,"Entry",IF(BL32&gt;65000,"Premium","Mainstream"))</f>
        <v/>
      </c>
      <c r="C32" s="1" t="inlineStr">
        <is>
          <t>Premium</t>
        </is>
      </c>
      <c r="D32" s="1" t="inlineStr">
        <is>
          <t>R7 OS 6GB Graphics Office</t>
        </is>
      </c>
      <c r="E32" s="1" t="inlineStr">
        <is>
          <t>Gaming</t>
        </is>
      </c>
      <c r="F32" s="1" t="inlineStr">
        <is>
          <t>LOQ</t>
        </is>
      </c>
      <c r="G32" s="1" t="inlineStr">
        <is>
          <t>LOQ 15APH8</t>
        </is>
      </c>
      <c r="H32" s="1" t="inlineStr">
        <is>
          <t>R7</t>
        </is>
      </c>
      <c r="I32" s="1" t="inlineStr">
        <is>
          <t>7xxxHS</t>
        </is>
      </c>
      <c r="J32" s="1" t="inlineStr">
        <is>
          <t>R7-7840HS</t>
        </is>
      </c>
      <c r="K32" s="1" t="inlineStr">
        <is>
          <t>16GB</t>
        </is>
      </c>
      <c r="L32" s="1" t="inlineStr">
        <is>
          <t>512GB SSD</t>
        </is>
      </c>
      <c r="M32" s="1" t="inlineStr">
        <is>
          <t>Windows 11</t>
        </is>
      </c>
      <c r="N32" s="1" t="inlineStr">
        <is>
          <t xml:space="preserve">OFFICE H&amp;S 2021  </t>
        </is>
      </c>
      <c r="O32" s="1" t="inlineStr">
        <is>
          <t>RTX 4050 6GB</t>
        </is>
      </c>
      <c r="P32" s="1" t="inlineStr">
        <is>
          <t>15.6FHD_AG_350N_144_N</t>
        </is>
      </c>
      <c r="Q32" s="1" t="inlineStr">
        <is>
          <t>1 Year Onsite</t>
        </is>
      </c>
      <c r="R32" s="1" t="inlineStr">
        <is>
          <t>Full GTN</t>
        </is>
      </c>
      <c r="S32" s="1" t="n">
        <v>725</v>
      </c>
      <c r="T32" s="2">
        <f>U32*0.98*0.965</f>
        <v/>
      </c>
      <c r="U32" s="13" t="n">
        <v>89610.49152542373</v>
      </c>
      <c r="V32" s="13" t="n">
        <v>0</v>
      </c>
      <c r="W32" s="13" t="n">
        <v>5631.554576271184</v>
      </c>
      <c r="X32" s="13" t="n">
        <v>7016.949152542362</v>
      </c>
      <c r="Y32" s="2">
        <f>(U32*0.88-S32-V32-W32-X32)*1.18/0.92</f>
        <v/>
      </c>
      <c r="Z32" s="1" t="n">
        <v>83990</v>
      </c>
      <c r="AA32" s="5" t="n"/>
      <c r="AB32" s="5" t="n"/>
      <c r="AC32" s="14" t="n">
        <v>83990</v>
      </c>
      <c r="AD32" s="5">
        <f>(Y32-AC32)/1.18*0.92</f>
        <v/>
      </c>
      <c r="AE32" s="5" t="n"/>
      <c r="AF32" s="5">
        <f>W32+X32</f>
        <v/>
      </c>
      <c r="AG32" s="5" t="n"/>
      <c r="AH32" s="13" t="n">
        <v>0</v>
      </c>
      <c r="AI32" s="13" t="n">
        <v>5631.554576271184</v>
      </c>
      <c r="AJ32" s="5" t="n"/>
      <c r="AL32" s="5" t="n"/>
      <c r="AM32" s="5" t="n">
        <v>92989.99999999999</v>
      </c>
      <c r="AN32" s="5">
        <f>Y32-AM32</f>
        <v/>
      </c>
      <c r="AO32" s="5" t="n"/>
      <c r="AP32" s="5">
        <f>U32-AL32</f>
        <v/>
      </c>
      <c r="AQ32" s="20" t="n">
        <v>0</v>
      </c>
      <c r="AR32" s="20" t="n">
        <v>5631.554576271184</v>
      </c>
      <c r="AT32" s="3" t="n">
        <v>4</v>
      </c>
      <c r="AV32" s="5">
        <f>ROUNDUP((AT32/8)*80,0)</f>
        <v/>
      </c>
      <c r="AX32" s="38">
        <f>AV32*W32</f>
        <v/>
      </c>
      <c r="BA32" s="3" t="n">
        <v>0</v>
      </c>
      <c r="BB32" s="3" t="n">
        <v>0</v>
      </c>
      <c r="BC32" s="3" t="n">
        <v>0</v>
      </c>
      <c r="BD32" s="3">
        <f>BC32+BB32+BA32</f>
        <v/>
      </c>
      <c r="BE32" s="3" t="n">
        <v>1348</v>
      </c>
      <c r="BF32" s="3" t="n">
        <v>0</v>
      </c>
      <c r="BH32" s="3">
        <f>ROUNDUP(BD32*1.85,0)</f>
        <v/>
      </c>
      <c r="BJ32" s="38">
        <f>BH32*V32</f>
        <v/>
      </c>
      <c r="BL32" s="3">
        <f>U32*1.18</f>
        <v/>
      </c>
    </row>
    <row r="33">
      <c r="A33" s="1" t="inlineStr">
        <is>
          <t>82K201UKIN</t>
        </is>
      </c>
      <c r="B33" s="1">
        <f>IF(BL33&lt;40000,"Entry",IF(BL33&gt;65000,"Premium","Mainstream"))</f>
        <v/>
      </c>
      <c r="C33" s="1" t="inlineStr">
        <is>
          <t>Premium</t>
        </is>
      </c>
      <c r="D33" s="1" t="inlineStr">
        <is>
          <t>R7 OS 4GB Graphics Office</t>
        </is>
      </c>
      <c r="E33" s="1" t="inlineStr">
        <is>
          <t>Gaming</t>
        </is>
      </c>
      <c r="F33" s="1" t="inlineStr">
        <is>
          <t>IP Gaming 3</t>
        </is>
      </c>
      <c r="G33" s="1" t="inlineStr">
        <is>
          <t>IdeaPad Gaming 3 15ACH6</t>
        </is>
      </c>
      <c r="H33" s="1" t="inlineStr">
        <is>
          <t>R7</t>
        </is>
      </c>
      <c r="I33" s="1" t="inlineStr">
        <is>
          <t>5XXXH</t>
        </is>
      </c>
      <c r="J33" s="1" t="inlineStr">
        <is>
          <t>Ryzen 7 5800H</t>
        </is>
      </c>
      <c r="K33" s="1" t="inlineStr">
        <is>
          <t>8GB</t>
        </is>
      </c>
      <c r="L33" s="1" t="inlineStr">
        <is>
          <t>512GB SSD</t>
        </is>
      </c>
      <c r="M33" s="1" t="inlineStr">
        <is>
          <t>Win11</t>
        </is>
      </c>
      <c r="N33" s="1" t="inlineStr">
        <is>
          <t>Office 2021</t>
        </is>
      </c>
      <c r="O33" s="1" t="inlineStr">
        <is>
          <t>RTX 3050 4GB</t>
        </is>
      </c>
      <c r="P33" s="1" t="inlineStr">
        <is>
          <t>15.6FHD_AG_250N_120_N</t>
        </is>
      </c>
      <c r="Q33" s="1" t="inlineStr">
        <is>
          <t>1 Yr Onsite + 1 Yr PC + 1 Yr ADP</t>
        </is>
      </c>
      <c r="R33" s="1" t="inlineStr">
        <is>
          <t>Zero GTN</t>
        </is>
      </c>
      <c r="S33" s="1" t="n">
        <v>725</v>
      </c>
      <c r="T33" s="2">
        <f>U33*0.98*0.98</f>
        <v/>
      </c>
      <c r="U33" s="13" t="n">
        <v>59031.15323417503</v>
      </c>
      <c r="V33" s="13" t="n">
        <v>4054</v>
      </c>
      <c r="W33" s="13" t="n">
        <v>2401.360677966099</v>
      </c>
      <c r="X33" s="13" t="n"/>
      <c r="Y33" s="2">
        <f>(U33*0.98-S33-V33-W33-X33)*1.18/0.92</f>
        <v/>
      </c>
      <c r="Z33" s="1" t="n">
        <v>64990</v>
      </c>
      <c r="AA33" s="5" t="n"/>
      <c r="AB33" s="5" t="n"/>
      <c r="AC33" s="14" t="n">
        <v>64990</v>
      </c>
      <c r="AD33" s="5">
        <f>(Y33-AC33)/1.18*0.92</f>
        <v/>
      </c>
      <c r="AE33" s="5" t="n"/>
      <c r="AF33" s="5">
        <f>W33+X33</f>
        <v/>
      </c>
      <c r="AG33" s="5" t="n"/>
      <c r="AH33" s="13" t="n">
        <v>4054</v>
      </c>
      <c r="AI33" s="13" t="n">
        <v>2401.360677966099</v>
      </c>
      <c r="AJ33" s="5" t="n"/>
      <c r="AL33" s="5" t="n"/>
      <c r="AM33" s="5" t="n">
        <v>64990</v>
      </c>
      <c r="AN33" s="5">
        <f>Y33-AM33</f>
        <v/>
      </c>
      <c r="AO33" s="5" t="n"/>
      <c r="AP33" s="5">
        <f>U33-AL33</f>
        <v/>
      </c>
      <c r="AQ33" s="20" t="n">
        <v>4054</v>
      </c>
      <c r="AR33" s="20" t="n">
        <v>2401.360677966099</v>
      </c>
      <c r="AT33" s="3" t="n">
        <v>0</v>
      </c>
      <c r="AV33" s="5">
        <f>ROUNDUP((AT33/8)*80,0)</f>
        <v/>
      </c>
      <c r="AX33" s="38">
        <f>AV33*W33</f>
        <v/>
      </c>
      <c r="BA33" s="3" t="n">
        <v>-2</v>
      </c>
      <c r="BB33" s="3" t="n">
        <v>0</v>
      </c>
      <c r="BC33" s="3" t="n">
        <v>0</v>
      </c>
      <c r="BD33" s="3">
        <f>BC33+BB33+BA33</f>
        <v/>
      </c>
      <c r="BE33" s="3" t="n">
        <v>0</v>
      </c>
      <c r="BF33" s="3" t="n">
        <v>0</v>
      </c>
      <c r="BH33" s="3">
        <f>ROUNDUP(BD33*1.85,0)</f>
        <v/>
      </c>
      <c r="BJ33" s="38">
        <f>BH33*V33</f>
        <v/>
      </c>
      <c r="BL33" s="3">
        <f>U33*1.18</f>
        <v/>
      </c>
    </row>
    <row r="34">
      <c r="A34" s="1" t="inlineStr">
        <is>
          <t>82XV00BQIN</t>
        </is>
      </c>
      <c r="B34" s="1">
        <f>IF(BL34&lt;40000,"Entry",IF(BL34&gt;65000,"Premium","Mainstream"))</f>
        <v/>
      </c>
      <c r="C34" s="1" t="inlineStr">
        <is>
          <t>Premium</t>
        </is>
      </c>
      <c r="D34" s="1" t="inlineStr">
        <is>
          <t>i7 OS 6GB Graphics Office</t>
        </is>
      </c>
      <c r="E34" s="1" t="inlineStr">
        <is>
          <t>Gaming</t>
        </is>
      </c>
      <c r="F34" s="1" t="inlineStr">
        <is>
          <t>LOQ</t>
        </is>
      </c>
      <c r="G34" s="1" t="inlineStr">
        <is>
          <t>LOQ 15IRH8</t>
        </is>
      </c>
      <c r="H34" s="1" t="inlineStr">
        <is>
          <t>i7</t>
        </is>
      </c>
      <c r="I34" s="1" t="inlineStr">
        <is>
          <t>13th Gen</t>
        </is>
      </c>
      <c r="J34" s="1" t="inlineStr">
        <is>
          <t>i7-13620H</t>
        </is>
      </c>
      <c r="K34" s="1" t="inlineStr">
        <is>
          <t>16GB</t>
        </is>
      </c>
      <c r="L34" s="1" t="inlineStr">
        <is>
          <t>512GB SSD</t>
        </is>
      </c>
      <c r="M34" s="1" t="inlineStr">
        <is>
          <t>Windows 11</t>
        </is>
      </c>
      <c r="N34" s="1" t="inlineStr">
        <is>
          <t xml:space="preserve">OFFICE H&amp;S 2021  </t>
        </is>
      </c>
      <c r="O34" s="1" t="inlineStr">
        <is>
          <t>RTX 4050 6GB</t>
        </is>
      </c>
      <c r="P34" s="1" t="inlineStr">
        <is>
          <t>15.6_FHD_AG_350N_144_N</t>
        </is>
      </c>
      <c r="Q34" s="1" t="inlineStr">
        <is>
          <t>1 Year Onsite</t>
        </is>
      </c>
      <c r="R34" s="1" t="inlineStr">
        <is>
          <t>Full GTN</t>
        </is>
      </c>
      <c r="S34" s="1" t="n">
        <v>725</v>
      </c>
      <c r="T34" s="2">
        <f>U34*0.98*0.965</f>
        <v/>
      </c>
      <c r="U34" s="13" t="n">
        <v>89610.49152542373</v>
      </c>
      <c r="V34" s="13" t="n">
        <v>0</v>
      </c>
      <c r="W34" s="13" t="n">
        <v>0</v>
      </c>
      <c r="X34" s="13" t="n"/>
      <c r="Y34" s="2">
        <f>(U34*0.88-S34-V34-W34-X34)*1.18/0.92</f>
        <v/>
      </c>
      <c r="Z34" s="1" t="n">
        <v>100190</v>
      </c>
      <c r="AA34" s="5" t="n"/>
      <c r="AB34" s="5" t="n"/>
      <c r="AC34" s="14" t="n">
        <v>100190</v>
      </c>
      <c r="AD34" s="5" t="n">
        <v>0</v>
      </c>
      <c r="AE34" s="5" t="n"/>
      <c r="AF34" s="5">
        <f>W34+X34</f>
        <v/>
      </c>
      <c r="AG34" s="5" t="n"/>
      <c r="AH34" s="13" t="n">
        <v>0</v>
      </c>
      <c r="AI34" s="13" t="n"/>
      <c r="AJ34" s="5" t="n"/>
      <c r="AL34" s="5" t="n"/>
      <c r="AM34" s="5" t="n">
        <v>100213.0808695652</v>
      </c>
      <c r="AN34" s="5">
        <f>Y34-AM34</f>
        <v/>
      </c>
      <c r="AO34" s="5" t="n"/>
      <c r="AP34" s="5">
        <f>U34-AL34</f>
        <v/>
      </c>
      <c r="AQ34" s="20" t="n">
        <v>0</v>
      </c>
      <c r="AR34" s="20" t="n"/>
      <c r="AT34" s="3" t="n">
        <v>1</v>
      </c>
      <c r="AV34" s="5">
        <f>ROUNDUP((AT34/8)*80,0)</f>
        <v/>
      </c>
      <c r="AX34" s="38">
        <f>AV34*W34</f>
        <v/>
      </c>
      <c r="BA34" s="3" t="n">
        <v>0</v>
      </c>
      <c r="BB34" s="3" t="n">
        <v>0</v>
      </c>
      <c r="BC34" s="3" t="n">
        <v>0</v>
      </c>
      <c r="BD34" s="3">
        <f>BC34+BB34+BA34</f>
        <v/>
      </c>
      <c r="BE34" s="3" t="n">
        <v>27</v>
      </c>
      <c r="BF34" s="3" t="n">
        <v>0</v>
      </c>
      <c r="BH34" s="3">
        <f>ROUNDUP(BD34*1.85,0)</f>
        <v/>
      </c>
      <c r="BJ34" s="38">
        <f>BH34*V34</f>
        <v/>
      </c>
      <c r="BL34" s="3">
        <f>U34*1.18</f>
        <v/>
      </c>
    </row>
    <row r="35">
      <c r="A35" s="1" t="inlineStr">
        <is>
          <t>82XV00F7IN</t>
        </is>
      </c>
      <c r="B35" s="1">
        <f>IF(BL35&lt;40000,"Entry",IF(BL35&gt;65000,"Premium","Mainstream"))</f>
        <v/>
      </c>
      <c r="C35" s="1" t="inlineStr">
        <is>
          <t>Premium</t>
        </is>
      </c>
      <c r="D35" s="1" t="inlineStr">
        <is>
          <t>i5 OS 8GB Graphics Office</t>
        </is>
      </c>
      <c r="E35" s="1" t="inlineStr">
        <is>
          <t>Gaming</t>
        </is>
      </c>
      <c r="F35" s="1" t="inlineStr">
        <is>
          <t>LOQ</t>
        </is>
      </c>
      <c r="G35" s="1" t="inlineStr">
        <is>
          <t>LOQ 15IRH8</t>
        </is>
      </c>
      <c r="H35" s="1" t="inlineStr">
        <is>
          <t>i5</t>
        </is>
      </c>
      <c r="I35" s="1" t="inlineStr">
        <is>
          <t>12th Gen</t>
        </is>
      </c>
      <c r="J35" s="1" t="inlineStr">
        <is>
          <t>i5-12450H</t>
        </is>
      </c>
      <c r="K35" s="1" t="inlineStr">
        <is>
          <t>16GB</t>
        </is>
      </c>
      <c r="L35" s="1" t="inlineStr">
        <is>
          <t>512GB SSD</t>
        </is>
      </c>
      <c r="M35" s="1" t="inlineStr">
        <is>
          <t>Windows 11</t>
        </is>
      </c>
      <c r="N35" s="1" t="inlineStr">
        <is>
          <t xml:space="preserve">OFFICE H&amp;S 2021  </t>
        </is>
      </c>
      <c r="O35" s="1" t="inlineStr">
        <is>
          <t>RTX 4060 8GB</t>
        </is>
      </c>
      <c r="P35" s="1" t="inlineStr">
        <is>
          <t>15.6_FHD_AG_350N_144_N</t>
        </is>
      </c>
      <c r="Q35" s="1" t="inlineStr">
        <is>
          <t>1 Year Onsite</t>
        </is>
      </c>
      <c r="R35" s="1" t="inlineStr">
        <is>
          <t>Full GTN</t>
        </is>
      </c>
      <c r="S35" s="1" t="n">
        <v>725</v>
      </c>
      <c r="T35" s="2">
        <f>U35*0.98*0.965</f>
        <v/>
      </c>
      <c r="U35" s="13" t="n">
        <v>87838.49152542373</v>
      </c>
      <c r="V35" s="13" t="n">
        <v>0</v>
      </c>
      <c r="W35" s="13" t="n">
        <v>5631.516610169478</v>
      </c>
      <c r="X35" s="13" t="n">
        <v>6237.288135593221</v>
      </c>
      <c r="Y35" s="2">
        <f>(U35*0.88-S35-V35-W35-X35)*1.18/0.92</f>
        <v/>
      </c>
      <c r="Z35" s="1" t="n">
        <v>82990</v>
      </c>
      <c r="AA35" s="5" t="n"/>
      <c r="AB35" s="5" t="n"/>
      <c r="AC35" s="14" t="n">
        <v>82990</v>
      </c>
      <c r="AD35" s="5">
        <f>(Y35-AC35)/1.18*0.92</f>
        <v/>
      </c>
      <c r="AE35" s="5" t="n"/>
      <c r="AF35" s="5">
        <f>W35+X35</f>
        <v/>
      </c>
      <c r="AG35" s="5" t="n"/>
      <c r="AH35" s="13" t="n">
        <v>0</v>
      </c>
      <c r="AI35" s="13" t="n">
        <v>5631.516610169478</v>
      </c>
      <c r="AJ35" s="5" t="n"/>
      <c r="AL35" s="5" t="n"/>
      <c r="AM35" s="5" t="n">
        <v>90990</v>
      </c>
      <c r="AN35" s="5">
        <f>Y35-AM35</f>
        <v/>
      </c>
      <c r="AO35" s="5" t="n"/>
      <c r="AP35" s="5">
        <f>U35-AL35</f>
        <v/>
      </c>
      <c r="AQ35" s="20" t="n">
        <v>0</v>
      </c>
      <c r="AR35" s="20" t="n">
        <v>5631.516610169478</v>
      </c>
      <c r="AT35" s="3" t="n">
        <v>7</v>
      </c>
      <c r="AV35" s="5">
        <f>ROUNDUP((AT35/8)*80,0)</f>
        <v/>
      </c>
      <c r="AX35" s="38">
        <f>AV35*W35</f>
        <v/>
      </c>
      <c r="BA35" s="3" t="n">
        <v>0</v>
      </c>
      <c r="BB35" s="3" t="n">
        <v>0</v>
      </c>
      <c r="BC35" s="3" t="n">
        <v>13</v>
      </c>
      <c r="BD35" s="3">
        <f>BC35+BB35+BA35</f>
        <v/>
      </c>
      <c r="BE35" s="3" t="n">
        <v>952</v>
      </c>
      <c r="BF35" s="3" t="n">
        <v>0</v>
      </c>
      <c r="BH35" s="3">
        <f>ROUNDUP(BD35*1.85,0)</f>
        <v/>
      </c>
      <c r="BJ35" s="38">
        <f>BH35*V35</f>
        <v/>
      </c>
      <c r="BL35" s="3">
        <f>U35*1.18</f>
        <v/>
      </c>
    </row>
    <row r="36">
      <c r="A36" s="1" t="inlineStr">
        <is>
          <t>82K201Y8IN</t>
        </is>
      </c>
      <c r="B36" s="1">
        <f>IF(BL36&lt;40000,"Entry",IF(BL36&gt;65000,"Premium","Mainstream"))</f>
        <v/>
      </c>
      <c r="C36" s="1" t="inlineStr">
        <is>
          <t>Premium</t>
        </is>
      </c>
      <c r="D36" s="1" t="inlineStr">
        <is>
          <t>R7 OS 4GB Graphics Office</t>
        </is>
      </c>
      <c r="E36" s="1" t="inlineStr">
        <is>
          <t>Gaming</t>
        </is>
      </c>
      <c r="F36" s="1" t="inlineStr">
        <is>
          <t>IP Gaming 3</t>
        </is>
      </c>
      <c r="G36" s="1" t="inlineStr">
        <is>
          <t>IdeaPad Gaming 3 15ACH6</t>
        </is>
      </c>
      <c r="H36" s="1" t="inlineStr">
        <is>
          <t>R7</t>
        </is>
      </c>
      <c r="I36" s="1" t="inlineStr">
        <is>
          <t>5XXXH</t>
        </is>
      </c>
      <c r="J36" s="1" t="inlineStr">
        <is>
          <t>Ryzen 7 5800H</t>
        </is>
      </c>
      <c r="K36" s="1" t="inlineStr">
        <is>
          <t>8GB</t>
        </is>
      </c>
      <c r="L36" s="1" t="inlineStr">
        <is>
          <t>512GB SSD</t>
        </is>
      </c>
      <c r="M36" s="1" t="inlineStr">
        <is>
          <t>Win11</t>
        </is>
      </c>
      <c r="N36" s="1" t="inlineStr">
        <is>
          <t>Office 2021</t>
        </is>
      </c>
      <c r="O36" s="1" t="inlineStr">
        <is>
          <t>RTX 3050 4GB</t>
        </is>
      </c>
      <c r="P36" s="1" t="inlineStr">
        <is>
          <t>15.6FHD_AG_250N_120_N</t>
        </is>
      </c>
      <c r="Q36" s="1" t="inlineStr">
        <is>
          <t>1 Yr Onsite + 1 Yr PC + 1 Yr ADP</t>
        </is>
      </c>
      <c r="R36" s="7" t="inlineStr">
        <is>
          <t>Zero GTN</t>
        </is>
      </c>
      <c r="S36" s="1" t="n">
        <v>725</v>
      </c>
      <c r="T36" s="2">
        <f>U36*0.98*0.98</f>
        <v/>
      </c>
      <c r="U36" s="13" t="n">
        <v>59031.15323417503</v>
      </c>
      <c r="V36" s="13" t="n">
        <v>4054</v>
      </c>
      <c r="W36" s="13" t="n">
        <v>2401.360677966099</v>
      </c>
      <c r="X36" s="13" t="n"/>
      <c r="Y36" s="2">
        <f>(U36*0.98-S36-V36-W36-X36)*1.18/0.92</f>
        <v/>
      </c>
      <c r="Z36" s="1" t="n">
        <v>64990</v>
      </c>
      <c r="AA36" s="5" t="n"/>
      <c r="AB36" s="5" t="n"/>
      <c r="AC36" s="14" t="n">
        <v>64990</v>
      </c>
      <c r="AD36" s="5">
        <f>(Y36-AC36)/1.18*0.92</f>
        <v/>
      </c>
      <c r="AE36" s="5" t="n"/>
      <c r="AF36" s="5">
        <f>W36+X36</f>
        <v/>
      </c>
      <c r="AG36" s="5" t="n"/>
      <c r="AH36" s="13" t="n">
        <v>4054</v>
      </c>
      <c r="AI36" s="13" t="n">
        <v>2401.360677966099</v>
      </c>
      <c r="AJ36" s="5" t="n"/>
      <c r="AL36" s="5" t="n"/>
      <c r="AM36" s="5" t="n">
        <v>64990</v>
      </c>
      <c r="AN36" s="5">
        <f>Y36-AM36</f>
        <v/>
      </c>
      <c r="AO36" s="5" t="n"/>
      <c r="AP36" s="5">
        <f>U36-AL36</f>
        <v/>
      </c>
      <c r="AQ36" s="20" t="n">
        <v>4054</v>
      </c>
      <c r="AR36" s="20" t="n">
        <v>2401.360677966099</v>
      </c>
      <c r="AT36" s="3" t="n">
        <v>0</v>
      </c>
      <c r="AV36" s="5">
        <f>ROUNDUP((AT36/8)*80,0)</f>
        <v/>
      </c>
      <c r="AX36" s="38">
        <f>AV36*W36</f>
        <v/>
      </c>
      <c r="BA36" s="3" t="n">
        <v>0</v>
      </c>
      <c r="BB36" s="3" t="n">
        <v>0</v>
      </c>
      <c r="BC36" s="3" t="n">
        <v>0</v>
      </c>
      <c r="BD36" s="3">
        <f>BC36+BB36+BA36</f>
        <v/>
      </c>
      <c r="BE36" s="3" t="n">
        <v>3</v>
      </c>
      <c r="BF36" s="3" t="n">
        <v>0</v>
      </c>
      <c r="BH36" s="3">
        <f>ROUNDUP(BD36*1.85,0)</f>
        <v/>
      </c>
      <c r="BJ36" s="38">
        <f>BH36*V36</f>
        <v/>
      </c>
      <c r="BL36" s="3">
        <f>U36*1.18</f>
        <v/>
      </c>
    </row>
    <row r="37">
      <c r="A37" s="1" t="inlineStr">
        <is>
          <t>82JU00YPIN</t>
        </is>
      </c>
      <c r="B37" s="1">
        <f>IF(BL37&lt;40000,"Entry",IF(BL37&gt;65000,"Premium","Mainstream"))</f>
        <v/>
      </c>
      <c r="C37" s="1" t="inlineStr">
        <is>
          <t>Premium</t>
        </is>
      </c>
      <c r="D37" s="1" t="inlineStr">
        <is>
          <t>R7 OS 6GB Graphics Office</t>
        </is>
      </c>
      <c r="E37" s="1" t="inlineStr">
        <is>
          <t>Gaming</t>
        </is>
      </c>
      <c r="F37" s="1" t="inlineStr">
        <is>
          <t>Legion 5</t>
        </is>
      </c>
      <c r="G37" s="1" t="inlineStr">
        <is>
          <t>Legion 5 15ACH6H</t>
        </is>
      </c>
      <c r="H37" s="1" t="inlineStr">
        <is>
          <t>R7</t>
        </is>
      </c>
      <c r="I37" s="1" t="inlineStr">
        <is>
          <t>5XXXH</t>
        </is>
      </c>
      <c r="J37" s="1" t="inlineStr">
        <is>
          <t>R7 5800H</t>
        </is>
      </c>
      <c r="K37" s="1" t="inlineStr">
        <is>
          <t>16GB</t>
        </is>
      </c>
      <c r="L37" s="1" t="inlineStr">
        <is>
          <t>1TB SSD</t>
        </is>
      </c>
      <c r="M37" s="1" t="inlineStr">
        <is>
          <t>Windows 11</t>
        </is>
      </c>
      <c r="N37" s="1" t="inlineStr">
        <is>
          <t>Office 2021</t>
        </is>
      </c>
      <c r="O37" s="1" t="inlineStr">
        <is>
          <t>RTX 3060 6GB</t>
        </is>
      </c>
      <c r="P37" s="1" t="inlineStr">
        <is>
          <t>15.6FHD_AG_300N_165_N_SRGB</t>
        </is>
      </c>
      <c r="Q37" s="1" t="inlineStr">
        <is>
          <t>1 Year onsite</t>
        </is>
      </c>
      <c r="R37" s="1" t="inlineStr">
        <is>
          <t>Zero GTN</t>
        </is>
      </c>
      <c r="S37" s="1" t="n">
        <v>0</v>
      </c>
      <c r="T37" s="2">
        <f>U37*0.98*0.98</f>
        <v/>
      </c>
      <c r="U37" s="13" t="n">
        <v>79638.30508474576</v>
      </c>
      <c r="V37" s="13" t="n">
        <v>0</v>
      </c>
      <c r="W37" s="13" t="n">
        <v>0</v>
      </c>
      <c r="X37" s="13" t="n"/>
      <c r="Y37" s="2">
        <f>(U37*0.98-S37-V37-W37-X37)*1.18/0.92</f>
        <v/>
      </c>
      <c r="Z37" s="1" t="n">
        <v>99990</v>
      </c>
      <c r="AA37" s="5" t="n"/>
      <c r="AB37" s="5" t="n"/>
      <c r="AC37" s="14" t="n">
        <v>99990</v>
      </c>
      <c r="AD37" s="5" t="n">
        <v>0</v>
      </c>
      <c r="AE37" s="5" t="n"/>
      <c r="AF37" s="5">
        <f>W37+X37</f>
        <v/>
      </c>
      <c r="AG37" s="5" t="n"/>
      <c r="AH37" s="13" t="n">
        <v>0</v>
      </c>
      <c r="AI37" s="13" t="n">
        <v>0</v>
      </c>
      <c r="AJ37" s="5" t="n"/>
      <c r="AL37" s="5" t="n"/>
      <c r="AM37" s="5" t="n">
        <v>100101.8869565217</v>
      </c>
      <c r="AN37" s="5">
        <f>Y37-AM37</f>
        <v/>
      </c>
      <c r="AO37" s="5" t="n"/>
      <c r="AP37" s="5">
        <f>U37-AL37</f>
        <v/>
      </c>
      <c r="AQ37" s="20" t="n">
        <v>0</v>
      </c>
      <c r="AR37" s="20" t="n">
        <v>0</v>
      </c>
      <c r="AT37" s="3" t="n">
        <v>1</v>
      </c>
      <c r="AV37" s="5">
        <f>ROUNDUP((AT37/8)*80,0)</f>
        <v/>
      </c>
      <c r="AX37" s="38">
        <f>AV37*W37</f>
        <v/>
      </c>
      <c r="BA37" s="3" t="n">
        <v>0</v>
      </c>
      <c r="BB37" s="3" t="n">
        <v>0</v>
      </c>
      <c r="BC37" s="3" t="n">
        <v>0</v>
      </c>
      <c r="BD37" s="3">
        <f>BC37+BB37+BA37</f>
        <v/>
      </c>
      <c r="BE37" s="3" t="n">
        <v>185</v>
      </c>
      <c r="BF37" s="3" t="n">
        <v>0</v>
      </c>
      <c r="BH37" s="3">
        <f>ROUNDUP(BD37*1.85,0)</f>
        <v/>
      </c>
      <c r="BJ37" s="38">
        <f>BH37*V37</f>
        <v/>
      </c>
      <c r="BL37" s="3">
        <f>U37*1.18</f>
        <v/>
      </c>
    </row>
    <row r="38">
      <c r="A38" s="1" t="inlineStr">
        <is>
          <t>82XV00F6IN</t>
        </is>
      </c>
      <c r="B38" s="1">
        <f>IF(BL38&lt;40000,"Entry",IF(BL38&gt;65000,"Premium","Mainstream"))</f>
        <v/>
      </c>
      <c r="C38" s="1" t="inlineStr">
        <is>
          <t>Premium</t>
        </is>
      </c>
      <c r="D38" s="1" t="inlineStr">
        <is>
          <t>i5 OS 6GB Graphics Office</t>
        </is>
      </c>
      <c r="E38" s="1" t="inlineStr">
        <is>
          <t>Gaming</t>
        </is>
      </c>
      <c r="F38" s="1" t="inlineStr">
        <is>
          <t>LOQ</t>
        </is>
      </c>
      <c r="G38" s="1" t="inlineStr">
        <is>
          <t>LOQ 15IRH8</t>
        </is>
      </c>
      <c r="H38" s="1" t="inlineStr">
        <is>
          <t>i5</t>
        </is>
      </c>
      <c r="I38" s="1" t="inlineStr">
        <is>
          <t>12th Gen</t>
        </is>
      </c>
      <c r="J38" s="1" t="inlineStr">
        <is>
          <t>i5-12450H</t>
        </is>
      </c>
      <c r="K38" s="1" t="inlineStr">
        <is>
          <t>16GB</t>
        </is>
      </c>
      <c r="L38" s="1" t="inlineStr">
        <is>
          <t>512GB SSD</t>
        </is>
      </c>
      <c r="M38" s="1" t="inlineStr">
        <is>
          <t>Windows 11</t>
        </is>
      </c>
      <c r="N38" s="1" t="inlineStr">
        <is>
          <t xml:space="preserve">OFFICE H&amp;S 2021  </t>
        </is>
      </c>
      <c r="O38" s="1" t="inlineStr">
        <is>
          <t>RTX 4050 6GB</t>
        </is>
      </c>
      <c r="P38" s="1" t="inlineStr">
        <is>
          <t>15.6FHD_AG_350N_144_N</t>
        </is>
      </c>
      <c r="Q38" s="1" t="inlineStr">
        <is>
          <t>1 Year Onsite</t>
        </is>
      </c>
      <c r="R38" s="1" t="inlineStr">
        <is>
          <t>Full GTN</t>
        </is>
      </c>
      <c r="S38" s="1" t="n">
        <v>725</v>
      </c>
      <c r="T38" s="2">
        <f>U38*0.98*0.965</f>
        <v/>
      </c>
      <c r="U38" s="13" t="n">
        <v>82079.49152542373</v>
      </c>
      <c r="V38" s="13" t="n">
        <v>4461.901694915243</v>
      </c>
      <c r="W38" s="13" t="n">
        <v>0</v>
      </c>
      <c r="X38" s="13" t="n">
        <v>7016.949152542373</v>
      </c>
      <c r="Y38" s="2">
        <f>(U38*0.88-S38-V38-W38-X38)*1.18/0.92</f>
        <v/>
      </c>
      <c r="Z38" s="1" t="n">
        <v>76990</v>
      </c>
      <c r="AA38" s="5" t="n"/>
      <c r="AB38" s="5" t="n"/>
      <c r="AC38" s="14" t="n">
        <v>76990</v>
      </c>
      <c r="AD38" s="5">
        <f>(Y38-AC38)/1.18*0.92</f>
        <v/>
      </c>
      <c r="AE38" s="5" t="n"/>
      <c r="AF38" s="5">
        <f>W38+X38</f>
        <v/>
      </c>
      <c r="AG38" s="5" t="n"/>
      <c r="AH38" s="13" t="n">
        <v>4461.901694915243</v>
      </c>
      <c r="AI38" s="13" t="n">
        <v>0</v>
      </c>
      <c r="AJ38" s="5" t="n"/>
      <c r="AL38" s="5" t="n"/>
      <c r="AM38" s="5" t="n">
        <v>85990</v>
      </c>
      <c r="AN38" s="5">
        <f>Y38-AM38</f>
        <v/>
      </c>
      <c r="AO38" s="5" t="n"/>
      <c r="AP38" s="5">
        <f>U38-AL38</f>
        <v/>
      </c>
      <c r="AQ38" s="20" t="n">
        <v>4461.901694915243</v>
      </c>
      <c r="AR38" s="20" t="n">
        <v>0</v>
      </c>
      <c r="AT38" s="3" t="n">
        <v>0</v>
      </c>
      <c r="AV38" s="5">
        <f>ROUNDUP((AT38/8)*80,0)</f>
        <v/>
      </c>
      <c r="AX38" s="38">
        <f>AV38*W38</f>
        <v/>
      </c>
      <c r="BA38" s="3" t="n">
        <v>0</v>
      </c>
      <c r="BB38" s="3" t="n">
        <v>0</v>
      </c>
      <c r="BC38" s="3" t="n">
        <v>0</v>
      </c>
      <c r="BD38" s="3">
        <f>BC38+BB38+BA38</f>
        <v/>
      </c>
      <c r="BE38" s="3" t="n">
        <v>774</v>
      </c>
      <c r="BF38" s="3" t="n">
        <v>0</v>
      </c>
      <c r="BH38" s="3">
        <f>ROUNDUP(BD38*1.85,0)</f>
        <v/>
      </c>
      <c r="BJ38" s="38">
        <f>BH38*V38</f>
        <v/>
      </c>
      <c r="BL38" s="3">
        <f>U38*1.18</f>
        <v/>
      </c>
    </row>
    <row r="39">
      <c r="A39" s="1" t="inlineStr">
        <is>
          <t>82JQ00JCIN</t>
        </is>
      </c>
      <c r="B39" s="1">
        <f>IF(BL39&lt;40000,"Entry",IF(BL39&gt;65000,"Premium","Mainstream"))</f>
        <v/>
      </c>
      <c r="C39" s="1" t="inlineStr">
        <is>
          <t>Premium</t>
        </is>
      </c>
      <c r="D39" s="1" t="inlineStr">
        <is>
          <t>R7 OS 6GB Graphics Office</t>
        </is>
      </c>
      <c r="E39" s="1" t="inlineStr">
        <is>
          <t>Gaming</t>
        </is>
      </c>
      <c r="F39" s="1" t="inlineStr">
        <is>
          <t>Legion 5 Pro</t>
        </is>
      </c>
      <c r="G39" s="1" t="inlineStr">
        <is>
          <t>Legion 5 Pro 16ACH6H</t>
        </is>
      </c>
      <c r="H39" s="1" t="inlineStr">
        <is>
          <t>R7</t>
        </is>
      </c>
      <c r="I39" s="1" t="inlineStr">
        <is>
          <t>5XXXH</t>
        </is>
      </c>
      <c r="J39" s="1" t="inlineStr">
        <is>
          <t>Ryzen 7 5800H</t>
        </is>
      </c>
      <c r="K39" s="1" t="inlineStr">
        <is>
          <t>16GB</t>
        </is>
      </c>
      <c r="L39" s="1" t="inlineStr">
        <is>
          <t>1TB SSD</t>
        </is>
      </c>
      <c r="M39" s="1" t="inlineStr">
        <is>
          <t>Win11</t>
        </is>
      </c>
      <c r="N39" s="1" t="inlineStr">
        <is>
          <t>Office 2021</t>
        </is>
      </c>
      <c r="O39" s="1" t="inlineStr">
        <is>
          <t>RTX 3060 6GB</t>
        </is>
      </c>
      <c r="P39" s="1" t="inlineStr">
        <is>
          <t>16WQXGA_AG_500N_165_N_HDR_SRGB</t>
        </is>
      </c>
      <c r="Q39" s="1" t="inlineStr">
        <is>
          <t>3 Yr Warranty + 1 Yr LUS + 1 Yr ADP</t>
        </is>
      </c>
      <c r="R39" s="7" t="inlineStr">
        <is>
          <t>Full GTN</t>
        </is>
      </c>
      <c r="S39" s="1" t="n">
        <v>2457</v>
      </c>
      <c r="T39" s="2">
        <f>U39*0.98*0.965</f>
        <v/>
      </c>
      <c r="U39" s="13" t="n">
        <v>124567.7966101695</v>
      </c>
      <c r="V39" s="13" t="n">
        <v>17796.23820706554</v>
      </c>
      <c r="W39" s="13" t="n">
        <v>7509.812640392076</v>
      </c>
      <c r="X39" s="13" t="n"/>
      <c r="Y39" s="2">
        <f>(U39*0.88-S39-V39-W39-X39)*1.18/0.92</f>
        <v/>
      </c>
      <c r="Z39" s="1" t="n">
        <v>104990</v>
      </c>
      <c r="AA39" s="5" t="n"/>
      <c r="AB39" s="5" t="n"/>
      <c r="AC39" s="14" t="n">
        <v>104990</v>
      </c>
      <c r="AD39" s="5">
        <f>(Y39-AC39)/1.18*0.92</f>
        <v/>
      </c>
      <c r="AE39" s="5" t="n"/>
      <c r="AF39" s="5">
        <f>W39+X39</f>
        <v/>
      </c>
      <c r="AG39" s="5" t="n"/>
      <c r="AH39" s="13" t="n">
        <v>17796.23820706554</v>
      </c>
      <c r="AI39" s="13" t="n">
        <v>7509.812640392076</v>
      </c>
      <c r="AJ39" s="5" t="n"/>
      <c r="AL39" s="5" t="n"/>
      <c r="AM39" s="5" t="n">
        <v>104990</v>
      </c>
      <c r="AN39" s="5">
        <f>Y39-AM39</f>
        <v/>
      </c>
      <c r="AO39" s="5" t="n"/>
      <c r="AP39" s="5">
        <f>U39-AL39</f>
        <v/>
      </c>
      <c r="AQ39" s="20" t="n">
        <v>17796.23820706554</v>
      </c>
      <c r="AR39" s="20" t="n">
        <v>7509.812640392076</v>
      </c>
      <c r="AT39" s="3" t="n">
        <v>23</v>
      </c>
      <c r="AV39" s="5">
        <f>ROUNDUP((AT39/8)*80,0)</f>
        <v/>
      </c>
      <c r="AX39" s="38">
        <f>AV39*W39</f>
        <v/>
      </c>
      <c r="BA39" s="3" t="n">
        <v>0</v>
      </c>
      <c r="BB39" s="3" t="n">
        <v>0</v>
      </c>
      <c r="BC39" s="3" t="n">
        <v>12</v>
      </c>
      <c r="BD39" s="3">
        <f>BC39+BB39+BA39</f>
        <v/>
      </c>
      <c r="BE39" s="3" t="n">
        <v>94</v>
      </c>
      <c r="BF39" s="3" t="n">
        <v>13</v>
      </c>
      <c r="BH39" s="3">
        <f>ROUNDUP(BD39*1.85,0)</f>
        <v/>
      </c>
      <c r="BJ39" s="38">
        <f>BH39*V39</f>
        <v/>
      </c>
      <c r="BL39" s="3">
        <f>U39*1.18</f>
        <v/>
      </c>
    </row>
    <row r="40">
      <c r="A40" s="1" t="inlineStr">
        <is>
          <t>82JQ011FIN</t>
        </is>
      </c>
      <c r="B40" s="1">
        <f>IF(BL40&lt;40000,"Entry",IF(BL40&gt;65000,"Premium","Mainstream"))</f>
        <v/>
      </c>
      <c r="C40" s="1" t="inlineStr">
        <is>
          <t>Premium</t>
        </is>
      </c>
      <c r="D40" s="1" t="inlineStr">
        <is>
          <t>R7 OS 6GB Graphics Office</t>
        </is>
      </c>
      <c r="E40" s="1" t="inlineStr">
        <is>
          <t>Gaming</t>
        </is>
      </c>
      <c r="F40" s="1" t="inlineStr">
        <is>
          <t>Legion 5 Pro</t>
        </is>
      </c>
      <c r="G40" s="1" t="inlineStr">
        <is>
          <t>Legion 5 Pro 16ACH6H</t>
        </is>
      </c>
      <c r="H40" s="1" t="inlineStr">
        <is>
          <t>R7</t>
        </is>
      </c>
      <c r="I40" s="1" t="inlineStr">
        <is>
          <t>5XXXH</t>
        </is>
      </c>
      <c r="J40" s="1" t="inlineStr">
        <is>
          <t>Ryzen 7 5800H</t>
        </is>
      </c>
      <c r="K40" s="1" t="inlineStr">
        <is>
          <t>16GB</t>
        </is>
      </c>
      <c r="L40" s="1" t="inlineStr">
        <is>
          <t>1TB SSD</t>
        </is>
      </c>
      <c r="M40" s="1" t="inlineStr">
        <is>
          <t>Win11</t>
        </is>
      </c>
      <c r="N40" s="1" t="inlineStr">
        <is>
          <t>Office 2021</t>
        </is>
      </c>
      <c r="O40" s="1" t="inlineStr">
        <is>
          <t>RTX 3060 6GB</t>
        </is>
      </c>
      <c r="P40" s="1" t="inlineStr">
        <is>
          <t>16WQXGA_AG_500N_165_N_HDR_SRGB</t>
        </is>
      </c>
      <c r="Q40" s="1" t="inlineStr">
        <is>
          <t>3 Yr Warranty + 1 Yr LUS + 1 Yr ADP</t>
        </is>
      </c>
      <c r="R40" s="7" t="inlineStr">
        <is>
          <t>Full GTN</t>
        </is>
      </c>
      <c r="S40" s="1" t="n">
        <v>2457</v>
      </c>
      <c r="T40" s="2">
        <f>U40*0.98*0.965</f>
        <v/>
      </c>
      <c r="U40" s="13" t="n">
        <v>124567.7966101695</v>
      </c>
      <c r="V40" s="13" t="n">
        <v>17796.23820706554</v>
      </c>
      <c r="W40" s="13" t="n">
        <v>7509.812640392076</v>
      </c>
      <c r="X40" s="13" t="n"/>
      <c r="Y40" s="2">
        <f>(U40*0.88-S40-V40-W40-X40)*1.18/0.92</f>
        <v/>
      </c>
      <c r="Z40" s="1" t="n">
        <v>104990</v>
      </c>
      <c r="AA40" s="5" t="n"/>
      <c r="AB40" s="5" t="n"/>
      <c r="AC40" s="14" t="n">
        <v>104990</v>
      </c>
      <c r="AD40" s="5">
        <f>(Y40-AC40)/1.18*0.92</f>
        <v/>
      </c>
      <c r="AE40" s="5" t="n"/>
      <c r="AF40" s="5">
        <f>W40+X40</f>
        <v/>
      </c>
      <c r="AG40" s="5" t="n"/>
      <c r="AH40" s="13" t="n">
        <v>17796.23820706554</v>
      </c>
      <c r="AI40" s="13" t="n">
        <v>7509.812640392076</v>
      </c>
      <c r="AJ40" s="5" t="n"/>
      <c r="AL40" s="5" t="n"/>
      <c r="AM40" s="5" t="n">
        <v>104990</v>
      </c>
      <c r="AN40" s="5">
        <f>Y40-AM40</f>
        <v/>
      </c>
      <c r="AO40" s="5" t="n"/>
      <c r="AP40" s="5">
        <f>U40-AL40</f>
        <v/>
      </c>
      <c r="AQ40" s="20" t="n">
        <v>17796.23820706554</v>
      </c>
      <c r="AR40" s="20" t="n">
        <v>7509.812640392076</v>
      </c>
      <c r="AT40" s="3" t="n">
        <v>21</v>
      </c>
      <c r="AV40" s="5">
        <f>ROUNDUP((AT40/8)*80,0)</f>
        <v/>
      </c>
      <c r="AX40" s="38">
        <f>AV40*W40</f>
        <v/>
      </c>
      <c r="BA40" s="3" t="n">
        <v>0</v>
      </c>
      <c r="BB40" s="3" t="n">
        <v>0</v>
      </c>
      <c r="BC40" s="3" t="n">
        <v>0</v>
      </c>
      <c r="BD40" s="3">
        <f>BC40+BB40+BA40</f>
        <v/>
      </c>
      <c r="BE40" s="3" t="n">
        <v>0</v>
      </c>
      <c r="BF40" s="3" t="n">
        <v>0</v>
      </c>
      <c r="BH40" s="3">
        <f>ROUNDUP(BD40*1.85,0)</f>
        <v/>
      </c>
      <c r="BJ40" s="38">
        <f>BH40*V40</f>
        <v/>
      </c>
      <c r="BL40" s="3">
        <f>U40*1.18</f>
        <v/>
      </c>
    </row>
    <row r="41">
      <c r="A41" s="1" t="inlineStr">
        <is>
          <t>82XE0072IN</t>
        </is>
      </c>
      <c r="B41" s="1">
        <f>IF(BL41&lt;40000,"Entry",IF(BL41&gt;65000,"Premium","Mainstream"))</f>
        <v/>
      </c>
      <c r="C41" s="1" t="inlineStr">
        <is>
          <t>Premium</t>
        </is>
      </c>
      <c r="D41" s="1" t="inlineStr">
        <is>
          <t>R7 OS Office</t>
        </is>
      </c>
      <c r="E41" s="1" t="inlineStr">
        <is>
          <t>Thin &amp; Light</t>
        </is>
      </c>
      <c r="F41" s="1" t="inlineStr">
        <is>
          <t>Slim 5</t>
        </is>
      </c>
      <c r="G41" s="1" t="inlineStr">
        <is>
          <t>IPS5 14ABR8</t>
        </is>
      </c>
      <c r="H41" s="1" t="inlineStr">
        <is>
          <t>R7</t>
        </is>
      </c>
      <c r="I41" s="1" t="inlineStr">
        <is>
          <t>7XXXU</t>
        </is>
      </c>
      <c r="J41" s="1" t="inlineStr">
        <is>
          <t>R7-7730U</t>
        </is>
      </c>
      <c r="K41" s="24" t="inlineStr">
        <is>
          <t>16GB</t>
        </is>
      </c>
      <c r="L41" s="1" t="inlineStr">
        <is>
          <t>512GB SSD</t>
        </is>
      </c>
      <c r="M41" s="1" t="inlineStr">
        <is>
          <t>Windows 11</t>
        </is>
      </c>
      <c r="N41" s="1" t="inlineStr">
        <is>
          <t>OFFICE 2021</t>
        </is>
      </c>
      <c r="O41" s="1" t="inlineStr">
        <is>
          <t>INTEGRATED_GRAPHICS</t>
        </is>
      </c>
      <c r="P41" s="1" t="inlineStr">
        <is>
          <t>14.0FHD_AG_300N_N</t>
        </is>
      </c>
      <c r="Q41" s="1" t="inlineStr">
        <is>
          <t>1 Yr Onsite + 1 Yr PC</t>
        </is>
      </c>
      <c r="R41" s="1" t="inlineStr">
        <is>
          <t>Full GTN</t>
        </is>
      </c>
      <c r="S41" s="1" t="n">
        <v>0</v>
      </c>
      <c r="T41" s="2">
        <f>U41*0.965*0.98</f>
        <v/>
      </c>
      <c r="U41" s="13" t="n">
        <v>56863.5593220339</v>
      </c>
      <c r="V41" s="13" t="n">
        <v>0</v>
      </c>
      <c r="W41" s="13" t="n">
        <v>2332</v>
      </c>
      <c r="X41" s="13" t="n"/>
      <c r="Y41" s="2">
        <f>(U41*0.88-S41-V41-W41-X41)*1.18/0.92</f>
        <v/>
      </c>
      <c r="Z41" s="2" t="n">
        <v>61190</v>
      </c>
      <c r="AA41" s="5" t="n"/>
      <c r="AB41" s="5" t="n"/>
      <c r="AC41" s="14" t="n">
        <v>61190</v>
      </c>
      <c r="AD41" s="5">
        <f>(Y41-AC41)/1.18*0.92</f>
        <v/>
      </c>
      <c r="AE41" s="5" t="n"/>
      <c r="AF41" s="5">
        <f>W41+X41</f>
        <v/>
      </c>
      <c r="AG41" s="5" t="n"/>
      <c r="AH41" s="13" t="n">
        <v>0</v>
      </c>
      <c r="AI41" s="13" t="n">
        <v>2332.47457627119</v>
      </c>
      <c r="AJ41" s="5" t="n"/>
      <c r="AL41" s="5" t="n"/>
      <c r="AM41" s="5" t="n">
        <v>61189.99999999999</v>
      </c>
      <c r="AN41" s="5">
        <f>Y41-AM41</f>
        <v/>
      </c>
      <c r="AO41" s="5" t="n"/>
      <c r="AP41" s="5">
        <f>U41-AL41</f>
        <v/>
      </c>
      <c r="AQ41" s="20" t="n">
        <v>0</v>
      </c>
      <c r="AR41" s="20" t="n">
        <v>2332.47457627119</v>
      </c>
      <c r="AT41" s="3" t="n">
        <v>13</v>
      </c>
      <c r="AV41" s="5">
        <f>ROUNDUP((AT41/8)*80,0)</f>
        <v/>
      </c>
      <c r="AX41" s="38">
        <f>AV41*W41</f>
        <v/>
      </c>
      <c r="BA41" s="3" t="n">
        <v>125</v>
      </c>
      <c r="BB41" s="3" t="n">
        <v>8</v>
      </c>
      <c r="BC41" s="3" t="n">
        <v>43</v>
      </c>
      <c r="BD41" s="3">
        <f>BC41+BB41+BA41</f>
        <v/>
      </c>
      <c r="BE41" s="3" t="n">
        <v>116</v>
      </c>
      <c r="BF41" s="3" t="n">
        <v>0</v>
      </c>
      <c r="BH41" s="3">
        <f>ROUNDUP(BD41*1.85,0)</f>
        <v/>
      </c>
      <c r="BJ41" s="38">
        <f>BH41*V41</f>
        <v/>
      </c>
      <c r="BL41" s="3">
        <f>U41*1.18</f>
        <v/>
      </c>
    </row>
    <row r="42">
      <c r="A42" s="1" t="inlineStr">
        <is>
          <t>82XE007DIN</t>
        </is>
      </c>
      <c r="B42" s="1">
        <f>IF(BL42&lt;40000,"Entry",IF(BL42&gt;65000,"Premium","Mainstream"))</f>
        <v/>
      </c>
      <c r="C42" s="1" t="inlineStr">
        <is>
          <t>Premium</t>
        </is>
      </c>
      <c r="D42" s="1" t="inlineStr">
        <is>
          <t>R5 OS Office</t>
        </is>
      </c>
      <c r="E42" s="1" t="inlineStr">
        <is>
          <t>Thin &amp; Light</t>
        </is>
      </c>
      <c r="F42" s="1" t="inlineStr">
        <is>
          <t>Slim 5</t>
        </is>
      </c>
      <c r="G42" s="1" t="inlineStr">
        <is>
          <t>IPS5 14ABR8</t>
        </is>
      </c>
      <c r="H42" s="1" t="inlineStr">
        <is>
          <t>R5</t>
        </is>
      </c>
      <c r="I42" s="1" t="inlineStr">
        <is>
          <t>7XXXU</t>
        </is>
      </c>
      <c r="J42" s="1" t="inlineStr">
        <is>
          <t>R5-7530U</t>
        </is>
      </c>
      <c r="K42" s="1" t="inlineStr">
        <is>
          <t>16GB</t>
        </is>
      </c>
      <c r="L42" s="1" t="inlineStr">
        <is>
          <t>1TB SSD</t>
        </is>
      </c>
      <c r="M42" s="1" t="inlineStr">
        <is>
          <t>Windows 11</t>
        </is>
      </c>
      <c r="N42" s="1" t="inlineStr">
        <is>
          <t>Office 2021</t>
        </is>
      </c>
      <c r="O42" s="1" t="inlineStr">
        <is>
          <t>INTEGRATED_GRAPHICS</t>
        </is>
      </c>
      <c r="P42" s="1" t="inlineStr">
        <is>
          <t>14_WUXGA_OLED_GL_400N</t>
        </is>
      </c>
      <c r="Q42" s="1" t="inlineStr">
        <is>
          <t>1 Yr Onsite + 1 Yr PC</t>
        </is>
      </c>
      <c r="R42" s="1" t="inlineStr">
        <is>
          <t>Full GTN</t>
        </is>
      </c>
      <c r="S42" s="1" t="n">
        <v>0</v>
      </c>
      <c r="T42" s="2">
        <f>U42*0.965*0.98</f>
        <v/>
      </c>
      <c r="U42" s="13" t="n">
        <v>56870.95531587057</v>
      </c>
      <c r="V42" s="13" t="n">
        <v>0</v>
      </c>
      <c r="W42" s="13" t="n">
        <v>2339</v>
      </c>
      <c r="X42" s="13" t="n"/>
      <c r="Y42" s="2">
        <f>(U42*0.88-S42-V42-W42-X42)*1.18/0.92</f>
        <v/>
      </c>
      <c r="Z42" s="1" t="n">
        <v>61190</v>
      </c>
      <c r="AA42" s="5" t="n"/>
      <c r="AB42" s="5" t="n"/>
      <c r="AC42" s="14" t="n">
        <v>61190</v>
      </c>
      <c r="AD42" s="5">
        <f>(Y42-AC42)/1.18*0.92</f>
        <v/>
      </c>
      <c r="AE42" s="5" t="n"/>
      <c r="AF42" s="5">
        <f>W42+X42</f>
        <v/>
      </c>
      <c r="AG42" s="5" t="n"/>
      <c r="AH42" s="13" t="n">
        <v>0</v>
      </c>
      <c r="AI42" s="13" t="n">
        <v>2338.983050847462</v>
      </c>
      <c r="AJ42" s="5" t="n"/>
      <c r="AL42" s="5" t="n"/>
      <c r="AM42" s="5" t="n">
        <v>61189.99999999999</v>
      </c>
      <c r="AN42" s="5">
        <f>Y42-AM42</f>
        <v/>
      </c>
      <c r="AO42" s="5" t="n"/>
      <c r="AP42" s="5">
        <f>U42-AL42</f>
        <v/>
      </c>
      <c r="AQ42" s="20" t="n">
        <v>0</v>
      </c>
      <c r="AR42" s="20" t="n">
        <v>2338.983050847462</v>
      </c>
      <c r="AT42" s="3" t="n">
        <v>2</v>
      </c>
      <c r="AV42" s="5">
        <f>ROUNDUP((AT42/8)*80,0)</f>
        <v/>
      </c>
      <c r="AX42" s="38">
        <f>AV42*W42</f>
        <v/>
      </c>
      <c r="BA42" s="3" t="n">
        <v>6</v>
      </c>
      <c r="BB42" s="3" t="n">
        <v>10</v>
      </c>
      <c r="BC42" s="3" t="n">
        <v>22</v>
      </c>
      <c r="BD42" s="3">
        <f>BC42+BB42+BA42</f>
        <v/>
      </c>
      <c r="BE42" s="3" t="n">
        <v>142</v>
      </c>
      <c r="BF42" s="3" t="n">
        <v>0</v>
      </c>
      <c r="BH42" s="3">
        <f>ROUNDUP(BD42*1.85,0)</f>
        <v/>
      </c>
      <c r="BJ42" s="38">
        <f>BH42*V42</f>
        <v/>
      </c>
      <c r="BL42" s="3">
        <f>U42*1.18</f>
        <v/>
      </c>
    </row>
    <row r="43">
      <c r="A43" s="1" t="inlineStr">
        <is>
          <t>83BF000UIN</t>
        </is>
      </c>
      <c r="B43" s="1">
        <f>IF(BL43&lt;40000,"Entry",IF(BL43&gt;65000,"Premium","Mainstream"))</f>
        <v/>
      </c>
      <c r="C43" s="1" t="inlineStr">
        <is>
          <t>Premium</t>
        </is>
      </c>
      <c r="D43" s="1" t="inlineStr">
        <is>
          <t>i5 OS Office</t>
        </is>
      </c>
      <c r="E43" s="1" t="inlineStr">
        <is>
          <t>Thin &amp; Light</t>
        </is>
      </c>
      <c r="F43" s="1" t="inlineStr">
        <is>
          <t>Slim 5</t>
        </is>
      </c>
      <c r="G43" s="1" t="inlineStr">
        <is>
          <t>IPS5 14IAH8</t>
        </is>
      </c>
      <c r="H43" s="1" t="inlineStr">
        <is>
          <t>i5</t>
        </is>
      </c>
      <c r="I43" s="1" t="inlineStr">
        <is>
          <t>12th Gen</t>
        </is>
      </c>
      <c r="J43" s="1" t="inlineStr">
        <is>
          <t>i5-12450H</t>
        </is>
      </c>
      <c r="K43" s="24" t="inlineStr">
        <is>
          <t>16GB</t>
        </is>
      </c>
      <c r="L43" s="1" t="inlineStr">
        <is>
          <t>512GB SSD</t>
        </is>
      </c>
      <c r="M43" s="1" t="inlineStr">
        <is>
          <t>Windows 11</t>
        </is>
      </c>
      <c r="N43" s="1" t="inlineStr">
        <is>
          <t>OFFICE 2021</t>
        </is>
      </c>
      <c r="O43" s="1" t="inlineStr">
        <is>
          <t>INTEGRATED_GRAPHICS</t>
        </is>
      </c>
      <c r="P43" s="1" t="inlineStr">
        <is>
          <t>14_WUXGA_AG_300N_N</t>
        </is>
      </c>
      <c r="Q43" s="1" t="inlineStr">
        <is>
          <t>1 Yr Onsite + 1 Yr PC</t>
        </is>
      </c>
      <c r="R43" s="1" t="inlineStr">
        <is>
          <t>Zero GTN</t>
        </is>
      </c>
      <c r="S43" s="1" t="n">
        <v>0</v>
      </c>
      <c r="T43" s="2">
        <f>U43*0.98*0.98</f>
        <v/>
      </c>
      <c r="U43" s="13" t="n">
        <v>51704</v>
      </c>
      <c r="V43" s="13" t="n">
        <v>1559.072542372888</v>
      </c>
      <c r="W43" s="13" t="n"/>
      <c r="X43" s="13" t="n"/>
      <c r="Y43" s="2">
        <f>(U43*0.98-S43-V43-W43-X43)*1.18/0.92</f>
        <v/>
      </c>
      <c r="Z43" s="2" t="n">
        <v>62990</v>
      </c>
      <c r="AA43" s="5" t="n"/>
      <c r="AB43" s="5" t="n"/>
      <c r="AC43" s="14" t="n">
        <v>62990</v>
      </c>
      <c r="AD43" s="5">
        <f>(Y43-AC43)/1.18*0.92</f>
        <v/>
      </c>
      <c r="AE43" s="5" t="n"/>
      <c r="AF43" s="5">
        <f>W43+X43</f>
        <v/>
      </c>
      <c r="AG43" s="5" t="n"/>
      <c r="AH43" s="13" t="n">
        <v>1559.072542372888</v>
      </c>
      <c r="AI43" s="13" t="n"/>
      <c r="AJ43" s="5" t="n"/>
      <c r="AL43" s="5" t="n"/>
      <c r="AM43" s="5" t="n">
        <v>60202.55043478261</v>
      </c>
      <c r="AN43" s="5">
        <f>Y43-AM43</f>
        <v/>
      </c>
      <c r="AO43" s="5" t="n"/>
      <c r="AP43" s="5">
        <f>U43-AL43</f>
        <v/>
      </c>
      <c r="AQ43" s="20" t="n">
        <v>0</v>
      </c>
      <c r="AR43" s="20" t="n"/>
      <c r="AT43" s="3" t="n">
        <v>16</v>
      </c>
      <c r="AV43" s="5">
        <f>ROUNDUP((AT43/8)*80,0)</f>
        <v/>
      </c>
      <c r="AX43" s="38">
        <f>AV43*W43</f>
        <v/>
      </c>
      <c r="BA43" s="3" t="n">
        <v>0</v>
      </c>
      <c r="BB43" s="3" t="n">
        <v>98</v>
      </c>
      <c r="BC43" s="3" t="n">
        <v>385</v>
      </c>
      <c r="BD43" s="3">
        <f>BC43+BB43+BA43</f>
        <v/>
      </c>
      <c r="BE43" s="3" t="n">
        <v>224</v>
      </c>
      <c r="BF43" s="3" t="n">
        <v>0</v>
      </c>
      <c r="BH43" s="3">
        <f>ROUNDUP(BD43*1.85,0)</f>
        <v/>
      </c>
      <c r="BJ43" s="38">
        <f>BH43*V43</f>
        <v/>
      </c>
      <c r="BL43" s="3">
        <f>U43*1.18</f>
        <v/>
      </c>
    </row>
    <row r="44">
      <c r="A44" s="4" t="inlineStr">
        <is>
          <t>82K2029CIN</t>
        </is>
      </c>
      <c r="B44" s="1">
        <f>IF(BL44&lt;40000,"Entry",IF(BL44&gt;65000,"Premium","Mainstream"))</f>
        <v/>
      </c>
      <c r="C44" s="1" t="inlineStr">
        <is>
          <t>Premium</t>
        </is>
      </c>
      <c r="D44" s="1" t="inlineStr">
        <is>
          <t>R5 OS 4GB Graphics</t>
        </is>
      </c>
      <c r="E44" s="1" t="inlineStr">
        <is>
          <t>Gaming</t>
        </is>
      </c>
      <c r="F44" s="1" t="inlineStr">
        <is>
          <t>IP Gaming 3</t>
        </is>
      </c>
      <c r="G44" s="1" t="inlineStr">
        <is>
          <t>IdeaPad Gaming 3 15ACH6</t>
        </is>
      </c>
      <c r="H44" s="1" t="inlineStr">
        <is>
          <t>R5</t>
        </is>
      </c>
      <c r="I44" s="1" t="inlineStr">
        <is>
          <t>5XXXH</t>
        </is>
      </c>
      <c r="J44" s="1" t="inlineStr">
        <is>
          <t>R5 5500H</t>
        </is>
      </c>
      <c r="K44" s="1" t="inlineStr">
        <is>
          <t>16GB</t>
        </is>
      </c>
      <c r="L44" s="1" t="inlineStr">
        <is>
          <t>512GB SSD</t>
        </is>
      </c>
      <c r="M44" s="1" t="inlineStr">
        <is>
          <t>Windows 11</t>
        </is>
      </c>
      <c r="N44" s="1" t="inlineStr">
        <is>
          <t>No Office</t>
        </is>
      </c>
      <c r="O44" s="1" t="inlineStr">
        <is>
          <t>RTX 2050 4GB</t>
        </is>
      </c>
      <c r="P44" s="1" t="inlineStr">
        <is>
          <t>15.5 FHD 250N 60_N</t>
        </is>
      </c>
      <c r="Q44" s="1" t="inlineStr">
        <is>
          <t>1 Year Onsite</t>
        </is>
      </c>
      <c r="R44" s="1" t="inlineStr">
        <is>
          <t>Zero GTN</t>
        </is>
      </c>
      <c r="S44" s="1" t="n">
        <v>0</v>
      </c>
      <c r="T44" s="2">
        <f>U44*0.98*0.98</f>
        <v/>
      </c>
      <c r="U44" s="13" t="n">
        <v>49487.028709789</v>
      </c>
      <c r="V44" s="13" t="n">
        <v>0</v>
      </c>
      <c r="W44" s="13" t="n">
        <v>0</v>
      </c>
      <c r="X44" s="13" t="n">
        <v>10301.69491525423</v>
      </c>
      <c r="Y44" s="2">
        <f>(U44*0.98-S44-V44-W44-X44)*1.18/0.92</f>
        <v/>
      </c>
      <c r="Z44" s="1" t="n">
        <v>48990</v>
      </c>
      <c r="AA44" s="5" t="n"/>
      <c r="AB44" s="5" t="n"/>
      <c r="AC44" s="14" t="n">
        <v>48990</v>
      </c>
      <c r="AD44" s="5">
        <f>(Y44-AC44)/1.18*0.92</f>
        <v/>
      </c>
      <c r="AE44" s="5" t="n"/>
      <c r="AF44" s="5">
        <f>W44+X44</f>
        <v/>
      </c>
      <c r="AG44" s="5" t="n"/>
      <c r="AH44" s="13" t="n">
        <v>0</v>
      </c>
      <c r="AI44" s="28" t="n">
        <v>8742.37288135595</v>
      </c>
      <c r="AJ44" s="5" t="n"/>
      <c r="AL44" s="5" t="n"/>
      <c r="AM44" s="5" t="n">
        <v>50989.99999999997</v>
      </c>
      <c r="AN44" s="5">
        <f>Y44-AM44</f>
        <v/>
      </c>
      <c r="AO44" s="5" t="n"/>
      <c r="AP44" s="5">
        <f>U44-AL44</f>
        <v/>
      </c>
      <c r="AQ44" s="20" t="n">
        <v>0</v>
      </c>
      <c r="AR44" s="20" t="n">
        <v>8742.37288135595</v>
      </c>
      <c r="AT44" s="3" t="n">
        <v>16</v>
      </c>
      <c r="AV44" s="5">
        <f>ROUNDUP((AT44/8)*80,0)</f>
        <v/>
      </c>
      <c r="AX44" s="38">
        <f>AV44*W44</f>
        <v/>
      </c>
      <c r="BA44" s="3" t="n">
        <v>57</v>
      </c>
      <c r="BB44" s="3" t="n">
        <v>0</v>
      </c>
      <c r="BC44" s="3" t="n">
        <v>100</v>
      </c>
      <c r="BD44" s="3">
        <f>BC44+BB44+BA44</f>
        <v/>
      </c>
      <c r="BE44" s="3" t="n">
        <v>0</v>
      </c>
      <c r="BF44" s="3" t="n">
        <v>0</v>
      </c>
      <c r="BH44" s="3">
        <f>ROUNDUP(BD44*1.85,0)</f>
        <v/>
      </c>
      <c r="BJ44" s="38">
        <f>BH44*V44</f>
        <v/>
      </c>
      <c r="BL44" s="3">
        <f>U44*1.18</f>
        <v/>
      </c>
    </row>
    <row r="45">
      <c r="A45" s="1" t="inlineStr">
        <is>
          <t>82RJ004BIN</t>
        </is>
      </c>
      <c r="B45" s="1">
        <f>IF(BL45&lt;40000,"Entry",IF(BL45&gt;65000,"Premium","Mainstream"))</f>
        <v/>
      </c>
      <c r="C45" s="1" t="inlineStr">
        <is>
          <t>Mainstream</t>
        </is>
      </c>
      <c r="D45" s="1" t="inlineStr">
        <is>
          <t>i3 OS Office</t>
        </is>
      </c>
      <c r="E45" s="1" t="inlineStr">
        <is>
          <t>Thin &amp; Light</t>
        </is>
      </c>
      <c r="F45" s="1" t="inlineStr">
        <is>
          <t>Slim 3</t>
        </is>
      </c>
      <c r="G45" s="1" t="inlineStr">
        <is>
          <t>IP3 14IAU7</t>
        </is>
      </c>
      <c r="H45" s="1" t="inlineStr">
        <is>
          <t>i3</t>
        </is>
      </c>
      <c r="I45" s="1" t="inlineStr">
        <is>
          <t>12th Gen</t>
        </is>
      </c>
      <c r="J45" s="1" t="inlineStr">
        <is>
          <t>i3-1215U</t>
        </is>
      </c>
      <c r="K45" s="1" t="inlineStr">
        <is>
          <t>8GB</t>
        </is>
      </c>
      <c r="L45" s="1" t="inlineStr">
        <is>
          <t>512GB SSD</t>
        </is>
      </c>
      <c r="M45" s="1" t="inlineStr">
        <is>
          <t>Windows 11</t>
        </is>
      </c>
      <c r="N45" s="1" t="inlineStr">
        <is>
          <t>Office 2021</t>
        </is>
      </c>
      <c r="O45" s="1" t="inlineStr">
        <is>
          <t>INTEGRATED_GRAPHICS</t>
        </is>
      </c>
      <c r="P45" s="1" t="inlineStr">
        <is>
          <t>14.0FHD_AG_300N_N</t>
        </is>
      </c>
      <c r="Q45" s="1" t="inlineStr">
        <is>
          <t>2 Yr Warranty</t>
        </is>
      </c>
      <c r="R45" s="1" t="inlineStr">
        <is>
          <t>Full GTN</t>
        </is>
      </c>
      <c r="S45" s="1" t="n">
        <v>0</v>
      </c>
      <c r="T45" s="2" t="n">
        <v>35615.30333269853</v>
      </c>
      <c r="U45" s="13" t="n">
        <v>37660.25518948772</v>
      </c>
      <c r="V45" s="13" t="n">
        <v>0</v>
      </c>
      <c r="W45" s="13" t="n">
        <v>5458</v>
      </c>
      <c r="X45" s="13" t="n"/>
      <c r="Y45" s="2">
        <f>(U45*0.89-S45-V45-W45-X45)*1.18/0.92</f>
        <v/>
      </c>
      <c r="Z45" s="18">
        <f>AC45</f>
        <v/>
      </c>
      <c r="AA45" s="5" t="inlineStr">
        <is>
          <t>Ok</t>
        </is>
      </c>
      <c r="AB45" s="5" t="n"/>
      <c r="AC45" s="14" t="n">
        <v>39490</v>
      </c>
      <c r="AD45" s="5" t="n">
        <v>0</v>
      </c>
      <c r="AE45" s="5" t="n"/>
      <c r="AF45" s="5">
        <f>W45+X45</f>
        <v/>
      </c>
      <c r="AG45" s="5" t="n"/>
      <c r="AH45" s="13" t="n">
        <v>0</v>
      </c>
      <c r="AI45" s="13" t="n">
        <v>5458</v>
      </c>
      <c r="AJ45" s="5" t="n"/>
      <c r="AL45" s="5" t="n"/>
      <c r="AM45" s="5" t="n">
        <v>35989.52173913043</v>
      </c>
      <c r="AN45" s="5">
        <f>Y45-AM45</f>
        <v/>
      </c>
      <c r="AO45" s="5" t="n"/>
      <c r="AP45" s="5">
        <f>U45-AL45</f>
        <v/>
      </c>
      <c r="AQ45" s="20" t="n">
        <v>0</v>
      </c>
      <c r="AR45" s="20" t="n">
        <v>3898.305084745767</v>
      </c>
      <c r="AT45" s="3" t="n">
        <v>1</v>
      </c>
      <c r="AV45" s="5">
        <f>ROUNDUP((AT45/8)*80,0)</f>
        <v/>
      </c>
      <c r="AX45" s="38">
        <f>AV45*W45</f>
        <v/>
      </c>
      <c r="BA45" s="3" t="n">
        <v>-1</v>
      </c>
      <c r="BB45" s="3" t="n">
        <v>0</v>
      </c>
      <c r="BC45" s="3" t="n">
        <v>0</v>
      </c>
      <c r="BD45" s="3">
        <f>BC45+BB45+BA45</f>
        <v/>
      </c>
      <c r="BE45" s="3" t="n">
        <v>1</v>
      </c>
      <c r="BF45" s="3" t="n">
        <v>0</v>
      </c>
      <c r="BH45" s="3">
        <f>ROUNDUP(BD45*1.85,0)</f>
        <v/>
      </c>
      <c r="BJ45" s="38">
        <f>BH45*V45</f>
        <v/>
      </c>
      <c r="BL45" s="3">
        <f>U45*1.18</f>
        <v/>
      </c>
    </row>
    <row r="46">
      <c r="A46" s="24" t="inlineStr">
        <is>
          <t>82K201V2IN</t>
        </is>
      </c>
      <c r="B46" s="1">
        <f>IF(BL46&lt;40000,"Entry",IF(BL46&gt;65000,"Premium","Mainstream"))</f>
        <v/>
      </c>
      <c r="C46" s="1" t="inlineStr">
        <is>
          <t>Premium</t>
        </is>
      </c>
      <c r="D46" s="1" t="inlineStr">
        <is>
          <t>R7 OS 4GB Graphics Office</t>
        </is>
      </c>
      <c r="E46" s="1" t="inlineStr">
        <is>
          <t>Gaming</t>
        </is>
      </c>
      <c r="F46" s="1" t="inlineStr">
        <is>
          <t>IP Gaming 3</t>
        </is>
      </c>
      <c r="G46" s="1" t="inlineStr">
        <is>
          <t>IdeaPad Gaming 3 15ACH6</t>
        </is>
      </c>
      <c r="H46" s="1" t="inlineStr">
        <is>
          <t>R7</t>
        </is>
      </c>
      <c r="I46" s="1" t="inlineStr">
        <is>
          <t>5XXXH</t>
        </is>
      </c>
      <c r="J46" s="1" t="inlineStr">
        <is>
          <t>Ryzen 7 5800H</t>
        </is>
      </c>
      <c r="K46" s="1" t="inlineStr">
        <is>
          <t>8GB</t>
        </is>
      </c>
      <c r="L46" s="1" t="inlineStr">
        <is>
          <t>512GB SSD</t>
        </is>
      </c>
      <c r="M46" s="1" t="inlineStr">
        <is>
          <t>Windows 11</t>
        </is>
      </c>
      <c r="N46" s="1" t="inlineStr">
        <is>
          <t>Office 2021</t>
        </is>
      </c>
      <c r="O46" s="1" t="inlineStr">
        <is>
          <t>RTX 3050 4GB</t>
        </is>
      </c>
      <c r="P46" s="1" t="inlineStr">
        <is>
          <t>15.6FHD_AG_250N_120_N</t>
        </is>
      </c>
      <c r="Q46" s="1" t="inlineStr">
        <is>
          <t>1 Yr Onsite + 1 Yr PC + 1 Yr ADP</t>
        </is>
      </c>
      <c r="R46" s="1" t="inlineStr">
        <is>
          <t>Full GTN</t>
        </is>
      </c>
      <c r="S46" s="1" t="n">
        <v>725</v>
      </c>
      <c r="T46" s="2">
        <f>U46*0.98*0.965</f>
        <v/>
      </c>
      <c r="U46" s="13" t="n">
        <v>70500.28813559322</v>
      </c>
      <c r="V46" s="13" t="n">
        <v>5187.456949152537</v>
      </c>
      <c r="W46" s="13" t="n">
        <v>5457.627118644064</v>
      </c>
      <c r="X46" s="13" t="n"/>
      <c r="Y46" s="2">
        <f>(U46*0.88-S46-V46-W46-X46)*1.18/0.92</f>
        <v/>
      </c>
      <c r="Z46" s="1" t="n">
        <v>64990</v>
      </c>
      <c r="AA46" s="5" t="n"/>
      <c r="AB46" s="5" t="n"/>
      <c r="AC46" s="14" t="n">
        <v>64990</v>
      </c>
      <c r="AD46" s="5">
        <f>(Y46-AC46)/1.18*0.92</f>
        <v/>
      </c>
      <c r="AE46" s="5" t="n"/>
      <c r="AF46" s="5">
        <f>W46+X46</f>
        <v/>
      </c>
      <c r="AG46" s="5" t="n"/>
      <c r="AH46" s="13" t="n">
        <v>5187.456949152537</v>
      </c>
      <c r="AI46" s="13" t="n">
        <v>5457.627118644064</v>
      </c>
      <c r="AJ46" s="5" t="n"/>
      <c r="AL46" s="5" t="n"/>
      <c r="AM46" s="5" t="n">
        <v>64990</v>
      </c>
      <c r="AN46" s="5">
        <f>Y46-AM46</f>
        <v/>
      </c>
      <c r="AO46" s="5" t="n"/>
      <c r="AP46" s="5">
        <f>U46-AL46</f>
        <v/>
      </c>
      <c r="AQ46" s="20" t="n">
        <v>5187.456949152537</v>
      </c>
      <c r="AR46" s="20" t="n">
        <v>5457.627118644064</v>
      </c>
      <c r="AT46" s="3" t="n">
        <v>0</v>
      </c>
      <c r="AV46" s="5">
        <f>ROUNDUP((AT46/8)*80,0)</f>
        <v/>
      </c>
      <c r="AX46" s="38">
        <f>AV46*W46</f>
        <v/>
      </c>
      <c r="BA46" s="3" t="n">
        <v>0</v>
      </c>
      <c r="BB46" s="3" t="n">
        <v>0</v>
      </c>
      <c r="BC46" s="3" t="n">
        <v>0</v>
      </c>
      <c r="BD46" s="3">
        <f>BC46+BB46+BA46</f>
        <v/>
      </c>
      <c r="BE46" s="3" t="n">
        <v>0</v>
      </c>
      <c r="BF46" s="3" t="n">
        <v>0</v>
      </c>
      <c r="BH46" s="3">
        <f>ROUNDUP(BD46*1.85,0)</f>
        <v/>
      </c>
      <c r="BJ46" s="38">
        <f>BH46*V46</f>
        <v/>
      </c>
      <c r="BL46" s="3">
        <f>U46*1.18</f>
        <v/>
      </c>
    </row>
    <row r="47">
      <c r="A47" s="1" t="inlineStr">
        <is>
          <t>82XQ008VIN</t>
        </is>
      </c>
      <c r="B47" s="1">
        <f>IF(BL47&lt;40000,"Entry",IF(BL47&gt;65000,"Premium","Mainstream"))</f>
        <v/>
      </c>
      <c r="C47" s="1" t="inlineStr">
        <is>
          <t>Mainstream</t>
        </is>
      </c>
      <c r="D47" s="1" t="inlineStr">
        <is>
          <t>R5 OS Office</t>
        </is>
      </c>
      <c r="E47" s="1" t="inlineStr">
        <is>
          <t>Thin &amp; Light</t>
        </is>
      </c>
      <c r="F47" s="1" t="inlineStr">
        <is>
          <t>Slim 3</t>
        </is>
      </c>
      <c r="G47" s="1" t="inlineStr">
        <is>
          <t>IPS3 15AMN8</t>
        </is>
      </c>
      <c r="H47" s="1" t="inlineStr">
        <is>
          <t>R5</t>
        </is>
      </c>
      <c r="I47" s="1" t="inlineStr">
        <is>
          <t>7XXXU</t>
        </is>
      </c>
      <c r="J47" s="1" t="inlineStr">
        <is>
          <t>R5-7520U</t>
        </is>
      </c>
      <c r="K47" s="1" t="inlineStr">
        <is>
          <t>16GB</t>
        </is>
      </c>
      <c r="L47" s="1" t="inlineStr">
        <is>
          <t>512GB SSD</t>
        </is>
      </c>
      <c r="M47" s="1" t="inlineStr">
        <is>
          <t>Windows 11</t>
        </is>
      </c>
      <c r="N47" s="1" t="inlineStr">
        <is>
          <t>Office 2021</t>
        </is>
      </c>
      <c r="O47" s="1" t="inlineStr">
        <is>
          <t>INTEGRATED_GRAPHICS</t>
        </is>
      </c>
      <c r="P47" s="1" t="inlineStr">
        <is>
          <t>15.6FHD_AG_300N_N</t>
        </is>
      </c>
      <c r="Q47" s="1" t="inlineStr">
        <is>
          <t>1 Yr. Onsite + 1 Yr. ADP</t>
        </is>
      </c>
      <c r="R47" s="1" t="inlineStr">
        <is>
          <t>Full GTN</t>
        </is>
      </c>
      <c r="S47" s="1" t="n">
        <v>0</v>
      </c>
      <c r="T47" s="2" t="n">
        <v>42404.97900552487</v>
      </c>
      <c r="U47" s="13" t="n">
        <v>44839.77900552486</v>
      </c>
      <c r="V47" s="13" t="n">
        <v>444</v>
      </c>
      <c r="W47" s="13" t="n">
        <v>3217</v>
      </c>
      <c r="X47" s="13" t="n"/>
      <c r="Y47" s="2">
        <f>(U47*0.89-S47-V47-W47-X47)*1.18/0.92</f>
        <v/>
      </c>
      <c r="Z47" s="18">
        <f>AC47</f>
        <v/>
      </c>
      <c r="AA47" s="5" t="inlineStr">
        <is>
          <t>Ok</t>
        </is>
      </c>
      <c r="AB47" s="5" t="n"/>
      <c r="AC47" s="14" t="n">
        <v>46490</v>
      </c>
      <c r="AD47" s="5">
        <f>(Y47-AC47)/1.18*0.92</f>
        <v/>
      </c>
      <c r="AE47" s="5" t="n"/>
      <c r="AF47" s="5">
        <f>W47+X47</f>
        <v/>
      </c>
      <c r="AG47" s="5" t="n"/>
      <c r="AH47" s="13" t="n">
        <v>444</v>
      </c>
      <c r="AI47" s="13" t="n">
        <v>3217</v>
      </c>
      <c r="AJ47" s="5" t="n"/>
      <c r="AL47" s="5" t="n"/>
      <c r="AM47" s="5" t="n">
        <v>45989.55434782609</v>
      </c>
      <c r="AN47" s="5">
        <f>Y47-AM47</f>
        <v/>
      </c>
      <c r="AO47" s="5" t="n"/>
      <c r="AP47" s="5">
        <f>U47-AL47</f>
        <v/>
      </c>
      <c r="AQ47" s="20" t="n">
        <v>0</v>
      </c>
      <c r="AR47" s="20" t="n">
        <v>3217</v>
      </c>
      <c r="AT47" s="3" t="n">
        <v>43</v>
      </c>
      <c r="AV47" s="5">
        <f>ROUNDUP((AT47/8)*80,0)</f>
        <v/>
      </c>
      <c r="AX47" s="38">
        <f>AV47*W47</f>
        <v/>
      </c>
      <c r="BA47" s="3" t="n">
        <v>-2</v>
      </c>
      <c r="BB47" s="3" t="n">
        <v>596</v>
      </c>
      <c r="BC47" s="3" t="n">
        <v>-1</v>
      </c>
      <c r="BD47" s="3">
        <f>BC47+BB47+BA47</f>
        <v/>
      </c>
      <c r="BE47" s="3" t="n">
        <v>2005</v>
      </c>
      <c r="BF47" s="3" t="n">
        <v>2</v>
      </c>
      <c r="BH47" s="3">
        <f>ROUNDUP(BD47*1.85,0)</f>
        <v/>
      </c>
      <c r="BJ47" s="38">
        <f>BH47*V47</f>
        <v/>
      </c>
      <c r="BL47" s="3">
        <f>U47*1.18</f>
        <v/>
      </c>
    </row>
    <row r="48">
      <c r="A48" s="1" t="inlineStr">
        <is>
          <t>82XQ008GIN</t>
        </is>
      </c>
      <c r="B48" s="1">
        <f>IF(BL48&lt;40000,"Entry",IF(BL48&gt;65000,"Premium","Mainstream"))</f>
        <v/>
      </c>
      <c r="C48" s="1" t="inlineStr">
        <is>
          <t>Mainstream</t>
        </is>
      </c>
      <c r="D48" s="1" t="inlineStr">
        <is>
          <t>R5 OS Office</t>
        </is>
      </c>
      <c r="E48" s="1" t="inlineStr">
        <is>
          <t>Thin &amp; Light</t>
        </is>
      </c>
      <c r="F48" s="1" t="inlineStr">
        <is>
          <t>Slim 3</t>
        </is>
      </c>
      <c r="G48" s="1" t="inlineStr">
        <is>
          <t>IPS3 15AMN8</t>
        </is>
      </c>
      <c r="H48" s="1" t="inlineStr">
        <is>
          <t>R5</t>
        </is>
      </c>
      <c r="I48" s="1" t="inlineStr">
        <is>
          <t>7XXXU</t>
        </is>
      </c>
      <c r="J48" s="1" t="inlineStr">
        <is>
          <t>R5-7520U</t>
        </is>
      </c>
      <c r="K48" s="1" t="inlineStr">
        <is>
          <t>8GB</t>
        </is>
      </c>
      <c r="L48" s="1" t="inlineStr">
        <is>
          <t>512GB SSD</t>
        </is>
      </c>
      <c r="M48" s="1" t="inlineStr">
        <is>
          <t>Windows 11</t>
        </is>
      </c>
      <c r="N48" s="1" t="inlineStr">
        <is>
          <t>Office 2021</t>
        </is>
      </c>
      <c r="O48" s="1" t="inlineStr">
        <is>
          <t>INTEGRATED_GRAPHICS</t>
        </is>
      </c>
      <c r="P48" s="1" t="inlineStr">
        <is>
          <t>15.6FHD_AG_300N_N</t>
        </is>
      </c>
      <c r="Q48" s="1" t="inlineStr">
        <is>
          <t>1 Yr. Onsite + 1 Yr. ADP</t>
        </is>
      </c>
      <c r="R48" s="39" t="inlineStr">
        <is>
          <t>Full GTN</t>
        </is>
      </c>
      <c r="S48" s="1" t="n">
        <v>0</v>
      </c>
      <c r="T48" s="2" t="n">
        <v>39891.82044198894</v>
      </c>
      <c r="U48" s="13" t="n">
        <v>42182.32044198894</v>
      </c>
      <c r="V48" s="13" t="n">
        <v>444</v>
      </c>
      <c r="W48" s="13" t="n">
        <v>3191</v>
      </c>
      <c r="X48" s="13" t="n"/>
      <c r="Y48" s="2">
        <f>(U48*0.89-S48-V48-W48-X48)*1.18/0.92</f>
        <v/>
      </c>
      <c r="Z48" s="18">
        <f>AC48</f>
        <v/>
      </c>
      <c r="AA48" s="5" t="inlineStr">
        <is>
          <t>Ok</t>
        </is>
      </c>
      <c r="AB48" s="5" t="n"/>
      <c r="AC48" s="14" t="n">
        <v>43490</v>
      </c>
      <c r="AD48" s="5">
        <f>(Y48-AC48)/1.18*0.92</f>
        <v/>
      </c>
      <c r="AE48" s="5" t="n"/>
      <c r="AF48" s="5">
        <f>W48+X48</f>
        <v/>
      </c>
      <c r="AG48" s="5" t="n"/>
      <c r="AH48" s="13" t="n">
        <v>444</v>
      </c>
      <c r="AI48" s="13" t="n">
        <v>3191</v>
      </c>
      <c r="AJ48" s="5" t="n"/>
      <c r="AL48" s="5" t="n"/>
      <c r="AM48" s="5" t="n">
        <v>42990.13043478262</v>
      </c>
      <c r="AN48" s="5">
        <f>Y48-AM48</f>
        <v/>
      </c>
      <c r="AO48" s="5" t="n"/>
      <c r="AP48" s="5">
        <f>U48-AL48</f>
        <v/>
      </c>
      <c r="AQ48" s="20" t="n">
        <v>0</v>
      </c>
      <c r="AR48" s="20" t="n">
        <v>3191</v>
      </c>
      <c r="AT48" s="3" t="n">
        <v>3</v>
      </c>
      <c r="AV48" s="5">
        <f>ROUNDUP((AT48/8)*80,0)</f>
        <v/>
      </c>
      <c r="AX48" s="38">
        <f>AV48*W48</f>
        <v/>
      </c>
      <c r="BA48" s="3" t="n">
        <v>0</v>
      </c>
      <c r="BB48" s="3" t="n">
        <v>0</v>
      </c>
      <c r="BC48" s="3" t="n">
        <v>0</v>
      </c>
      <c r="BD48" s="3">
        <f>BC48+BB48+BA48</f>
        <v/>
      </c>
      <c r="BE48" s="3" t="n">
        <v>380</v>
      </c>
      <c r="BF48" s="3" t="n">
        <v>0</v>
      </c>
      <c r="BH48" s="3">
        <f>ROUNDUP(BD48*1.85,0)</f>
        <v/>
      </c>
      <c r="BJ48" s="38">
        <f>BH48*V48</f>
        <v/>
      </c>
      <c r="BL48" s="3">
        <f>U48*1.18</f>
        <v/>
      </c>
    </row>
    <row r="49">
      <c r="A49" s="1" t="inlineStr">
        <is>
          <t>82R700JJIN</t>
        </is>
      </c>
      <c r="B49" s="1">
        <f>IF(BL49&lt;40000,"Entry",IF(BL49&gt;65000,"Premium","Mainstream"))</f>
        <v/>
      </c>
      <c r="C49" s="1" t="inlineStr">
        <is>
          <t>Premium</t>
        </is>
      </c>
      <c r="D49" s="1" t="inlineStr">
        <is>
          <t>i5 OS Office</t>
        </is>
      </c>
      <c r="E49" s="1" t="inlineStr">
        <is>
          <t>Convertible</t>
        </is>
      </c>
      <c r="F49" s="1" t="inlineStr">
        <is>
          <t>Flex 5</t>
        </is>
      </c>
      <c r="G49" s="1" t="inlineStr">
        <is>
          <t>IdeaPad Flex 5 14IAU7</t>
        </is>
      </c>
      <c r="H49" s="1" t="inlineStr">
        <is>
          <t>i5</t>
        </is>
      </c>
      <c r="I49" s="1" t="inlineStr">
        <is>
          <t>12th Gen</t>
        </is>
      </c>
      <c r="J49" s="1" t="inlineStr">
        <is>
          <t>i5-1235U</t>
        </is>
      </c>
      <c r="K49" s="1" t="inlineStr">
        <is>
          <t>16GB</t>
        </is>
      </c>
      <c r="L49" s="1" t="inlineStr">
        <is>
          <t>512GB SSD</t>
        </is>
      </c>
      <c r="M49" s="1" t="inlineStr">
        <is>
          <t>Windows 11</t>
        </is>
      </c>
      <c r="N49" s="1" t="inlineStr">
        <is>
          <t>Office 2021</t>
        </is>
      </c>
      <c r="O49" s="1" t="inlineStr">
        <is>
          <t>INTEGRATED_GRAPHICS</t>
        </is>
      </c>
      <c r="P49" s="1" t="inlineStr">
        <is>
          <t>14_WUXGA_GL_300N_MT_N_G</t>
        </is>
      </c>
      <c r="Q49" s="1" t="inlineStr">
        <is>
          <t>1 Yr Onsite + 1 Yr PC</t>
        </is>
      </c>
      <c r="R49" s="1" t="inlineStr">
        <is>
          <t>Full GTN</t>
        </is>
      </c>
      <c r="S49" s="1" t="n">
        <v>725</v>
      </c>
      <c r="T49" s="2">
        <f>U49*0.98*0.965</f>
        <v/>
      </c>
      <c r="U49" s="13" t="n">
        <v>60016.10169491525</v>
      </c>
      <c r="V49" s="13" t="n">
        <v>0</v>
      </c>
      <c r="W49" s="13" t="n"/>
      <c r="X49" s="13" t="n"/>
      <c r="Y49" s="2">
        <f>(U49*0.88-S49-V49-W49-X49)*1.18/0.92</f>
        <v/>
      </c>
      <c r="Z49" s="2" t="n">
        <v>66990</v>
      </c>
      <c r="AA49" s="5" t="n"/>
      <c r="AB49" s="5" t="n"/>
      <c r="AC49" s="14" t="n">
        <v>0</v>
      </c>
      <c r="AD49" s="5">
        <f>(Y49-AC49)/1.18*0.92</f>
        <v/>
      </c>
      <c r="AE49" s="5" t="n"/>
      <c r="AF49" s="5">
        <f>W49+X49</f>
        <v/>
      </c>
      <c r="AG49" s="5" t="n"/>
      <c r="AH49" s="13" t="n">
        <v>0</v>
      </c>
      <c r="AI49" s="13" t="n"/>
      <c r="AJ49" s="5" t="n"/>
      <c r="AL49" s="5" t="n"/>
      <c r="AM49" s="5" t="n">
        <v>66189.99999999999</v>
      </c>
      <c r="AN49" s="5">
        <f>Y49-AM49</f>
        <v/>
      </c>
      <c r="AO49" s="5" t="n"/>
      <c r="AP49" s="5" t="n"/>
      <c r="AQ49" s="20" t="n">
        <v>0</v>
      </c>
      <c r="AR49" s="20" t="n"/>
      <c r="AT49" s="3" t="n">
        <v>0</v>
      </c>
      <c r="AV49" s="5">
        <f>ROUNDUP((AT49/8)*80,0)</f>
        <v/>
      </c>
      <c r="AX49" s="38">
        <f>AV49*W49</f>
        <v/>
      </c>
      <c r="BA49" s="3" t="n">
        <v>0</v>
      </c>
      <c r="BB49" s="3" t="n">
        <v>0</v>
      </c>
      <c r="BC49" s="3" t="n">
        <v>200</v>
      </c>
      <c r="BD49" s="3">
        <f>BC49+BB49+BA49</f>
        <v/>
      </c>
      <c r="BE49" s="3" t="n">
        <v>295</v>
      </c>
      <c r="BF49" s="3" t="n">
        <v>0</v>
      </c>
      <c r="BH49" s="3">
        <f>ROUNDUP(BD49*1.85,0)</f>
        <v/>
      </c>
      <c r="BJ49" s="38">
        <f>BH49*V49</f>
        <v/>
      </c>
      <c r="BL49" s="3">
        <f>U49*1.18</f>
        <v/>
      </c>
    </row>
    <row r="50">
      <c r="A50" s="1" t="inlineStr">
        <is>
          <t>82JD005LIN</t>
        </is>
      </c>
      <c r="B50" s="1">
        <f>IF(BL50&lt;40000,"Entry",IF(BL50&gt;65000,"Premium","Mainstream"))</f>
        <v/>
      </c>
      <c r="C50" s="1" t="inlineStr">
        <is>
          <t>Premium</t>
        </is>
      </c>
      <c r="D50" s="1" t="inlineStr">
        <is>
          <t>i7 OS 8GB Graphics Office</t>
        </is>
      </c>
      <c r="E50" s="1" t="inlineStr">
        <is>
          <t>Gaming</t>
        </is>
      </c>
      <c r="F50" s="1" t="inlineStr">
        <is>
          <t>Legion 5 Pro</t>
        </is>
      </c>
      <c r="G50" s="1" t="inlineStr">
        <is>
          <t>Legion 5 Pro 16ITH6H</t>
        </is>
      </c>
      <c r="H50" s="1" t="inlineStr">
        <is>
          <t>i7</t>
        </is>
      </c>
      <c r="I50" s="1" t="inlineStr">
        <is>
          <t>11th Gen</t>
        </is>
      </c>
      <c r="J50" s="1" t="inlineStr">
        <is>
          <t>i7-11800H</t>
        </is>
      </c>
      <c r="K50" s="1" t="inlineStr">
        <is>
          <t>32GB</t>
        </is>
      </c>
      <c r="L50" s="1" t="inlineStr">
        <is>
          <t>1TB SSD</t>
        </is>
      </c>
      <c r="M50" s="1" t="inlineStr">
        <is>
          <t>Win10</t>
        </is>
      </c>
      <c r="N50" s="1" t="inlineStr">
        <is>
          <t>Office 2019</t>
        </is>
      </c>
      <c r="O50" s="1" t="inlineStr">
        <is>
          <t>RTX 3070 8GB</t>
        </is>
      </c>
      <c r="P50" s="1" t="inlineStr">
        <is>
          <t>15.6 QHD IPS AG-165 Hz, 500 nits</t>
        </is>
      </c>
      <c r="Q50" s="1" t="inlineStr">
        <is>
          <t>3 Yr Warranty + 1 Yr LUS + 1 Yr ADP</t>
        </is>
      </c>
      <c r="R50" s="7" t="inlineStr">
        <is>
          <t>Full GTN</t>
        </is>
      </c>
      <c r="S50" s="1" t="n">
        <v>2457</v>
      </c>
      <c r="T50" s="2">
        <f>U50*0.98*0.965</f>
        <v/>
      </c>
      <c r="U50" s="13" t="n">
        <v>165245.7627118644</v>
      </c>
      <c r="V50" s="13" t="n">
        <v>33898.80100061264</v>
      </c>
      <c r="W50" s="13" t="n">
        <v>15508.94476209923</v>
      </c>
      <c r="X50" s="13" t="n"/>
      <c r="Y50" s="2">
        <f>(U50*0.88-S50-V50-W50-X50)*1.18/0.92</f>
        <v/>
      </c>
      <c r="Z50" s="1" t="n">
        <v>119990</v>
      </c>
      <c r="AA50" s="5" t="n"/>
      <c r="AB50" s="5" t="n"/>
      <c r="AC50" s="14" t="n">
        <v>119990</v>
      </c>
      <c r="AD50" s="5">
        <f>(Y50-AC50)/1.18*0.92</f>
        <v/>
      </c>
      <c r="AE50" s="5" t="n"/>
      <c r="AF50" s="5">
        <f>W50+X50</f>
        <v/>
      </c>
      <c r="AG50" s="5" t="n"/>
      <c r="AH50" s="13" t="n">
        <v>33898.80100061264</v>
      </c>
      <c r="AI50" s="13" t="n">
        <v>15508.94476209923</v>
      </c>
      <c r="AJ50" s="5" t="n"/>
      <c r="AL50" s="5" t="n"/>
      <c r="AM50" s="5" t="n">
        <v>119990</v>
      </c>
      <c r="AN50" s="5">
        <f>Y50-AM50</f>
        <v/>
      </c>
      <c r="AO50" s="5" t="n"/>
      <c r="AP50" s="5">
        <f>U50-AL50</f>
        <v/>
      </c>
      <c r="AQ50" s="20" t="n">
        <v>33898.80100061264</v>
      </c>
      <c r="AR50" s="20" t="n">
        <v>15508.94476209923</v>
      </c>
      <c r="AT50" s="3" t="n">
        <v>0</v>
      </c>
      <c r="AV50" s="5">
        <f>ROUNDUP((AT50/8)*80,0)</f>
        <v/>
      </c>
      <c r="AX50" s="38">
        <f>AV50*W50</f>
        <v/>
      </c>
      <c r="BA50" s="3" t="n">
        <v>0</v>
      </c>
      <c r="BB50" s="3" t="n">
        <v>0</v>
      </c>
      <c r="BC50" s="3" t="n">
        <v>0</v>
      </c>
      <c r="BD50" s="3">
        <f>BC50+BB50+BA50</f>
        <v/>
      </c>
      <c r="BE50" s="3" t="n">
        <v>1</v>
      </c>
      <c r="BF50" s="3" t="n">
        <v>0</v>
      </c>
      <c r="BH50" s="3">
        <f>ROUNDUP(BD50*1.85,0)</f>
        <v/>
      </c>
      <c r="BJ50" s="38">
        <f>BH50*V50</f>
        <v/>
      </c>
      <c r="BL50" s="3">
        <f>U50*1.18</f>
        <v/>
      </c>
    </row>
    <row r="51" customFormat="1" s="21">
      <c r="A51" s="1" t="inlineStr">
        <is>
          <t>82K10198IN</t>
        </is>
      </c>
      <c r="B51" s="1">
        <f>IF(BL51&lt;40000,"Entry",IF(BL51&gt;65000,"Premium","Mainstream"))</f>
        <v/>
      </c>
      <c r="C51" s="1" t="inlineStr">
        <is>
          <t>Premium</t>
        </is>
      </c>
      <c r="D51" s="1" t="inlineStr">
        <is>
          <t>i5 OS 4GB Graphics</t>
        </is>
      </c>
      <c r="E51" s="1" t="inlineStr">
        <is>
          <t>Gaming</t>
        </is>
      </c>
      <c r="F51" s="1" t="inlineStr">
        <is>
          <t>IP Gaming 3</t>
        </is>
      </c>
      <c r="G51" s="1" t="inlineStr">
        <is>
          <t>IdeaPad Gaming 3 15IHU6</t>
        </is>
      </c>
      <c r="H51" s="1" t="inlineStr">
        <is>
          <t>i5</t>
        </is>
      </c>
      <c r="I51" s="1" t="inlineStr">
        <is>
          <t>11th Gen</t>
        </is>
      </c>
      <c r="J51" s="1" t="inlineStr">
        <is>
          <t>Ci5-11300H</t>
        </is>
      </c>
      <c r="K51" s="1" t="inlineStr">
        <is>
          <t>8GB</t>
        </is>
      </c>
      <c r="L51" s="1" t="inlineStr">
        <is>
          <t>512GB SSD</t>
        </is>
      </c>
      <c r="M51" s="1" t="inlineStr">
        <is>
          <t>Win11</t>
        </is>
      </c>
      <c r="N51" s="1" t="inlineStr">
        <is>
          <t>No Office</t>
        </is>
      </c>
      <c r="O51" s="1" t="inlineStr">
        <is>
          <t>GTX 1650 4GB</t>
        </is>
      </c>
      <c r="P51" s="1" t="inlineStr">
        <is>
          <t>15.6FHD_AG_250N_120_N</t>
        </is>
      </c>
      <c r="Q51" s="1" t="inlineStr">
        <is>
          <t>1 Yr Onsite + 1 Yr PC + 1 Yr ADP</t>
        </is>
      </c>
      <c r="R51" s="1" t="inlineStr">
        <is>
          <t>Zero GTN</t>
        </is>
      </c>
      <c r="S51" s="1" t="n">
        <v>725</v>
      </c>
      <c r="T51" s="2">
        <f>U51*0.98*0.98</f>
        <v/>
      </c>
      <c r="U51" s="13" t="n">
        <v>51855.93</v>
      </c>
      <c r="V51" s="13" t="n">
        <v>4914</v>
      </c>
      <c r="W51" s="13" t="n">
        <v>6204.557162711862</v>
      </c>
      <c r="X51" s="13" t="n"/>
      <c r="Y51" s="2">
        <f>(U51*0.98-S51-V51-W51-X51)*1.18/0.92</f>
        <v/>
      </c>
      <c r="Z51" s="1" t="n">
        <v>49990</v>
      </c>
      <c r="AA51" s="5" t="n"/>
      <c r="AB51" s="5" t="n"/>
      <c r="AC51" s="14" t="n">
        <v>49990</v>
      </c>
      <c r="AD51" s="5">
        <f>(Y51-AC51)/1.18*0.92</f>
        <v/>
      </c>
      <c r="AE51" s="5" t="n"/>
      <c r="AF51" s="5">
        <f>W51+X51</f>
        <v/>
      </c>
      <c r="AG51" s="5" t="n"/>
      <c r="AH51" s="13" t="n">
        <v>4914</v>
      </c>
      <c r="AI51" s="13" t="n">
        <v>6204.557162711862</v>
      </c>
      <c r="AJ51" s="5" t="n"/>
      <c r="AK51" s="23" t="n"/>
      <c r="AL51" s="5" t="n"/>
      <c r="AM51" s="5" t="n">
        <v>49989.99999999999</v>
      </c>
      <c r="AN51" s="5">
        <f>Y51-AM51</f>
        <v/>
      </c>
      <c r="AO51" s="5" t="n"/>
      <c r="AP51" s="5">
        <f>U51-AL51</f>
        <v/>
      </c>
      <c r="AQ51" s="20" t="n">
        <v>4914</v>
      </c>
      <c r="AR51" s="20" t="n">
        <v>6204.557162711862</v>
      </c>
      <c r="AT51" s="3" t="n">
        <v>0</v>
      </c>
      <c r="AU51" s="3" t="n"/>
      <c r="AV51" s="5">
        <f>ROUNDUP((AT51/8)*80,0)</f>
        <v/>
      </c>
      <c r="AX51" s="38">
        <f>AV51*W51</f>
        <v/>
      </c>
      <c r="BA51" s="3" t="n">
        <v>0</v>
      </c>
      <c r="BB51" s="3" t="n">
        <v>0</v>
      </c>
      <c r="BC51" s="3" t="n">
        <v>0</v>
      </c>
      <c r="BD51" s="3">
        <f>BC51+BB51+BA51</f>
        <v/>
      </c>
      <c r="BE51" s="3" t="n">
        <v>0</v>
      </c>
      <c r="BF51" s="3" t="n">
        <v>3</v>
      </c>
      <c r="BG51" s="3" t="n"/>
      <c r="BH51" s="3">
        <f>ROUNDUP(BD51*1.85,0)</f>
        <v/>
      </c>
      <c r="BJ51" s="38">
        <f>BH51*V51</f>
        <v/>
      </c>
      <c r="BL51" s="3">
        <f>U51*1.18</f>
        <v/>
      </c>
    </row>
    <row r="52">
      <c r="A52" s="1" t="inlineStr">
        <is>
          <t>83BG000PIN</t>
        </is>
      </c>
      <c r="B52" s="1">
        <f>IF(BL52&lt;40000,"Entry",IF(BL52&gt;65000,"Premium","Mainstream"))</f>
        <v/>
      </c>
      <c r="C52" s="1" t="inlineStr">
        <is>
          <t>Premium</t>
        </is>
      </c>
      <c r="D52" s="1" t="inlineStr">
        <is>
          <t>i5 OS Office</t>
        </is>
      </c>
      <c r="E52" s="1" t="inlineStr">
        <is>
          <t>Thin &amp; Light</t>
        </is>
      </c>
      <c r="F52" s="1" t="inlineStr">
        <is>
          <t>Slim 5</t>
        </is>
      </c>
      <c r="G52" s="1" t="inlineStr">
        <is>
          <t>IPS5 16IAH8</t>
        </is>
      </c>
      <c r="H52" s="1" t="inlineStr">
        <is>
          <t>i5</t>
        </is>
      </c>
      <c r="I52" s="1" t="inlineStr">
        <is>
          <t>12th Gen</t>
        </is>
      </c>
      <c r="J52" s="1" t="inlineStr">
        <is>
          <t>i5-12450H</t>
        </is>
      </c>
      <c r="K52" s="24" t="inlineStr">
        <is>
          <t>16GB</t>
        </is>
      </c>
      <c r="L52" s="1" t="inlineStr">
        <is>
          <t>512GB SSD</t>
        </is>
      </c>
      <c r="M52" s="1" t="inlineStr">
        <is>
          <t>Windows 11</t>
        </is>
      </c>
      <c r="N52" s="1" t="inlineStr">
        <is>
          <t>OFFICE 2021</t>
        </is>
      </c>
      <c r="O52" s="1" t="inlineStr">
        <is>
          <t>INTEGRATED_GRAPHICS</t>
        </is>
      </c>
      <c r="P52" s="1" t="inlineStr">
        <is>
          <t>16_WUXGA_AG_300N_N</t>
        </is>
      </c>
      <c r="Q52" s="1" t="inlineStr">
        <is>
          <t>1 Yr Onsite + 1 Yr PC</t>
        </is>
      </c>
      <c r="R52" s="1" t="inlineStr">
        <is>
          <t>Full GTN</t>
        </is>
      </c>
      <c r="S52" s="1" t="n">
        <v>0</v>
      </c>
      <c r="T52" s="2">
        <f>U52*0.965*0.98</f>
        <v/>
      </c>
      <c r="U52" s="13" t="n">
        <v>57579.73805855163</v>
      </c>
      <c r="V52" s="13" t="n">
        <v>1559.322033898323</v>
      </c>
      <c r="W52" s="13" t="n"/>
      <c r="X52" s="13" t="n"/>
      <c r="Y52" s="2">
        <f>(U52*0.88-S52-V52-W52-X52)*1.18/0.92</f>
        <v/>
      </c>
      <c r="Z52" s="2" t="n">
        <v>62990</v>
      </c>
      <c r="AA52" s="5" t="n"/>
      <c r="AB52" s="5" t="n"/>
      <c r="AC52" s="14" t="n">
        <v>62990</v>
      </c>
      <c r="AD52" s="5">
        <f>(Y52-AC52)/1.18*0.92</f>
        <v/>
      </c>
      <c r="AE52" s="5" t="n"/>
      <c r="AF52" s="5">
        <f>W52+X52</f>
        <v/>
      </c>
      <c r="AG52" s="5" t="n"/>
      <c r="AH52" s="13" t="n">
        <v>1559.322033898323</v>
      </c>
      <c r="AI52" s="13" t="n"/>
      <c r="AJ52" s="5" t="n"/>
      <c r="AL52" s="5" t="n"/>
      <c r="AM52" s="5" t="n">
        <v>62181.52695652173</v>
      </c>
      <c r="AN52" s="5">
        <f>Y52-AM52</f>
        <v/>
      </c>
      <c r="AO52" s="5" t="n"/>
      <c r="AP52" s="5">
        <f>U52-AL52</f>
        <v/>
      </c>
      <c r="AQ52" s="20" t="n">
        <v>0</v>
      </c>
      <c r="AR52" s="20" t="n"/>
      <c r="AT52" s="3" t="n">
        <v>15</v>
      </c>
      <c r="AV52" s="5">
        <f>ROUNDUP((AT52/8)*80,0)</f>
        <v/>
      </c>
      <c r="AX52" s="38">
        <f>AV52*W52</f>
        <v/>
      </c>
      <c r="BA52" s="3" t="n">
        <v>45</v>
      </c>
      <c r="BB52" s="3" t="n">
        <v>950</v>
      </c>
      <c r="BC52" s="3" t="n">
        <v>0</v>
      </c>
      <c r="BD52" s="3">
        <f>BC52+BB52+BA52</f>
        <v/>
      </c>
      <c r="BE52" s="3" t="n">
        <v>213</v>
      </c>
      <c r="BF52" s="3" t="n">
        <v>3</v>
      </c>
      <c r="BH52" s="3">
        <f>ROUNDUP(BD52*1.85,0)</f>
        <v/>
      </c>
      <c r="BJ52" s="38">
        <f>BH52*V52</f>
        <v/>
      </c>
      <c r="BL52" s="3">
        <f>U52*1.18</f>
        <v/>
      </c>
    </row>
    <row r="53">
      <c r="A53" s="1" t="inlineStr">
        <is>
          <t>82VG00ESIN</t>
        </is>
      </c>
      <c r="B53" s="1">
        <f>IF(BL53&lt;40000,"Entry",IF(BL53&gt;65000,"Premium","Mainstream"))</f>
        <v/>
      </c>
      <c r="C53" s="1" t="inlineStr">
        <is>
          <t>Mainstream</t>
        </is>
      </c>
      <c r="D53" s="1" t="inlineStr">
        <is>
          <t>R5 OS Office</t>
        </is>
      </c>
      <c r="E53" s="1" t="inlineStr">
        <is>
          <t>Thin &amp; Light</t>
        </is>
      </c>
      <c r="F53" s="1" t="inlineStr">
        <is>
          <t>Slim 1</t>
        </is>
      </c>
      <c r="G53" s="1" t="inlineStr">
        <is>
          <t>IP1 15AMN7</t>
        </is>
      </c>
      <c r="H53" s="1" t="inlineStr">
        <is>
          <t>R5</t>
        </is>
      </c>
      <c r="I53" s="1" t="inlineStr">
        <is>
          <t>7XXXU</t>
        </is>
      </c>
      <c r="J53" s="1" t="inlineStr">
        <is>
          <t>R5-7520U</t>
        </is>
      </c>
      <c r="K53" s="1" t="inlineStr">
        <is>
          <t>8GB</t>
        </is>
      </c>
      <c r="L53" s="1" t="inlineStr">
        <is>
          <t>512GB SSD</t>
        </is>
      </c>
      <c r="M53" s="1" t="inlineStr">
        <is>
          <t>Windows 11</t>
        </is>
      </c>
      <c r="N53" s="1" t="inlineStr">
        <is>
          <t>Office 2021</t>
        </is>
      </c>
      <c r="O53" s="1" t="inlineStr">
        <is>
          <t>INTEGRATED_GRAPHICS</t>
        </is>
      </c>
      <c r="P53" s="1" t="inlineStr">
        <is>
          <t>15.6HD_TN_AG_220N_N</t>
        </is>
      </c>
      <c r="Q53" s="1" t="inlineStr">
        <is>
          <t>1 Yr. Onsite + 1 Yr. ADP</t>
        </is>
      </c>
      <c r="R53" s="1" t="inlineStr">
        <is>
          <t>Full GTN</t>
        </is>
      </c>
      <c r="S53" s="1" t="n">
        <v>0</v>
      </c>
      <c r="T53" s="2" t="n">
        <v>39012.9621</v>
      </c>
      <c r="U53" s="13" t="n">
        <v>41253</v>
      </c>
      <c r="V53" s="13" t="n">
        <v>444</v>
      </c>
      <c r="W53" s="13" t="n">
        <v>3143</v>
      </c>
      <c r="X53" s="13" t="n"/>
      <c r="Y53" s="2">
        <f>(U53*0.89-S53-V53-W53-X53)*1.18/0.92</f>
        <v/>
      </c>
      <c r="Z53" s="18">
        <f>AC53</f>
        <v/>
      </c>
      <c r="AA53" s="5" t="inlineStr">
        <is>
          <t>Ok</t>
        </is>
      </c>
      <c r="AB53" s="5" t="n"/>
      <c r="AC53" s="14" t="n">
        <v>42490</v>
      </c>
      <c r="AD53" s="5">
        <f>(Y53-AC53)/1.18*0.92</f>
        <v/>
      </c>
      <c r="AE53" s="5" t="n"/>
      <c r="AF53" s="5">
        <f>W53+X53</f>
        <v/>
      </c>
      <c r="AG53" s="5" t="n"/>
      <c r="AH53" s="13" t="n">
        <v>444</v>
      </c>
      <c r="AI53" s="13" t="n">
        <v>3143</v>
      </c>
      <c r="AJ53" s="5" t="n"/>
      <c r="AL53" s="5" t="n"/>
      <c r="AM53" s="5" t="n">
        <v>41990.46739130434</v>
      </c>
      <c r="AN53" s="5">
        <f>Y53-AM53</f>
        <v/>
      </c>
      <c r="AO53" s="5" t="n"/>
      <c r="AP53" s="5">
        <f>U53-AL53</f>
        <v/>
      </c>
      <c r="AQ53" s="20" t="n">
        <v>0</v>
      </c>
      <c r="AR53" s="20" t="n">
        <v>3143</v>
      </c>
      <c r="AT53" s="3" t="n">
        <v>7</v>
      </c>
      <c r="AV53" s="5">
        <f>ROUNDUP((AT53/8)*80,0)</f>
        <v/>
      </c>
      <c r="AX53" s="38">
        <f>AV53*W53</f>
        <v/>
      </c>
      <c r="BA53" s="3" t="n">
        <v>0</v>
      </c>
      <c r="BB53" s="3" t="n">
        <v>0</v>
      </c>
      <c r="BC53" s="3" t="n">
        <v>970</v>
      </c>
      <c r="BD53" s="3">
        <f>BC53+BB53+BA53</f>
        <v/>
      </c>
      <c r="BE53" s="3" t="n">
        <v>1248</v>
      </c>
      <c r="BF53" s="3" t="n">
        <v>0</v>
      </c>
      <c r="BH53" s="3">
        <f>ROUNDUP(BD53*1.85,0)</f>
        <v/>
      </c>
      <c r="BJ53" s="38">
        <f>BH53*V53</f>
        <v/>
      </c>
      <c r="BL53" s="3">
        <f>U53*1.18</f>
        <v/>
      </c>
    </row>
    <row r="54">
      <c r="A54" s="1" t="inlineStr">
        <is>
          <t>82K2025LIN</t>
        </is>
      </c>
      <c r="B54" s="1">
        <f>IF(BL54&lt;40000,"Entry",IF(BL54&gt;65000,"Premium","Mainstream"))</f>
        <v/>
      </c>
      <c r="C54" s="1" t="inlineStr">
        <is>
          <t>Premium</t>
        </is>
      </c>
      <c r="D54" s="1" t="inlineStr">
        <is>
          <t>R5 OS 4GB Graphics</t>
        </is>
      </c>
      <c r="E54" s="1" t="inlineStr">
        <is>
          <t>Gaming</t>
        </is>
      </c>
      <c r="F54" s="1" t="inlineStr">
        <is>
          <t>IP Gaming 3</t>
        </is>
      </c>
      <c r="G54" s="1" t="inlineStr">
        <is>
          <t>IdeaPad Gaming 3 15ACH6</t>
        </is>
      </c>
      <c r="H54" s="1" t="inlineStr">
        <is>
          <t>R5</t>
        </is>
      </c>
      <c r="I54" s="1" t="inlineStr">
        <is>
          <t>5XXXH</t>
        </is>
      </c>
      <c r="J54" s="1" t="inlineStr">
        <is>
          <t>R5-5600H</t>
        </is>
      </c>
      <c r="K54" s="1" t="inlineStr">
        <is>
          <t>16GB</t>
        </is>
      </c>
      <c r="L54" s="1" t="inlineStr">
        <is>
          <t>512GB SSD</t>
        </is>
      </c>
      <c r="M54" s="1" t="inlineStr">
        <is>
          <t>Windows 11</t>
        </is>
      </c>
      <c r="N54" s="1" t="inlineStr">
        <is>
          <t>No Office</t>
        </is>
      </c>
      <c r="O54" s="1" t="inlineStr">
        <is>
          <t>GTX 1650 4GB</t>
        </is>
      </c>
      <c r="P54" s="1" t="inlineStr">
        <is>
          <t>15.6FHD_AG_250N_60_N</t>
        </is>
      </c>
      <c r="Q54" s="1" t="inlineStr">
        <is>
          <t>1 Yr. Onsite</t>
        </is>
      </c>
      <c r="R54" s="1" t="inlineStr">
        <is>
          <t>Zero GTN</t>
        </is>
      </c>
      <c r="S54" s="1" t="n"/>
      <c r="T54" s="2">
        <f>U54*0.98*0.98</f>
        <v/>
      </c>
      <c r="U54" s="13" t="n">
        <v>47627.1186440678</v>
      </c>
      <c r="V54" s="13" t="n">
        <v>0</v>
      </c>
      <c r="W54" s="13" t="n">
        <v>6140</v>
      </c>
      <c r="X54" s="13" t="n"/>
      <c r="Y54" s="2">
        <f>(U54*0.98-S54-V54-W54-X54)*1.18/0.92</f>
        <v/>
      </c>
      <c r="Z54" s="1" t="n">
        <v>51990</v>
      </c>
      <c r="AA54" s="5" t="n"/>
      <c r="AB54" s="5" t="n"/>
      <c r="AC54" s="14" t="n">
        <v>51990</v>
      </c>
      <c r="AD54" s="5">
        <f>(Y54-AC54)/1.18*0.92</f>
        <v/>
      </c>
      <c r="AE54" s="5" t="n"/>
      <c r="AF54" s="5">
        <f>W54+X54</f>
        <v/>
      </c>
      <c r="AG54" s="5" t="n"/>
      <c r="AH54" s="13" t="n">
        <v>0</v>
      </c>
      <c r="AI54" s="13" t="n">
        <v>6140</v>
      </c>
      <c r="AJ54" s="5" t="n"/>
      <c r="AL54" s="5" t="n"/>
      <c r="AM54" s="5" t="n">
        <v>51990</v>
      </c>
      <c r="AN54" s="5">
        <f>Y54-AM54</f>
        <v/>
      </c>
      <c r="AO54" s="5" t="n"/>
      <c r="AP54" s="5">
        <f>U54-AL54</f>
        <v/>
      </c>
      <c r="AQ54" s="20" t="n">
        <v>0</v>
      </c>
      <c r="AR54" s="20" t="n">
        <v>6140</v>
      </c>
      <c r="AT54" s="3" t="n">
        <v>0</v>
      </c>
      <c r="AV54" s="5">
        <f>ROUNDUP((AT54/8)*80,0)</f>
        <v/>
      </c>
      <c r="AX54" s="38">
        <f>AV54*W54</f>
        <v/>
      </c>
      <c r="BA54" s="3" t="n">
        <v>0</v>
      </c>
      <c r="BB54" s="3" t="n">
        <v>0</v>
      </c>
      <c r="BC54" s="3" t="n">
        <v>0</v>
      </c>
      <c r="BD54" s="3">
        <f>BC54+BB54+BA54</f>
        <v/>
      </c>
      <c r="BE54" s="3" t="n">
        <v>13</v>
      </c>
      <c r="BF54" s="3" t="n">
        <v>2</v>
      </c>
      <c r="BH54" s="3">
        <f>ROUNDUP(BD54*1.85,0)</f>
        <v/>
      </c>
      <c r="BJ54" s="38">
        <f>BH54*V54</f>
        <v/>
      </c>
      <c r="BL54" s="3">
        <f>U54*1.18</f>
        <v/>
      </c>
    </row>
    <row r="55">
      <c r="A55" s="1" t="inlineStr">
        <is>
          <t>82K2025WIN</t>
        </is>
      </c>
      <c r="B55" s="1">
        <f>IF(BL55&lt;40000,"Entry",IF(BL55&gt;65000,"Premium","Mainstream"))</f>
        <v/>
      </c>
      <c r="C55" s="1" t="inlineStr">
        <is>
          <t>Premium</t>
        </is>
      </c>
      <c r="D55" s="1" t="inlineStr">
        <is>
          <t>R5 OS 4GB Graphics</t>
        </is>
      </c>
      <c r="E55" s="1" t="inlineStr">
        <is>
          <t>Gaming</t>
        </is>
      </c>
      <c r="F55" s="1" t="inlineStr">
        <is>
          <t>IP Gaming 3</t>
        </is>
      </c>
      <c r="G55" s="1" t="inlineStr">
        <is>
          <t>IdeaPad Gaming 3 15ACH6</t>
        </is>
      </c>
      <c r="H55" s="1" t="inlineStr">
        <is>
          <t>R5</t>
        </is>
      </c>
      <c r="I55" s="1" t="inlineStr">
        <is>
          <t>5XXXH</t>
        </is>
      </c>
      <c r="J55" s="1" t="inlineStr">
        <is>
          <t>R5-5600H</t>
        </is>
      </c>
      <c r="K55" s="1" t="inlineStr">
        <is>
          <t>8GB</t>
        </is>
      </c>
      <c r="L55" s="1" t="inlineStr">
        <is>
          <t>512GB SSD</t>
        </is>
      </c>
      <c r="M55" s="1" t="inlineStr">
        <is>
          <t>Windows 11</t>
        </is>
      </c>
      <c r="N55" s="1" t="inlineStr">
        <is>
          <t>No Office</t>
        </is>
      </c>
      <c r="O55" s="1" t="inlineStr">
        <is>
          <t>GTX 1650 4GB</t>
        </is>
      </c>
      <c r="P55" s="1" t="inlineStr">
        <is>
          <t>15.6FHD_AG_250N_120_N</t>
        </is>
      </c>
      <c r="Q55" s="1" t="inlineStr">
        <is>
          <t>1 Yr. Onsite</t>
        </is>
      </c>
      <c r="R55" s="1" t="inlineStr">
        <is>
          <t>Zero GTN</t>
        </is>
      </c>
      <c r="S55" s="1" t="n"/>
      <c r="T55" s="2">
        <f>U55*0.98*0.98</f>
        <v/>
      </c>
      <c r="U55" s="13" t="n">
        <v>45847.45762711865</v>
      </c>
      <c r="V55" s="13" t="n">
        <v>0</v>
      </c>
      <c r="W55" s="13" t="n">
        <v>5955.254237288136</v>
      </c>
      <c r="X55" s="13" t="n"/>
      <c r="Y55" s="2">
        <f>(U55*0.98-S55-V55-W55-X55)*1.18/0.92</f>
        <v/>
      </c>
      <c r="Z55" s="1" t="n">
        <v>49990</v>
      </c>
      <c r="AA55" s="5" t="n"/>
      <c r="AB55" s="5" t="n"/>
      <c r="AC55" s="14" t="n">
        <v>49990</v>
      </c>
      <c r="AD55" s="5">
        <f>(Y55-AC55)/1.18*0.92</f>
        <v/>
      </c>
      <c r="AE55" s="5" t="n"/>
      <c r="AF55" s="5">
        <f>W55+X55</f>
        <v/>
      </c>
      <c r="AG55" s="5" t="n"/>
      <c r="AH55" s="13" t="n">
        <v>0</v>
      </c>
      <c r="AI55" s="13" t="n">
        <v>5955.254237288136</v>
      </c>
      <c r="AJ55" s="5" t="n"/>
      <c r="AL55" s="5" t="n"/>
      <c r="AM55" s="5" t="n">
        <v>49989.99999999999</v>
      </c>
      <c r="AN55" s="5">
        <f>Y55-AM55</f>
        <v/>
      </c>
      <c r="AO55" s="5" t="n"/>
      <c r="AP55" s="5">
        <f>U55-AL55</f>
        <v/>
      </c>
      <c r="AQ55" s="20" t="n">
        <v>0</v>
      </c>
      <c r="AR55" s="20" t="n">
        <v>5955.254237288136</v>
      </c>
      <c r="AT55" s="3" t="n">
        <v>0</v>
      </c>
      <c r="AV55" s="5">
        <f>ROUNDUP((AT55/8)*80,0)</f>
        <v/>
      </c>
      <c r="AX55" s="38">
        <f>AV55*W55</f>
        <v/>
      </c>
      <c r="BA55" s="3" t="n">
        <v>0</v>
      </c>
      <c r="BB55" s="3" t="n">
        <v>0</v>
      </c>
      <c r="BC55" s="3" t="n">
        <v>0</v>
      </c>
      <c r="BD55" s="3">
        <f>BC55+BB55+BA55</f>
        <v/>
      </c>
      <c r="BE55" s="3" t="n">
        <v>0</v>
      </c>
      <c r="BF55" s="3" t="n">
        <v>0</v>
      </c>
      <c r="BH55" s="3">
        <f>ROUNDUP(BD55*1.85,0)</f>
        <v/>
      </c>
      <c r="BJ55" s="38">
        <f>BH55*V55</f>
        <v/>
      </c>
      <c r="BL55" s="3">
        <f>U55*1.18</f>
        <v/>
      </c>
    </row>
    <row r="56">
      <c r="A56" s="1" t="inlineStr">
        <is>
          <t>82JQ010EIN</t>
        </is>
      </c>
      <c r="B56" s="1">
        <f>IF(BL56&lt;40000,"Entry",IF(BL56&gt;65000,"Premium","Mainstream"))</f>
        <v/>
      </c>
      <c r="C56" s="1" t="inlineStr">
        <is>
          <t>Premium</t>
        </is>
      </c>
      <c r="D56" s="1" t="inlineStr">
        <is>
          <t>R7 OS 6GB Graphics Office</t>
        </is>
      </c>
      <c r="E56" s="1" t="inlineStr">
        <is>
          <t>Gaming</t>
        </is>
      </c>
      <c r="F56" s="1" t="inlineStr">
        <is>
          <t>Legion 5 Pro</t>
        </is>
      </c>
      <c r="G56" s="1" t="inlineStr">
        <is>
          <t>Legion 5 Pro 16ACH6H</t>
        </is>
      </c>
      <c r="H56" s="1" t="inlineStr">
        <is>
          <t>R7</t>
        </is>
      </c>
      <c r="I56" s="1" t="inlineStr">
        <is>
          <t>5XXXH</t>
        </is>
      </c>
      <c r="J56" s="1" t="inlineStr">
        <is>
          <t>R7-5800H</t>
        </is>
      </c>
      <c r="K56" s="1" t="inlineStr">
        <is>
          <t>16GB</t>
        </is>
      </c>
      <c r="L56" s="1" t="inlineStr">
        <is>
          <t>512GB SSD</t>
        </is>
      </c>
      <c r="M56" s="1" t="inlineStr">
        <is>
          <t>Windows 11</t>
        </is>
      </c>
      <c r="N56" s="1" t="inlineStr">
        <is>
          <t>Office 2021</t>
        </is>
      </c>
      <c r="O56" s="1" t="inlineStr">
        <is>
          <t>RTX 3060 6GB</t>
        </is>
      </c>
      <c r="P56" s="1" t="inlineStr">
        <is>
          <t>16_WQXGA_AG_500N_165Hz</t>
        </is>
      </c>
      <c r="Q56" s="1" t="inlineStr">
        <is>
          <t>1 Yr Onsite + 1 Yr LUS</t>
        </is>
      </c>
      <c r="R56" s="1" t="inlineStr">
        <is>
          <t>Full GTN</t>
        </is>
      </c>
      <c r="S56" s="1" t="n">
        <v>0</v>
      </c>
      <c r="T56" s="2">
        <f>U56*0.98*0.965</f>
        <v/>
      </c>
      <c r="U56" s="13" t="n">
        <v>101169.8183050847</v>
      </c>
      <c r="V56" s="13" t="n">
        <v>0</v>
      </c>
      <c r="W56" s="13" t="n">
        <v>8732.151972881358</v>
      </c>
      <c r="X56" s="13" t="n"/>
      <c r="Y56" s="2">
        <f>(U56*0.88-S56-V56-W56-X56)*1.18/0.92</f>
        <v/>
      </c>
      <c r="Z56" s="1" t="n">
        <v>102990</v>
      </c>
      <c r="AA56" s="5" t="n"/>
      <c r="AB56" s="5" t="n"/>
      <c r="AC56" s="14" t="n">
        <v>102990</v>
      </c>
      <c r="AD56" s="5">
        <f>(Y56-AC56)/1.18*0.92</f>
        <v/>
      </c>
      <c r="AE56" s="5" t="n"/>
      <c r="AF56" s="5">
        <f>W56+X56</f>
        <v/>
      </c>
      <c r="AG56" s="5" t="n"/>
      <c r="AH56" s="13" t="n">
        <v>0</v>
      </c>
      <c r="AI56" s="13" t="n">
        <v>8732.151972881358</v>
      </c>
      <c r="AJ56" s="5" t="n"/>
      <c r="AL56" s="5" t="n"/>
      <c r="AM56" s="5" t="n">
        <v>102990</v>
      </c>
      <c r="AN56" s="5">
        <f>Y56-AM56</f>
        <v/>
      </c>
      <c r="AO56" s="5" t="n"/>
      <c r="AP56" s="5">
        <f>U56-AL56</f>
        <v/>
      </c>
      <c r="AQ56" s="20" t="n">
        <v>0</v>
      </c>
      <c r="AR56" s="20" t="n">
        <v>8732.151972881358</v>
      </c>
      <c r="AT56" s="3" t="n">
        <v>0</v>
      </c>
      <c r="AV56" s="5">
        <f>ROUNDUP((AT56/8)*80,0)</f>
        <v/>
      </c>
      <c r="AX56" s="38">
        <f>AV56*W56</f>
        <v/>
      </c>
      <c r="BA56" s="3" t="n">
        <v>0</v>
      </c>
      <c r="BB56" s="3" t="n">
        <v>0</v>
      </c>
      <c r="BC56" s="3" t="n">
        <v>0</v>
      </c>
      <c r="BD56" s="3">
        <f>BC56+BB56+BA56</f>
        <v/>
      </c>
      <c r="BE56" s="3" t="n">
        <v>217</v>
      </c>
      <c r="BF56" s="3" t="n">
        <v>0</v>
      </c>
      <c r="BH56" s="3">
        <f>ROUNDUP(BD56*1.85,0)</f>
        <v/>
      </c>
      <c r="BJ56" s="38">
        <f>BH56*V56</f>
        <v/>
      </c>
      <c r="BL56" s="3">
        <f>U56*1.18</f>
        <v/>
      </c>
    </row>
    <row r="57">
      <c r="A57" s="1" t="inlineStr">
        <is>
          <t>82KU017EIN</t>
        </is>
      </c>
      <c r="B57" s="1">
        <f>IF(BL57&lt;40000,"Entry",IF(BL57&gt;65000,"Premium","Mainstream"))</f>
        <v/>
      </c>
      <c r="C57" s="1" t="inlineStr">
        <is>
          <t>Mainstream</t>
        </is>
      </c>
      <c r="D57" s="1" t="inlineStr">
        <is>
          <t>R5 OS Office</t>
        </is>
      </c>
      <c r="E57" s="1" t="inlineStr">
        <is>
          <t>Thin &amp; Light</t>
        </is>
      </c>
      <c r="F57" s="1" t="inlineStr">
        <is>
          <t>Slim 3</t>
        </is>
      </c>
      <c r="G57" s="1" t="inlineStr">
        <is>
          <t>IdeaPad 3 15ALC6</t>
        </is>
      </c>
      <c r="H57" s="1" t="inlineStr">
        <is>
          <t>R5</t>
        </is>
      </c>
      <c r="I57" s="1" t="inlineStr">
        <is>
          <t>5XXXU</t>
        </is>
      </c>
      <c r="J57" s="1" t="inlineStr">
        <is>
          <t>R5-5500U</t>
        </is>
      </c>
      <c r="K57" s="1" t="inlineStr">
        <is>
          <t>8GB</t>
        </is>
      </c>
      <c r="L57" s="1" t="inlineStr">
        <is>
          <t>512GB SSD</t>
        </is>
      </c>
      <c r="M57" s="1" t="inlineStr">
        <is>
          <t>Win11</t>
        </is>
      </c>
      <c r="N57" s="1" t="inlineStr">
        <is>
          <t>Office 2021</t>
        </is>
      </c>
      <c r="O57" s="1" t="inlineStr">
        <is>
          <t>INTEGRATED_GRAPHICS</t>
        </is>
      </c>
      <c r="P57" s="1" t="inlineStr">
        <is>
          <t>15.6FHD_AG_250N_N</t>
        </is>
      </c>
      <c r="Q57" s="1" t="inlineStr">
        <is>
          <t>2 Yr Warranty</t>
        </is>
      </c>
      <c r="R57" s="1" t="inlineStr">
        <is>
          <t>Full GTN</t>
        </is>
      </c>
      <c r="S57" s="1" t="n">
        <v>725</v>
      </c>
      <c r="T57" s="2" t="n">
        <v>38461.00990508475</v>
      </c>
      <c r="U57" s="13" t="n">
        <v>40669.35593220339</v>
      </c>
      <c r="V57" s="13" t="n">
        <v>0</v>
      </c>
      <c r="W57" s="13" t="n">
        <v>4292.082711864405</v>
      </c>
      <c r="X57" s="13" t="n"/>
      <c r="Y57" s="2">
        <f>(U57*0.89-S57-V57-W57-X57)*1.18/0.92</f>
        <v/>
      </c>
      <c r="Z57" s="18">
        <f>AC57</f>
        <v/>
      </c>
      <c r="AA57" s="5" t="inlineStr">
        <is>
          <t>Ok</t>
        </is>
      </c>
      <c r="AB57" s="5" t="n"/>
      <c r="AC57" s="14" t="n">
        <v>39990</v>
      </c>
      <c r="AD57" s="5">
        <f>(Y57-AC57)/1.18*0.92</f>
        <v/>
      </c>
      <c r="AE57" s="5" t="n"/>
      <c r="AF57" s="5">
        <f>W57+X57</f>
        <v/>
      </c>
      <c r="AG57" s="5" t="n"/>
      <c r="AH57" s="13" t="n">
        <v>0</v>
      </c>
      <c r="AI57" s="13" t="n">
        <v>4292.082711864405</v>
      </c>
      <c r="AJ57" s="5" t="n"/>
      <c r="AL57" s="5" t="n"/>
      <c r="AM57" s="5" t="n">
        <v>39990</v>
      </c>
      <c r="AN57" s="5">
        <f>Y57-AM57</f>
        <v/>
      </c>
      <c r="AO57" s="5" t="n"/>
      <c r="AP57" s="5">
        <f>U57-AL57</f>
        <v/>
      </c>
      <c r="AQ57" s="20" t="n">
        <v>0</v>
      </c>
      <c r="AR57" s="20" t="n">
        <v>4292.082711864405</v>
      </c>
      <c r="AT57" s="3" t="n">
        <v>0</v>
      </c>
      <c r="AV57" s="5">
        <f>ROUNDUP((AT57/8)*80,0)</f>
        <v/>
      </c>
      <c r="AX57" s="38">
        <f>AV57*W57</f>
        <v/>
      </c>
      <c r="BA57" s="3" t="n">
        <v>0</v>
      </c>
      <c r="BB57" s="3" t="n">
        <v>0</v>
      </c>
      <c r="BC57" s="3" t="n">
        <v>0</v>
      </c>
      <c r="BD57" s="3">
        <f>BC57+BB57+BA57</f>
        <v/>
      </c>
      <c r="BE57" s="3" t="n">
        <v>16</v>
      </c>
      <c r="BF57" s="3" t="n">
        <v>23</v>
      </c>
      <c r="BH57" s="3">
        <f>ROUNDUP(BD57*1.85,0)</f>
        <v/>
      </c>
      <c r="BJ57" s="38">
        <f>BH57*V57</f>
        <v/>
      </c>
      <c r="BL57" s="3">
        <f>U57*1.18</f>
        <v/>
      </c>
    </row>
    <row r="58">
      <c r="A58" s="1" t="inlineStr">
        <is>
          <t>82KU017KIN</t>
        </is>
      </c>
      <c r="B58" s="1">
        <f>IF(BL58&lt;40000,"Entry",IF(BL58&gt;65000,"Premium","Mainstream"))</f>
        <v/>
      </c>
      <c r="C58" s="1" t="inlineStr">
        <is>
          <t>Mainstream</t>
        </is>
      </c>
      <c r="D58" s="1" t="inlineStr">
        <is>
          <t>R5 OS Office</t>
        </is>
      </c>
      <c r="E58" s="1" t="inlineStr">
        <is>
          <t>Thin &amp; Light</t>
        </is>
      </c>
      <c r="F58" s="1" t="inlineStr">
        <is>
          <t>Slim 3</t>
        </is>
      </c>
      <c r="G58" s="1" t="inlineStr">
        <is>
          <t>IdeaPad 3 15ALC6</t>
        </is>
      </c>
      <c r="H58" s="1" t="inlineStr">
        <is>
          <t>R5</t>
        </is>
      </c>
      <c r="I58" s="1" t="inlineStr">
        <is>
          <t>5XXXU</t>
        </is>
      </c>
      <c r="J58" s="1" t="inlineStr">
        <is>
          <t>R5-5500U</t>
        </is>
      </c>
      <c r="K58" s="1" t="inlineStr">
        <is>
          <t>8GB</t>
        </is>
      </c>
      <c r="L58" s="1" t="inlineStr">
        <is>
          <t>512GB SSD</t>
        </is>
      </c>
      <c r="M58" s="1" t="inlineStr">
        <is>
          <t>Win11</t>
        </is>
      </c>
      <c r="N58" s="1" t="inlineStr">
        <is>
          <t>Office 2021</t>
        </is>
      </c>
      <c r="O58" s="1" t="inlineStr">
        <is>
          <t>INTEGRATED_GRAPHICS</t>
        </is>
      </c>
      <c r="P58" s="1" t="inlineStr">
        <is>
          <t>15.6FHD_AG_250N_N</t>
        </is>
      </c>
      <c r="Q58" s="1" t="inlineStr">
        <is>
          <t>2 Yr Warranty</t>
        </is>
      </c>
      <c r="R58" s="1" t="inlineStr">
        <is>
          <t>Full GTN</t>
        </is>
      </c>
      <c r="S58" s="1" t="n">
        <v>725</v>
      </c>
      <c r="T58" s="2" t="n">
        <v>39262.0017762712</v>
      </c>
      <c r="U58" s="13" t="n">
        <v>41516.33898305086</v>
      </c>
      <c r="V58" s="13" t="n">
        <v>758</v>
      </c>
      <c r="W58" s="13" t="n">
        <v>4287.897627118651</v>
      </c>
      <c r="X58" s="13" t="n"/>
      <c r="Y58" s="2">
        <f>(U58*0.89-S58-V58-W58-X58)*1.18/0.92</f>
        <v/>
      </c>
      <c r="Z58" s="18">
        <f>AC58</f>
        <v/>
      </c>
      <c r="AA58" s="5" t="inlineStr">
        <is>
          <t>Ok</t>
        </is>
      </c>
      <c r="AB58" s="5" t="n"/>
      <c r="AC58" s="14" t="n">
        <v>39990</v>
      </c>
      <c r="AD58" s="5">
        <f>(Y58-AC58)/1.18*0.92</f>
        <v/>
      </c>
      <c r="AE58" s="5" t="n"/>
      <c r="AF58" s="5">
        <f>W58+X58</f>
        <v/>
      </c>
      <c r="AG58" s="5" t="n"/>
      <c r="AH58" s="13" t="n">
        <v>758</v>
      </c>
      <c r="AI58" s="13" t="n">
        <v>4287.897627118651</v>
      </c>
      <c r="AJ58" s="5" t="n"/>
      <c r="AL58" s="5" t="n"/>
      <c r="AM58" s="5" t="n">
        <v>39990</v>
      </c>
      <c r="AN58" s="5">
        <f>Y58-AM58</f>
        <v/>
      </c>
      <c r="AO58" s="5" t="n"/>
      <c r="AP58" s="5">
        <f>U58-AL58</f>
        <v/>
      </c>
      <c r="AQ58" s="20" t="n">
        <v>758</v>
      </c>
      <c r="AR58" s="20" t="n">
        <v>4287.897627118651</v>
      </c>
      <c r="AT58" s="3" t="n">
        <v>2</v>
      </c>
      <c r="AV58" s="5">
        <f>ROUNDUP((AT58/8)*80,0)</f>
        <v/>
      </c>
      <c r="AX58" s="38">
        <f>AV58*W58</f>
        <v/>
      </c>
      <c r="BA58" s="3" t="n">
        <v>0</v>
      </c>
      <c r="BB58" s="3" t="n">
        <v>-2</v>
      </c>
      <c r="BC58" s="3" t="n">
        <v>0</v>
      </c>
      <c r="BD58" s="3">
        <f>BC58+BB58+BA58</f>
        <v/>
      </c>
      <c r="BE58" s="3" t="n">
        <v>2</v>
      </c>
      <c r="BF58" s="3" t="n">
        <v>0</v>
      </c>
      <c r="BH58" s="3">
        <f>ROUNDUP(BD58*1.85,0)</f>
        <v/>
      </c>
      <c r="BJ58" s="38">
        <f>BH58*V58</f>
        <v/>
      </c>
      <c r="BL58" s="3">
        <f>U58*1.18</f>
        <v/>
      </c>
    </row>
    <row r="59">
      <c r="A59" s="1" t="inlineStr">
        <is>
          <t>82VG00EQIN</t>
        </is>
      </c>
      <c r="B59" s="1">
        <f>IF(BL59&lt;40000,"Entry",IF(BL59&gt;65000,"Premium","Mainstream"))</f>
        <v/>
      </c>
      <c r="C59" s="1" t="inlineStr">
        <is>
          <t>Entry</t>
        </is>
      </c>
      <c r="D59" s="1" t="inlineStr">
        <is>
          <t>Athlon OS Office</t>
        </is>
      </c>
      <c r="E59" s="1" t="inlineStr">
        <is>
          <t>Thin &amp; Light</t>
        </is>
      </c>
      <c r="F59" s="1" t="inlineStr">
        <is>
          <t>Slim 1</t>
        </is>
      </c>
      <c r="G59" s="1" t="inlineStr">
        <is>
          <t>IP1 15AMN7</t>
        </is>
      </c>
      <c r="H59" s="1" t="inlineStr">
        <is>
          <t>Athlon</t>
        </is>
      </c>
      <c r="I59" s="1" t="inlineStr">
        <is>
          <t>7XXXU</t>
        </is>
      </c>
      <c r="J59" s="1" t="inlineStr">
        <is>
          <t>Athlon Silver 7120U</t>
        </is>
      </c>
      <c r="K59" s="1" t="inlineStr">
        <is>
          <t>8GB</t>
        </is>
      </c>
      <c r="L59" s="1" t="inlineStr">
        <is>
          <t>512GB SSD</t>
        </is>
      </c>
      <c r="M59" s="1" t="inlineStr">
        <is>
          <t>Windows 11</t>
        </is>
      </c>
      <c r="N59" s="1" t="inlineStr">
        <is>
          <t>Office 2021</t>
        </is>
      </c>
      <c r="O59" s="1" t="inlineStr">
        <is>
          <t>INTEGRATED_GRAPHICS</t>
        </is>
      </c>
      <c r="P59" s="1" t="inlineStr">
        <is>
          <t>15.6HD_TN_AG_220N_N</t>
        </is>
      </c>
      <c r="Q59" s="1" t="inlineStr">
        <is>
          <t>1 Yr. Onsite + 1 Yr. ADP</t>
        </is>
      </c>
      <c r="R59" s="1" t="inlineStr">
        <is>
          <t>Zero GTN</t>
        </is>
      </c>
      <c r="S59" s="1" t="n">
        <v>0</v>
      </c>
      <c r="T59" s="2" t="n">
        <v>25487.22542372882</v>
      </c>
      <c r="U59" s="13" t="n">
        <v>26708</v>
      </c>
      <c r="V59" s="13" t="n">
        <v>0</v>
      </c>
      <c r="W59" s="13" t="n">
        <v>3571</v>
      </c>
      <c r="X59" s="13" t="n"/>
      <c r="Y59" s="2">
        <f>(U59*0.98-S59-V59-W59-X59)*1.18/0.92</f>
        <v/>
      </c>
      <c r="Z59" s="18">
        <f>AC59</f>
        <v/>
      </c>
      <c r="AA59" s="5" t="inlineStr">
        <is>
          <t>Ok</t>
        </is>
      </c>
      <c r="AB59" s="5" t="n"/>
      <c r="AC59" s="14" t="n">
        <v>28990</v>
      </c>
      <c r="AD59" s="5">
        <f>(Y59-AC59)/1.18*0.92</f>
        <v/>
      </c>
      <c r="AE59" s="5" t="n"/>
      <c r="AF59" s="5">
        <f>W59+X59</f>
        <v/>
      </c>
      <c r="AG59" s="5" t="n"/>
      <c r="AH59" s="13" t="n">
        <v>0</v>
      </c>
      <c r="AI59" s="13" t="n">
        <v>3571</v>
      </c>
      <c r="AJ59" s="5" t="n"/>
      <c r="AL59" s="5" t="n"/>
      <c r="AM59" s="5" t="n">
        <v>26990</v>
      </c>
      <c r="AN59" s="5">
        <f>Y59-AM59</f>
        <v/>
      </c>
      <c r="AO59" s="5" t="n"/>
      <c r="AP59" s="5">
        <f>U59-AL59</f>
        <v/>
      </c>
      <c r="AQ59" s="20" t="n">
        <v>0</v>
      </c>
      <c r="AR59" s="20" t="n">
        <v>5130.789152542373</v>
      </c>
      <c r="AT59" s="3" t="n">
        <v>19</v>
      </c>
      <c r="AV59" s="5">
        <f>ROUNDUP((AT59/8)*80,0)</f>
        <v/>
      </c>
      <c r="AX59" s="38">
        <f>AV59*W59</f>
        <v/>
      </c>
      <c r="BA59" s="3" t="n">
        <v>-1</v>
      </c>
      <c r="BB59" s="3" t="n">
        <v>0</v>
      </c>
      <c r="BC59" s="3" t="n">
        <v>-4</v>
      </c>
      <c r="BD59" s="3">
        <f>BC59+BB59+BA59</f>
        <v/>
      </c>
      <c r="BE59" s="3" t="n">
        <v>1</v>
      </c>
      <c r="BF59" s="3" t="n">
        <v>6</v>
      </c>
      <c r="BH59" s="3">
        <f>ROUNDUP(BD59*1.85,0)</f>
        <v/>
      </c>
      <c r="BJ59" s="38">
        <f>BH59*V59</f>
        <v/>
      </c>
      <c r="BL59" s="3">
        <f>U59*1.18</f>
        <v/>
      </c>
    </row>
    <row r="60">
      <c r="A60" s="1" t="inlineStr">
        <is>
          <t>82V6006EIN</t>
        </is>
      </c>
      <c r="B60" s="1">
        <f>IF(BL60&lt;40000,"Entry",IF(BL60&gt;65000,"Premium","Mainstream"))</f>
        <v/>
      </c>
      <c r="C60" s="1" t="inlineStr">
        <is>
          <t>Entry</t>
        </is>
      </c>
      <c r="D60" s="1" t="inlineStr">
        <is>
          <t>CDC OS Office</t>
        </is>
      </c>
      <c r="E60" s="1" t="inlineStr">
        <is>
          <t>Thin &amp; Light</t>
        </is>
      </c>
      <c r="F60" s="1" t="inlineStr">
        <is>
          <t>Slim 1</t>
        </is>
      </c>
      <c r="G60" s="1" t="inlineStr">
        <is>
          <t>IP1 14IGL7</t>
        </is>
      </c>
      <c r="H60" s="1" t="inlineStr">
        <is>
          <t>Celeron</t>
        </is>
      </c>
      <c r="I60" s="1" t="inlineStr">
        <is>
          <t>4XXX</t>
        </is>
      </c>
      <c r="J60" s="1" t="inlineStr">
        <is>
          <t>N4020</t>
        </is>
      </c>
      <c r="K60" s="1" t="inlineStr">
        <is>
          <t>8GB</t>
        </is>
      </c>
      <c r="L60" s="1" t="inlineStr">
        <is>
          <t>256GB SSD</t>
        </is>
      </c>
      <c r="M60" s="1" t="inlineStr">
        <is>
          <t>Windows 11</t>
        </is>
      </c>
      <c r="N60" s="1" t="inlineStr">
        <is>
          <t>OFFICE 2021</t>
        </is>
      </c>
      <c r="O60" s="1" t="inlineStr">
        <is>
          <t>INTEGRATED_GRAPHICS</t>
        </is>
      </c>
      <c r="P60" s="1" t="inlineStr">
        <is>
          <t>14.0HD_TN_AG_220N_N</t>
        </is>
      </c>
      <c r="Q60" s="1" t="inlineStr">
        <is>
          <t>1 Yr. Onsite + 1 Yr. ADP</t>
        </is>
      </c>
      <c r="R60" s="1" t="inlineStr">
        <is>
          <t>Zero GTN</t>
        </is>
      </c>
      <c r="S60" s="1" t="n"/>
      <c r="T60" s="2" t="n">
        <v>22561</v>
      </c>
      <c r="U60" s="13" t="n">
        <v>23491.52542372881</v>
      </c>
      <c r="V60" s="13" t="n">
        <v>0</v>
      </c>
      <c r="W60" s="13" t="n">
        <v>2368</v>
      </c>
      <c r="X60" s="13" t="n"/>
      <c r="Y60" s="2">
        <f>(U60*0.98-S60-V60-W60-X60)*1.18/0.92</f>
        <v/>
      </c>
      <c r="Z60" s="18">
        <f>AC60</f>
        <v/>
      </c>
      <c r="AA60" s="5" t="inlineStr">
        <is>
          <t>Ok</t>
        </is>
      </c>
      <c r="AB60" s="5" t="n"/>
      <c r="AC60" s="14" t="n">
        <v>26490</v>
      </c>
      <c r="AD60" s="5">
        <f>(Y60-AC60)/1.18*0.92</f>
        <v/>
      </c>
      <c r="AE60" s="5" t="n"/>
      <c r="AF60" s="5">
        <f>W60+X60</f>
        <v/>
      </c>
      <c r="AG60" s="5" t="n"/>
      <c r="AH60" s="13" t="n">
        <v>0</v>
      </c>
      <c r="AI60" s="13" t="n">
        <v>2368</v>
      </c>
      <c r="AJ60" s="5" t="n"/>
      <c r="AL60" s="5" t="n"/>
      <c r="AM60" s="5" t="n">
        <v>26490</v>
      </c>
      <c r="AN60" s="5">
        <f>Y60-AM60</f>
        <v/>
      </c>
      <c r="AO60" s="5" t="n"/>
      <c r="AP60" s="5">
        <f>U60-AL60</f>
        <v/>
      </c>
      <c r="AQ60" s="20" t="n">
        <v>0</v>
      </c>
      <c r="AR60" s="20" t="n">
        <v>2368.474576271186</v>
      </c>
      <c r="AT60" s="3" t="n">
        <v>25</v>
      </c>
      <c r="AV60" s="5">
        <f>ROUNDUP((AT60/8)*80,0)</f>
        <v/>
      </c>
      <c r="AX60" s="38">
        <f>AV60*W60</f>
        <v/>
      </c>
      <c r="BA60" s="3" t="n">
        <v>-23</v>
      </c>
      <c r="BB60" s="3" t="n">
        <v>28</v>
      </c>
      <c r="BC60" s="3" t="n">
        <v>-1</v>
      </c>
      <c r="BD60" s="3">
        <f>BC60+BB60+BA60</f>
        <v/>
      </c>
      <c r="BE60" s="3" t="n">
        <v>0</v>
      </c>
      <c r="BF60" s="3" t="n">
        <v>0</v>
      </c>
      <c r="BH60" s="3">
        <f>ROUNDUP(BD60*1.85,0)</f>
        <v/>
      </c>
      <c r="BJ60" s="38">
        <f>BH60*V60</f>
        <v/>
      </c>
      <c r="BL60" s="3">
        <f>U60*1.18</f>
        <v/>
      </c>
    </row>
    <row r="61">
      <c r="A61" s="1" t="inlineStr">
        <is>
          <t>82V6005EIN</t>
        </is>
      </c>
      <c r="B61" s="1">
        <f>IF(BL61&lt;40000,"Entry",IF(BL61&gt;65000,"Premium","Mainstream"))</f>
        <v/>
      </c>
      <c r="C61" s="1" t="inlineStr">
        <is>
          <t>Entry</t>
        </is>
      </c>
      <c r="D61" s="1" t="inlineStr">
        <is>
          <t>CDC OS Office</t>
        </is>
      </c>
      <c r="E61" s="1" t="inlineStr">
        <is>
          <t>Thin &amp; Light</t>
        </is>
      </c>
      <c r="F61" s="1" t="inlineStr">
        <is>
          <t>Slim 1</t>
        </is>
      </c>
      <c r="G61" s="1" t="inlineStr">
        <is>
          <t>IP1 14IGL7</t>
        </is>
      </c>
      <c r="H61" s="1" t="inlineStr">
        <is>
          <t>Celeron</t>
        </is>
      </c>
      <c r="I61" s="1" t="inlineStr">
        <is>
          <t>4xxx</t>
        </is>
      </c>
      <c r="J61" s="1" t="inlineStr">
        <is>
          <t>N4020</t>
        </is>
      </c>
      <c r="K61" s="1" t="inlineStr">
        <is>
          <t>8GB</t>
        </is>
      </c>
      <c r="L61" s="1" t="inlineStr">
        <is>
          <t>256GB SSD</t>
        </is>
      </c>
      <c r="M61" s="1" t="inlineStr">
        <is>
          <t>Windows 11</t>
        </is>
      </c>
      <c r="N61" s="1" t="inlineStr">
        <is>
          <t>Office 2021</t>
        </is>
      </c>
      <c r="O61" s="1" t="inlineStr">
        <is>
          <t>INTEGRATED_GRAPHICS</t>
        </is>
      </c>
      <c r="P61" s="1" t="inlineStr">
        <is>
          <t>14.0HD_TN_AG_220N_N</t>
        </is>
      </c>
      <c r="Q61" s="1" t="inlineStr">
        <is>
          <t>1 Yr. Onsite + 1 Yr. ADP</t>
        </is>
      </c>
      <c r="R61" s="39" t="inlineStr">
        <is>
          <t>Zero GTN</t>
        </is>
      </c>
      <c r="S61" s="1" t="n"/>
      <c r="T61" s="2" t="n">
        <v>22561</v>
      </c>
      <c r="U61" s="13" t="n">
        <v>23491.52542372881</v>
      </c>
      <c r="V61" s="13" t="n">
        <v>0</v>
      </c>
      <c r="W61" s="13" t="n">
        <v>2368</v>
      </c>
      <c r="X61" s="13" t="n"/>
      <c r="Y61" s="2">
        <f>(U61*0.98-S61-V61-W61-X61)*1.18/0.92</f>
        <v/>
      </c>
      <c r="Z61" s="18">
        <f>AC61</f>
        <v/>
      </c>
      <c r="AA61" s="5" t="inlineStr">
        <is>
          <t>Ok</t>
        </is>
      </c>
      <c r="AB61" s="5" t="n"/>
      <c r="AC61" s="14" t="n">
        <v>26490</v>
      </c>
      <c r="AD61" s="5">
        <f>(Y61-AC61)/1.18*0.92</f>
        <v/>
      </c>
      <c r="AE61" s="5" t="n"/>
      <c r="AF61" s="5">
        <f>W61+X61</f>
        <v/>
      </c>
      <c r="AG61" s="5" t="n"/>
      <c r="AH61" s="13" t="n">
        <v>0</v>
      </c>
      <c r="AI61" s="13" t="n">
        <v>2368</v>
      </c>
      <c r="AJ61" s="5" t="n"/>
      <c r="AL61" s="5" t="n"/>
      <c r="AM61" s="5" t="n">
        <v>26490</v>
      </c>
      <c r="AN61" s="5">
        <f>Y61-AM61</f>
        <v/>
      </c>
      <c r="AO61" s="5" t="n"/>
      <c r="AP61" s="5">
        <f>U61-AL61</f>
        <v/>
      </c>
      <c r="AQ61" s="20" t="n">
        <v>0</v>
      </c>
      <c r="AR61" s="20" t="n">
        <v>2368.474576271186</v>
      </c>
      <c r="AT61" s="3" t="n">
        <v>16</v>
      </c>
      <c r="AV61" s="5">
        <f>ROUNDUP((AT61/8)*80,0)</f>
        <v/>
      </c>
      <c r="AX61" s="38">
        <f>AV61*W61</f>
        <v/>
      </c>
      <c r="BA61" s="3" t="n">
        <v>0</v>
      </c>
      <c r="BB61" s="3" t="n">
        <v>484</v>
      </c>
      <c r="BC61" s="3" t="n">
        <v>72</v>
      </c>
      <c r="BD61" s="3">
        <f>BC61+BB61+BA61</f>
        <v/>
      </c>
      <c r="BE61" s="3" t="n">
        <v>186</v>
      </c>
      <c r="BF61" s="3" t="n">
        <v>0</v>
      </c>
      <c r="BH61" s="3">
        <f>ROUNDUP(BD61*1.85,0)</f>
        <v/>
      </c>
      <c r="BJ61" s="38">
        <f>BH61*V61</f>
        <v/>
      </c>
      <c r="BL61" s="3">
        <f>U61*1.18</f>
        <v/>
      </c>
    </row>
    <row r="62">
      <c r="A62" s="1" t="inlineStr">
        <is>
          <t>82RK006DIN</t>
        </is>
      </c>
      <c r="B62" s="1">
        <f>IF(BL62&lt;40000,"Entry",IF(BL62&gt;65000,"Premium","Mainstream"))</f>
        <v/>
      </c>
      <c r="C62" s="1" t="inlineStr">
        <is>
          <t>Mainstream</t>
        </is>
      </c>
      <c r="D62" s="1" t="inlineStr">
        <is>
          <t>i3 OS Office</t>
        </is>
      </c>
      <c r="E62" s="1" t="inlineStr">
        <is>
          <t>Thin &amp; Light</t>
        </is>
      </c>
      <c r="F62" s="1" t="inlineStr">
        <is>
          <t>Slim 3</t>
        </is>
      </c>
      <c r="G62" s="1" t="inlineStr">
        <is>
          <t>IdeaPad 3 15IAU7</t>
        </is>
      </c>
      <c r="H62" s="1" t="inlineStr">
        <is>
          <t>i3</t>
        </is>
      </c>
      <c r="I62" s="1" t="inlineStr">
        <is>
          <t>12th Gen</t>
        </is>
      </c>
      <c r="J62" s="1" t="inlineStr">
        <is>
          <t>i3-1215U</t>
        </is>
      </c>
      <c r="K62" s="1" t="inlineStr">
        <is>
          <t>8GB</t>
        </is>
      </c>
      <c r="L62" s="1" t="inlineStr">
        <is>
          <t>512GB SSD</t>
        </is>
      </c>
      <c r="M62" s="1" t="inlineStr">
        <is>
          <t>Win11</t>
        </is>
      </c>
      <c r="N62" s="1" t="inlineStr">
        <is>
          <t>Office 2021</t>
        </is>
      </c>
      <c r="O62" s="1" t="inlineStr">
        <is>
          <t>INTEGRATED_GRAPHICS</t>
        </is>
      </c>
      <c r="P62" s="1" t="inlineStr">
        <is>
          <t>15.6FHD_TN_AG_250N_N</t>
        </is>
      </c>
      <c r="Q62" s="1" t="inlineStr">
        <is>
          <t>2 Yr Warranty</t>
        </is>
      </c>
      <c r="R62" s="1" t="inlineStr">
        <is>
          <t>Full GTN</t>
        </is>
      </c>
      <c r="S62" s="1" t="n"/>
      <c r="T62" s="2" t="n">
        <v>35655.7271</v>
      </c>
      <c r="U62" s="13" t="n">
        <v>37703</v>
      </c>
      <c r="V62" s="13" t="n">
        <v>817.703898305077</v>
      </c>
      <c r="W62" s="13" t="n">
        <v>4678</v>
      </c>
      <c r="X62" s="13" t="n"/>
      <c r="Y62" s="2">
        <f>(U62*0.89-S62-V62-W62-X62)*1.18/0.92</f>
        <v/>
      </c>
      <c r="Z62" s="18">
        <f>AC62</f>
        <v/>
      </c>
      <c r="AA62" s="5" t="inlineStr">
        <is>
          <t>Ok</t>
        </is>
      </c>
      <c r="AB62" s="5" t="n"/>
      <c r="AC62" s="14" t="n">
        <v>39490</v>
      </c>
      <c r="AD62" s="5" t="n">
        <v>0</v>
      </c>
      <c r="AE62" s="5" t="n"/>
      <c r="AF62" s="5">
        <f>W62+X62</f>
        <v/>
      </c>
      <c r="AG62" s="5" t="n"/>
      <c r="AH62" s="13" t="n">
        <v>817.703898305077</v>
      </c>
      <c r="AI62" s="13" t="n">
        <v>4678</v>
      </c>
      <c r="AJ62" s="5" t="n"/>
      <c r="AL62" s="5" t="n"/>
      <c r="AM62" s="5" t="n">
        <v>35989.95652173913</v>
      </c>
      <c r="AN62" s="5">
        <f>Y62-AM62</f>
        <v/>
      </c>
      <c r="AO62" s="5" t="n"/>
      <c r="AP62" s="5">
        <f>U62-AL62</f>
        <v/>
      </c>
      <c r="AQ62" s="20" t="n">
        <v>817.703898305077</v>
      </c>
      <c r="AR62" s="20" t="n">
        <v>3118.644067796617</v>
      </c>
      <c r="AT62" s="3" t="n">
        <v>0</v>
      </c>
      <c r="AV62" s="5">
        <f>ROUNDUP((AT62/8)*80,0)</f>
        <v/>
      </c>
      <c r="AX62" s="38">
        <f>AV62*W62</f>
        <v/>
      </c>
      <c r="BA62" s="3" t="n">
        <v>0</v>
      </c>
      <c r="BB62" s="3" t="n">
        <v>0</v>
      </c>
      <c r="BC62" s="3" t="n">
        <v>0</v>
      </c>
      <c r="BD62" s="3">
        <f>BC62+BB62+BA62</f>
        <v/>
      </c>
      <c r="BE62" s="3" t="n">
        <v>9</v>
      </c>
      <c r="BF62" s="3" t="n">
        <v>0</v>
      </c>
      <c r="BH62" s="3">
        <f>ROUNDUP(BD62*1.85,0)</f>
        <v/>
      </c>
      <c r="BJ62" s="38">
        <f>BH62*V62</f>
        <v/>
      </c>
      <c r="BL62" s="3">
        <f>U62*1.18</f>
        <v/>
      </c>
    </row>
    <row r="63">
      <c r="A63" s="1" t="inlineStr">
        <is>
          <t>82RK007JIN</t>
        </is>
      </c>
      <c r="B63" s="1">
        <f>IF(BL63&lt;40000,"Entry",IF(BL63&gt;65000,"Premium","Mainstream"))</f>
        <v/>
      </c>
      <c r="C63" s="1" t="inlineStr">
        <is>
          <t>Mainstream</t>
        </is>
      </c>
      <c r="D63" s="1" t="inlineStr">
        <is>
          <t>i3 OS Office</t>
        </is>
      </c>
      <c r="E63" s="1" t="inlineStr">
        <is>
          <t>Thin &amp; Light</t>
        </is>
      </c>
      <c r="F63" s="1" t="inlineStr">
        <is>
          <t>Slim 3</t>
        </is>
      </c>
      <c r="G63" s="1" t="inlineStr">
        <is>
          <t>IP3 15IAU7</t>
        </is>
      </c>
      <c r="H63" s="1" t="inlineStr">
        <is>
          <t>i3</t>
        </is>
      </c>
      <c r="I63" s="1" t="inlineStr">
        <is>
          <t>12th Gen</t>
        </is>
      </c>
      <c r="J63" s="1" t="inlineStr">
        <is>
          <t>i3-1215U</t>
        </is>
      </c>
      <c r="K63" s="1" t="inlineStr">
        <is>
          <t>8GB</t>
        </is>
      </c>
      <c r="L63" s="1" t="inlineStr">
        <is>
          <t>512GB SSD</t>
        </is>
      </c>
      <c r="M63" s="1" t="inlineStr">
        <is>
          <t>Windows 11</t>
        </is>
      </c>
      <c r="N63" s="1" t="inlineStr">
        <is>
          <t>Office 2021</t>
        </is>
      </c>
      <c r="O63" s="1" t="inlineStr">
        <is>
          <t>INTEGRATED_GRAPHICS</t>
        </is>
      </c>
      <c r="P63" s="1" t="inlineStr">
        <is>
          <t>15.6FHD_TN_AG_250N_N</t>
        </is>
      </c>
      <c r="Q63" s="1" t="inlineStr">
        <is>
          <t>2 Yr Warranty</t>
        </is>
      </c>
      <c r="R63" s="1" t="inlineStr">
        <is>
          <t>Full GTN</t>
        </is>
      </c>
      <c r="S63" s="1" t="n">
        <v>725</v>
      </c>
      <c r="T63" s="2" t="n">
        <v>35557.22139592459</v>
      </c>
      <c r="U63" s="13" t="n">
        <v>37598.83831651114</v>
      </c>
      <c r="V63" s="13" t="n">
        <v>0</v>
      </c>
      <c r="W63" s="13" t="n">
        <v>4678</v>
      </c>
      <c r="X63" s="13" t="n"/>
      <c r="Y63" s="2">
        <f>(U63*0.89-S63-V63-W63-X63)*1.18/0.92</f>
        <v/>
      </c>
      <c r="Z63" s="18">
        <f>AC63</f>
        <v/>
      </c>
      <c r="AA63" s="5" t="inlineStr">
        <is>
          <t>Ok</t>
        </is>
      </c>
      <c r="AB63" s="5" t="n"/>
      <c r="AC63" s="14" t="n">
        <v>39490</v>
      </c>
      <c r="AD63" s="5" t="n">
        <v>0</v>
      </c>
      <c r="AE63" s="5" t="n"/>
      <c r="AF63" s="5">
        <f>W63+X63</f>
        <v/>
      </c>
      <c r="AG63" s="5" t="n"/>
      <c r="AH63" s="13" t="n">
        <v>0</v>
      </c>
      <c r="AI63" s="13" t="n">
        <v>4678</v>
      </c>
      <c r="AJ63" s="5" t="n"/>
      <c r="AL63" s="5" t="n"/>
      <c r="AM63" s="5" t="n">
        <v>35989.95652173913</v>
      </c>
      <c r="AN63" s="5">
        <f>Y63-AM63</f>
        <v/>
      </c>
      <c r="AO63" s="5" t="n"/>
      <c r="AP63" s="5">
        <f>U63-AL63</f>
        <v/>
      </c>
      <c r="AQ63" s="20" t="n">
        <v>0</v>
      </c>
      <c r="AR63" s="20" t="n">
        <v>3118.644067796613</v>
      </c>
      <c r="AT63" s="3" t="n">
        <v>0</v>
      </c>
      <c r="AV63" s="5">
        <f>ROUNDUP((AT63/8)*80,0)</f>
        <v/>
      </c>
      <c r="AX63" s="38">
        <f>AV63*W63</f>
        <v/>
      </c>
      <c r="BA63" s="3" t="n">
        <v>0</v>
      </c>
      <c r="BB63" s="3" t="n">
        <v>0</v>
      </c>
      <c r="BC63" s="3" t="n">
        <v>0</v>
      </c>
      <c r="BD63" s="3">
        <f>BC63+BB63+BA63</f>
        <v/>
      </c>
      <c r="BE63" s="3" t="n">
        <v>0</v>
      </c>
      <c r="BF63" s="3" t="n">
        <v>0</v>
      </c>
      <c r="BH63" s="3">
        <f>ROUNDUP(BD63*1.85,0)</f>
        <v/>
      </c>
      <c r="BJ63" s="38">
        <f>BH63*V63</f>
        <v/>
      </c>
      <c r="BL63" s="3">
        <f>U63*1.18</f>
        <v/>
      </c>
    </row>
    <row r="64">
      <c r="A64" s="1" t="inlineStr">
        <is>
          <t>82K101L7IN</t>
        </is>
      </c>
      <c r="B64" s="1">
        <f>IF(BL64&lt;40000,"Entry",IF(BL64&gt;65000,"Premium","Mainstream"))</f>
        <v/>
      </c>
      <c r="C64" s="1" t="inlineStr">
        <is>
          <t>Premium</t>
        </is>
      </c>
      <c r="D64" s="1" t="inlineStr">
        <is>
          <t>i5 OS 4GB Graphics</t>
        </is>
      </c>
      <c r="E64" s="1" t="inlineStr">
        <is>
          <t>Gaming</t>
        </is>
      </c>
      <c r="F64" s="1" t="inlineStr">
        <is>
          <t>IP Gaming 3</t>
        </is>
      </c>
      <c r="G64" s="1" t="inlineStr">
        <is>
          <t>IdeaPad Gaming 3 15IHU6</t>
        </is>
      </c>
      <c r="H64" s="1" t="inlineStr">
        <is>
          <t>i5</t>
        </is>
      </c>
      <c r="I64" s="1" t="inlineStr">
        <is>
          <t>11th Gen</t>
        </is>
      </c>
      <c r="J64" s="1" t="inlineStr">
        <is>
          <t>i5-11320H</t>
        </is>
      </c>
      <c r="K64" s="1" t="inlineStr">
        <is>
          <t>16GB</t>
        </is>
      </c>
      <c r="L64" s="1" t="inlineStr">
        <is>
          <t>512GB SSD</t>
        </is>
      </c>
      <c r="M64" s="1" t="inlineStr">
        <is>
          <t>Windows 11</t>
        </is>
      </c>
      <c r="N64" s="1" t="inlineStr">
        <is>
          <t>No Office</t>
        </is>
      </c>
      <c r="O64" s="1" t="inlineStr">
        <is>
          <t>GTX 1650 4GB</t>
        </is>
      </c>
      <c r="P64" s="1" t="inlineStr">
        <is>
          <t>15.6FHD_AG_250N_120_N</t>
        </is>
      </c>
      <c r="Q64" s="1" t="inlineStr">
        <is>
          <t>1 Yr. Onsite</t>
        </is>
      </c>
      <c r="R64" s="1" t="inlineStr">
        <is>
          <t>Zero GTN</t>
        </is>
      </c>
      <c r="S64" s="1" t="n"/>
      <c r="T64" s="2">
        <f>U64*0.98*0.98</f>
        <v/>
      </c>
      <c r="U64" s="13" t="n">
        <v>47881.35593220339</v>
      </c>
      <c r="V64" s="13" t="n">
        <v>0</v>
      </c>
      <c r="W64" s="13" t="n">
        <v>5609.491525423728</v>
      </c>
      <c r="X64" s="13" t="n"/>
      <c r="Y64" s="2">
        <f>(U64*0.98-S64-V64-W64-X64)*1.18/0.92</f>
        <v/>
      </c>
      <c r="Z64" s="1" t="n">
        <v>52990</v>
      </c>
      <c r="AA64" s="5" t="n"/>
      <c r="AB64" s="5" t="n"/>
      <c r="AC64" s="14" t="n">
        <v>52990</v>
      </c>
      <c r="AD64" s="5">
        <f>(Y64-AC64)/1.18*0.92</f>
        <v/>
      </c>
      <c r="AE64" s="5" t="n"/>
      <c r="AF64" s="5">
        <f>W64+X64</f>
        <v/>
      </c>
      <c r="AG64" s="5" t="n"/>
      <c r="AH64" s="13" t="n">
        <v>0</v>
      </c>
      <c r="AI64" s="13" t="n">
        <v>5609.491525423728</v>
      </c>
      <c r="AJ64" s="5" t="n"/>
      <c r="AL64" s="5" t="n"/>
      <c r="AM64" s="5" t="n">
        <v>52989.99999999999</v>
      </c>
      <c r="AN64" s="5">
        <f>Y64-AM64</f>
        <v/>
      </c>
      <c r="AO64" s="5" t="n"/>
      <c r="AP64" s="5">
        <f>U64-AL64</f>
        <v/>
      </c>
      <c r="AQ64" s="20" t="n">
        <v>0</v>
      </c>
      <c r="AR64" s="20" t="n">
        <v>5609.491525423728</v>
      </c>
      <c r="AT64" s="3" t="n">
        <v>0</v>
      </c>
      <c r="AV64" s="5">
        <f>ROUNDUP((AT64/8)*80,0)</f>
        <v/>
      </c>
      <c r="AX64" s="38">
        <f>AV64*W64</f>
        <v/>
      </c>
      <c r="BA64" s="3" t="n">
        <v>0</v>
      </c>
      <c r="BB64" s="3" t="n">
        <v>0</v>
      </c>
      <c r="BC64" s="3" t="n">
        <v>0</v>
      </c>
      <c r="BD64" s="3">
        <f>BC64+BB64+BA64</f>
        <v/>
      </c>
      <c r="BE64" s="3" t="n">
        <v>0</v>
      </c>
      <c r="BF64" s="3" t="n">
        <v>13</v>
      </c>
      <c r="BH64" s="3">
        <f>ROUNDUP(BD64*1.85,0)</f>
        <v/>
      </c>
      <c r="BJ64" s="38">
        <f>BH64*V64</f>
        <v/>
      </c>
      <c r="BL64" s="3">
        <f>U64*1.18</f>
        <v/>
      </c>
    </row>
    <row r="65">
      <c r="A65" s="1" t="inlineStr">
        <is>
          <t>82H803LKIN</t>
        </is>
      </c>
      <c r="B65" s="1">
        <f>IF(BL65&lt;40000,"Entry",IF(BL65&gt;65000,"Premium","Mainstream"))</f>
        <v/>
      </c>
      <c r="C65" s="1" t="inlineStr">
        <is>
          <t>Mainstream</t>
        </is>
      </c>
      <c r="D65" s="1" t="inlineStr">
        <is>
          <t>i5 OS Office</t>
        </is>
      </c>
      <c r="E65" s="1" t="inlineStr">
        <is>
          <t>Thin &amp; Light</t>
        </is>
      </c>
      <c r="F65" s="1" t="inlineStr">
        <is>
          <t>Slim 3</t>
        </is>
      </c>
      <c r="G65" s="1" t="inlineStr">
        <is>
          <t>IP 3 15ITL6</t>
        </is>
      </c>
      <c r="H65" s="1" t="inlineStr">
        <is>
          <t>i5</t>
        </is>
      </c>
      <c r="I65" s="1" t="inlineStr">
        <is>
          <t>11th Gen</t>
        </is>
      </c>
      <c r="J65" s="1" t="inlineStr">
        <is>
          <t>i5-1155G7</t>
        </is>
      </c>
      <c r="K65" s="1" t="inlineStr">
        <is>
          <t>16GB</t>
        </is>
      </c>
      <c r="L65" s="1" t="inlineStr">
        <is>
          <t>512GB SSD</t>
        </is>
      </c>
      <c r="M65" s="1" t="inlineStr">
        <is>
          <t>Windows 11</t>
        </is>
      </c>
      <c r="N65" s="1" t="inlineStr">
        <is>
          <t>Office 2021</t>
        </is>
      </c>
      <c r="O65" s="1" t="inlineStr">
        <is>
          <t>INTEGRATED_GRAPHICS</t>
        </is>
      </c>
      <c r="P65" s="1" t="inlineStr">
        <is>
          <t>15.6FHD_AG_300N_N</t>
        </is>
      </c>
      <c r="Q65" s="1" t="inlineStr">
        <is>
          <t>1 Yr. Onsite + 1 Yr. ADP</t>
        </is>
      </c>
      <c r="R65" s="1" t="inlineStr">
        <is>
          <t>Zero GTN</t>
        </is>
      </c>
      <c r="S65" s="1" t="n">
        <v>0</v>
      </c>
      <c r="T65" s="2" t="n">
        <v>39669.40338983051</v>
      </c>
      <c r="U65" s="13" t="n">
        <v>41305.08474576272</v>
      </c>
      <c r="V65" s="13" t="n">
        <v>847</v>
      </c>
      <c r="W65" s="13" t="n">
        <v>2995.711864406781</v>
      </c>
      <c r="X65" s="13" t="n"/>
      <c r="Y65" s="2">
        <f>(U65*0.98-S65-V65-W65-X65)*1.18/0.92</f>
        <v/>
      </c>
      <c r="Z65" s="18">
        <f>AC65</f>
        <v/>
      </c>
      <c r="AA65" s="5" t="inlineStr">
        <is>
          <t>Ok</t>
        </is>
      </c>
      <c r="AB65" s="5" t="n"/>
      <c r="AC65" s="14" t="n">
        <v>46990</v>
      </c>
      <c r="AD65" s="5">
        <f>(Y65-AC65)/1.18*0.92</f>
        <v/>
      </c>
      <c r="AE65" s="5" t="n"/>
      <c r="AF65" s="5">
        <f>W65+X65</f>
        <v/>
      </c>
      <c r="AG65" s="5" t="n"/>
      <c r="AH65" s="13" t="n">
        <v>847</v>
      </c>
      <c r="AI65" s="13" t="n">
        <v>2995.711864406781</v>
      </c>
      <c r="AJ65" s="5" t="n"/>
      <c r="AL65" s="5" t="n"/>
      <c r="AM65" s="5" t="n">
        <v>46990</v>
      </c>
      <c r="AN65" s="5">
        <f>Y65-AM65</f>
        <v/>
      </c>
      <c r="AO65" s="5" t="n"/>
      <c r="AP65" s="5">
        <f>U65-AL65</f>
        <v/>
      </c>
      <c r="AQ65" s="20" t="n">
        <v>847</v>
      </c>
      <c r="AR65" s="20" t="n">
        <v>2995.711864406781</v>
      </c>
      <c r="AT65" s="3" t="n">
        <v>5</v>
      </c>
      <c r="AV65" s="5">
        <f>ROUNDUP((AT65/8)*80,0)</f>
        <v/>
      </c>
      <c r="AX65" s="38">
        <f>AV65*W65</f>
        <v/>
      </c>
      <c r="BA65" s="3" t="n">
        <v>0</v>
      </c>
      <c r="BB65" s="3" t="n">
        <v>0</v>
      </c>
      <c r="BC65" s="3" t="n">
        <v>0</v>
      </c>
      <c r="BD65" s="3">
        <f>BC65+BB65+BA65</f>
        <v/>
      </c>
      <c r="BE65" s="3" t="n">
        <v>2</v>
      </c>
      <c r="BF65" s="3" t="n">
        <v>0</v>
      </c>
      <c r="BH65" s="3">
        <f>ROUNDUP(BD65*1.85,0)</f>
        <v/>
      </c>
      <c r="BJ65" s="38">
        <f>BH65*V65</f>
        <v/>
      </c>
      <c r="BL65" s="3">
        <f>U65*1.18</f>
        <v/>
      </c>
    </row>
    <row r="66">
      <c r="A66" s="1" t="inlineStr">
        <is>
          <t>82H803TUIN</t>
        </is>
      </c>
      <c r="B66" s="1">
        <f>IF(BL66&lt;40000,"Entry",IF(BL66&gt;65000,"Premium","Mainstream"))</f>
        <v/>
      </c>
      <c r="C66" s="1" t="inlineStr">
        <is>
          <t>Mainstream</t>
        </is>
      </c>
      <c r="D66" s="1" t="inlineStr">
        <is>
          <t>i5 OS Office</t>
        </is>
      </c>
      <c r="E66" s="1" t="inlineStr">
        <is>
          <t>Thin &amp; Light</t>
        </is>
      </c>
      <c r="F66" s="1" t="inlineStr">
        <is>
          <t>Slim 3</t>
        </is>
      </c>
      <c r="G66" s="1" t="inlineStr">
        <is>
          <t>IP 3 15ITL6</t>
        </is>
      </c>
      <c r="H66" s="1" t="inlineStr">
        <is>
          <t>i5</t>
        </is>
      </c>
      <c r="I66" s="1" t="inlineStr">
        <is>
          <t>11th Gen</t>
        </is>
      </c>
      <c r="J66" s="1" t="inlineStr">
        <is>
          <t>I5-1155G7</t>
        </is>
      </c>
      <c r="K66" s="1" t="inlineStr">
        <is>
          <t>16GB</t>
        </is>
      </c>
      <c r="L66" s="1" t="inlineStr">
        <is>
          <t>512GB SSD</t>
        </is>
      </c>
      <c r="M66" s="1" t="inlineStr">
        <is>
          <t>Windows 11</t>
        </is>
      </c>
      <c r="N66" s="1" t="inlineStr">
        <is>
          <t>OFFICE 2021</t>
        </is>
      </c>
      <c r="O66" s="1" t="inlineStr">
        <is>
          <t>INTEGRATED_GRAPHICS</t>
        </is>
      </c>
      <c r="P66" s="1" t="inlineStr">
        <is>
          <t>15.6FHD_AG_300N_N</t>
        </is>
      </c>
      <c r="Q66" s="1" t="inlineStr">
        <is>
          <t>1 Yr. Onsite + 1 Yr. ADP</t>
        </is>
      </c>
      <c r="R66" s="1" t="inlineStr">
        <is>
          <t>Zero GTN</t>
        </is>
      </c>
      <c r="S66" s="1" t="n">
        <v>0</v>
      </c>
      <c r="T66" s="2" t="n">
        <v>39669.40338983051</v>
      </c>
      <c r="U66" s="13" t="n">
        <v>41305.08474576272</v>
      </c>
      <c r="V66" s="13" t="n">
        <v>847</v>
      </c>
      <c r="W66" s="13" t="n">
        <v>2995.711864406781</v>
      </c>
      <c r="X66" s="13" t="n"/>
      <c r="Y66" s="2">
        <f>(U66*0.98-S66-V66-W66-X66)*1.18/0.92</f>
        <v/>
      </c>
      <c r="Z66" s="18">
        <f>AC66</f>
        <v/>
      </c>
      <c r="AA66" s="5" t="inlineStr">
        <is>
          <t>Ok</t>
        </is>
      </c>
      <c r="AB66" s="5" t="n"/>
      <c r="AC66" s="14" t="n">
        <v>46990</v>
      </c>
      <c r="AD66" s="5">
        <f>(Y66-AC66)/1.18*0.92</f>
        <v/>
      </c>
      <c r="AE66" s="5" t="n"/>
      <c r="AF66" s="5">
        <f>W66+X66</f>
        <v/>
      </c>
      <c r="AG66" s="5" t="n"/>
      <c r="AH66" s="13" t="n">
        <v>847</v>
      </c>
      <c r="AI66" s="13" t="n">
        <v>2995.711864406781</v>
      </c>
      <c r="AJ66" s="5" t="n"/>
      <c r="AL66" s="5" t="n"/>
      <c r="AM66" s="5" t="n">
        <v>46990</v>
      </c>
      <c r="AN66" s="5">
        <f>Y66-AM66</f>
        <v/>
      </c>
      <c r="AO66" s="5" t="n"/>
      <c r="AP66" s="5">
        <f>U66-AL66</f>
        <v/>
      </c>
      <c r="AQ66" s="20" t="n">
        <v>847</v>
      </c>
      <c r="AR66" s="20" t="n">
        <v>2995.711864406781</v>
      </c>
      <c r="AT66" s="3" t="n">
        <v>0</v>
      </c>
      <c r="AV66" s="5">
        <f>ROUNDUP((AT66/8)*80,0)</f>
        <v/>
      </c>
      <c r="AX66" s="38">
        <f>AV66*W66</f>
        <v/>
      </c>
      <c r="BA66" s="3" t="n">
        <v>0</v>
      </c>
      <c r="BB66" s="3" t="n">
        <v>0</v>
      </c>
      <c r="BC66" s="3" t="n">
        <v>0</v>
      </c>
      <c r="BD66" s="3">
        <f>BC66+BB66+BA66</f>
        <v/>
      </c>
      <c r="BE66" s="3" t="n">
        <v>1</v>
      </c>
      <c r="BF66" s="3" t="n">
        <v>0</v>
      </c>
      <c r="BH66" s="3">
        <f>ROUNDUP(BD66*1.85,0)</f>
        <v/>
      </c>
      <c r="BJ66" s="38">
        <f>BH66*V66</f>
        <v/>
      </c>
      <c r="BL66" s="3">
        <f>U66*1.18</f>
        <v/>
      </c>
    </row>
    <row r="67">
      <c r="A67" s="1" t="inlineStr">
        <is>
          <t>82K201YAIN</t>
        </is>
      </c>
      <c r="B67" s="1">
        <f>IF(BL67&lt;40000,"Entry",IF(BL67&gt;65000,"Premium","Mainstream"))</f>
        <v/>
      </c>
      <c r="C67" s="1" t="inlineStr">
        <is>
          <t>Premium</t>
        </is>
      </c>
      <c r="D67" s="1" t="inlineStr">
        <is>
          <t>R5 OS 4GB Graphics</t>
        </is>
      </c>
      <c r="E67" s="1" t="inlineStr">
        <is>
          <t>Gaming</t>
        </is>
      </c>
      <c r="F67" s="1" t="inlineStr">
        <is>
          <t>IP Gaming 3</t>
        </is>
      </c>
      <c r="G67" s="1" t="inlineStr">
        <is>
          <t>IdeaPad Gaming 3 15ACH6</t>
        </is>
      </c>
      <c r="H67" s="1" t="inlineStr">
        <is>
          <t>R5</t>
        </is>
      </c>
      <c r="I67" s="1" t="inlineStr">
        <is>
          <t>5XXXH</t>
        </is>
      </c>
      <c r="J67" s="1" t="inlineStr">
        <is>
          <t>Ryzen 5 5600H</t>
        </is>
      </c>
      <c r="K67" s="1" t="inlineStr">
        <is>
          <t>8GB</t>
        </is>
      </c>
      <c r="L67" s="1" t="inlineStr">
        <is>
          <t>512GB SSD</t>
        </is>
      </c>
      <c r="M67" s="1" t="inlineStr">
        <is>
          <t>Win11</t>
        </is>
      </c>
      <c r="N67" s="1" t="inlineStr">
        <is>
          <t>No Office</t>
        </is>
      </c>
      <c r="O67" s="1" t="inlineStr">
        <is>
          <t>GTX 1650 4GB</t>
        </is>
      </c>
      <c r="P67" s="1" t="inlineStr">
        <is>
          <t>15.6FHD_AG_250N_120_N</t>
        </is>
      </c>
      <c r="Q67" s="1" t="inlineStr">
        <is>
          <t>1 Yr Onsite + 1 Yr PC + 1 Yr ADP</t>
        </is>
      </c>
      <c r="R67" s="1" t="inlineStr">
        <is>
          <t>Zero GTN</t>
        </is>
      </c>
      <c r="S67" s="1" t="n">
        <v>725</v>
      </c>
      <c r="T67" s="2">
        <f>U67*0.98*0.98</f>
        <v/>
      </c>
      <c r="U67" s="13" t="n">
        <v>45923.30508474576</v>
      </c>
      <c r="V67" s="13" t="n">
        <v>0</v>
      </c>
      <c r="W67" s="13" t="n">
        <v>5304.58474576271</v>
      </c>
      <c r="X67" s="13" t="n"/>
      <c r="Y67" s="2">
        <f>(U67*0.98-S67-V67-W67-X67)*1.18/0.92</f>
        <v/>
      </c>
      <c r="Z67" s="1" t="n">
        <v>49990</v>
      </c>
      <c r="AA67" s="5" t="n"/>
      <c r="AB67" s="5" t="n"/>
      <c r="AC67" s="14" t="n">
        <v>49990</v>
      </c>
      <c r="AD67" s="5">
        <f>(Y67-AC67)/1.18*0.92</f>
        <v/>
      </c>
      <c r="AE67" s="5" t="n"/>
      <c r="AF67" s="5">
        <f>W67+X67</f>
        <v/>
      </c>
      <c r="AG67" s="5" t="n"/>
      <c r="AH67" s="13" t="n">
        <v>0</v>
      </c>
      <c r="AI67" s="13" t="n">
        <v>5304.58474576271</v>
      </c>
      <c r="AJ67" s="5" t="n"/>
      <c r="AL67" s="5" t="n"/>
      <c r="AM67" s="5" t="n">
        <v>49989.99999999999</v>
      </c>
      <c r="AN67" s="5">
        <f>Y67-AM67</f>
        <v/>
      </c>
      <c r="AO67" s="5" t="n"/>
      <c r="AP67" s="5">
        <f>U67-AL67</f>
        <v/>
      </c>
      <c r="AQ67" s="20" t="n">
        <v>0</v>
      </c>
      <c r="AR67" s="20" t="n">
        <v>5304.58474576271</v>
      </c>
      <c r="AT67" s="3" t="n">
        <v>0</v>
      </c>
      <c r="AV67" s="5">
        <f>ROUNDUP((AT67/8)*80,0)</f>
        <v/>
      </c>
      <c r="AX67" s="38">
        <f>AV67*W67</f>
        <v/>
      </c>
      <c r="BA67" s="3" t="n">
        <v>0</v>
      </c>
      <c r="BB67" s="3" t="n">
        <v>0</v>
      </c>
      <c r="BC67" s="3" t="n">
        <v>0</v>
      </c>
      <c r="BD67" s="3">
        <f>BC67+BB67+BA67</f>
        <v/>
      </c>
      <c r="BE67" s="3" t="n">
        <v>0</v>
      </c>
      <c r="BF67" s="3" t="n">
        <v>0</v>
      </c>
      <c r="BH67" s="3">
        <f>ROUNDUP(BD67*1.85,0)</f>
        <v/>
      </c>
      <c r="BJ67" s="38">
        <f>BH67*V67</f>
        <v/>
      </c>
      <c r="BL67" s="3">
        <f>U67*1.18</f>
        <v/>
      </c>
    </row>
    <row r="68">
      <c r="A68" s="1" t="inlineStr">
        <is>
          <t>82K2025KIN</t>
        </is>
      </c>
      <c r="B68" s="1">
        <f>IF(BL68&lt;40000,"Entry",IF(BL68&gt;65000,"Premium","Mainstream"))</f>
        <v/>
      </c>
      <c r="C68" s="1" t="inlineStr">
        <is>
          <t>Premium</t>
        </is>
      </c>
      <c r="D68" s="1" t="inlineStr">
        <is>
          <t>R5 OS 4GB Graphics</t>
        </is>
      </c>
      <c r="E68" s="1" t="inlineStr">
        <is>
          <t>Gaming</t>
        </is>
      </c>
      <c r="F68" s="1" t="inlineStr">
        <is>
          <t>IP Gaming 3</t>
        </is>
      </c>
      <c r="G68" s="1" t="inlineStr">
        <is>
          <t>IdeaPad Gaming 3 15ACH6</t>
        </is>
      </c>
      <c r="H68" s="1" t="inlineStr">
        <is>
          <t>R5</t>
        </is>
      </c>
      <c r="I68" s="1" t="inlineStr">
        <is>
          <t>5XXXH</t>
        </is>
      </c>
      <c r="J68" s="1" t="inlineStr">
        <is>
          <t>R5-5600H</t>
        </is>
      </c>
      <c r="K68" s="1" t="inlineStr">
        <is>
          <t>8GB</t>
        </is>
      </c>
      <c r="L68" s="1" t="inlineStr">
        <is>
          <t>512GB SSD</t>
        </is>
      </c>
      <c r="M68" s="1" t="inlineStr">
        <is>
          <t>Windows 11</t>
        </is>
      </c>
      <c r="N68" s="1" t="inlineStr">
        <is>
          <t>No Office</t>
        </is>
      </c>
      <c r="O68" s="1" t="inlineStr">
        <is>
          <t>GTX 1650 4GB</t>
        </is>
      </c>
      <c r="P68" s="1" t="inlineStr">
        <is>
          <t>15.6FHD_AG_250N_60_N</t>
        </is>
      </c>
      <c r="Q68" s="1" t="inlineStr">
        <is>
          <t>1 Yr. Onsite</t>
        </is>
      </c>
      <c r="R68" s="1" t="inlineStr">
        <is>
          <t>Zero GTN</t>
        </is>
      </c>
      <c r="S68" s="1" t="n"/>
      <c r="T68" s="2">
        <f>U68*0.98*0.98</f>
        <v/>
      </c>
      <c r="U68" s="13" t="n">
        <v>44237.28813559323</v>
      </c>
      <c r="V68" s="13" t="n">
        <v>0</v>
      </c>
      <c r="W68" s="13" t="n">
        <v>5156.94915254238</v>
      </c>
      <c r="X68" s="13" t="n"/>
      <c r="Y68" s="2">
        <f>(U68*0.98-S68-V68-W68-X68)*1.18/0.92</f>
        <v/>
      </c>
      <c r="Z68" s="1" t="n">
        <v>48990</v>
      </c>
      <c r="AA68" s="5" t="n"/>
      <c r="AB68" s="5" t="n"/>
      <c r="AC68" s="14" t="n">
        <v>48990</v>
      </c>
      <c r="AD68" s="5">
        <f>(Y68-AC68)/1.18*0.92</f>
        <v/>
      </c>
      <c r="AE68" s="5" t="n"/>
      <c r="AF68" s="5">
        <f>W68+X68</f>
        <v/>
      </c>
      <c r="AG68" s="5" t="n"/>
      <c r="AH68" s="13" t="n">
        <v>0</v>
      </c>
      <c r="AI68" s="13" t="n">
        <v>5156.94915254238</v>
      </c>
      <c r="AJ68" s="5" t="n"/>
      <c r="AL68" s="5" t="n"/>
      <c r="AM68" s="5" t="n">
        <v>48989.99999999999</v>
      </c>
      <c r="AN68" s="5">
        <f>Y68-AM68</f>
        <v/>
      </c>
      <c r="AO68" s="5" t="n"/>
      <c r="AP68" s="5">
        <f>U68-AL68</f>
        <v/>
      </c>
      <c r="AQ68" s="20" t="n">
        <v>0</v>
      </c>
      <c r="AR68" s="20" t="n">
        <v>5156.94915254238</v>
      </c>
      <c r="AT68" s="3" t="n">
        <v>3</v>
      </c>
      <c r="AV68" s="5">
        <f>ROUNDUP((AT68/8)*80,0)</f>
        <v/>
      </c>
      <c r="AX68" s="38">
        <f>AV68*W68</f>
        <v/>
      </c>
      <c r="BA68" s="3" t="n">
        <v>-1</v>
      </c>
      <c r="BB68" s="3" t="n">
        <v>0</v>
      </c>
      <c r="BC68" s="3" t="n">
        <v>0</v>
      </c>
      <c r="BD68" s="3">
        <f>BC68+BB68+BA68</f>
        <v/>
      </c>
      <c r="BE68" s="3" t="n">
        <v>0</v>
      </c>
      <c r="BF68" s="3" t="n">
        <v>0</v>
      </c>
      <c r="BH68" s="3">
        <f>ROUNDUP(BD68*1.85,0)</f>
        <v/>
      </c>
      <c r="BJ68" s="38">
        <f>BH68*V68</f>
        <v/>
      </c>
      <c r="BL68" s="3">
        <f>U68*1.18</f>
        <v/>
      </c>
    </row>
    <row r="69">
      <c r="A69" s="1" t="inlineStr">
        <is>
          <t>82VG00JJIN</t>
        </is>
      </c>
      <c r="B69" s="1">
        <f>IF(BL69&lt;40000,"Entry",IF(BL69&gt;65000,"Premium","Mainstream"))</f>
        <v/>
      </c>
      <c r="C69" s="1" t="inlineStr">
        <is>
          <t>Mainstream</t>
        </is>
      </c>
      <c r="D69" s="1" t="inlineStr">
        <is>
          <t>R3 OS Office</t>
        </is>
      </c>
      <c r="E69" s="1" t="inlineStr">
        <is>
          <t>Thin &amp; Light</t>
        </is>
      </c>
      <c r="F69" s="1" t="inlineStr">
        <is>
          <t>Slim 1</t>
        </is>
      </c>
      <c r="G69" s="1" t="inlineStr">
        <is>
          <t>IP1 15AMN7</t>
        </is>
      </c>
      <c r="H69" s="1" t="inlineStr">
        <is>
          <t>R3</t>
        </is>
      </c>
      <c r="I69" s="1" t="inlineStr">
        <is>
          <t>7XXX</t>
        </is>
      </c>
      <c r="J69" s="1" t="inlineStr">
        <is>
          <t>R3-7320U</t>
        </is>
      </c>
      <c r="K69" s="1" t="inlineStr">
        <is>
          <t>8GB</t>
        </is>
      </c>
      <c r="L69" s="1" t="inlineStr">
        <is>
          <t>512GB SSD</t>
        </is>
      </c>
      <c r="M69" s="1" t="inlineStr">
        <is>
          <t>Windows 11</t>
        </is>
      </c>
      <c r="N69" s="1" t="inlineStr">
        <is>
          <t>Office 2021</t>
        </is>
      </c>
      <c r="O69" s="1" t="inlineStr">
        <is>
          <t>INTEGRATED_GRAPHICS</t>
        </is>
      </c>
      <c r="P69" s="1" t="inlineStr">
        <is>
          <t>15.6FHD_TN_AG_220N_N</t>
        </is>
      </c>
      <c r="Q69" s="1" t="inlineStr">
        <is>
          <t>1 Yr. Onsite + 1 Yr. ADP</t>
        </is>
      </c>
      <c r="R69" s="1" t="inlineStr">
        <is>
          <t>Zero GTN</t>
        </is>
      </c>
      <c r="S69" s="1" t="n">
        <v>0</v>
      </c>
      <c r="T69" s="2" t="n">
        <v>30936</v>
      </c>
      <c r="U69" s="13" t="n">
        <v>32211.86440677966</v>
      </c>
      <c r="V69" s="13" t="n">
        <v>0</v>
      </c>
      <c r="W69" s="13" t="n">
        <v>5066.949152542373</v>
      </c>
      <c r="X69" s="13" t="n"/>
      <c r="Y69" s="2">
        <f>(U69*0.98-S69-V69-W69-X69)*1.18/0.92</f>
        <v/>
      </c>
      <c r="Z69" s="18">
        <f>AC69</f>
        <v/>
      </c>
      <c r="AA69" s="5" t="inlineStr">
        <is>
          <t>Ok</t>
        </is>
      </c>
      <c r="AB69" s="5" t="n"/>
      <c r="AC69" s="14" t="n">
        <v>33990</v>
      </c>
      <c r="AD69" s="5">
        <f>(Y69-AC69)/1.18*0.92</f>
        <v/>
      </c>
      <c r="AE69" s="5" t="n"/>
      <c r="AF69" s="5">
        <f>W69+X69</f>
        <v/>
      </c>
      <c r="AG69" s="5" t="n"/>
      <c r="AH69" s="13" t="n">
        <v>0</v>
      </c>
      <c r="AI69" s="13" t="n">
        <v>5066.949152542373</v>
      </c>
      <c r="AJ69" s="5" t="n"/>
      <c r="AL69" s="5" t="n"/>
      <c r="AM69" s="5" t="n">
        <v>33990</v>
      </c>
      <c r="AN69" s="5">
        <f>Y69-AM69</f>
        <v/>
      </c>
      <c r="AO69" s="5" t="n"/>
      <c r="AP69" s="5">
        <f>U69-AL69</f>
        <v/>
      </c>
      <c r="AQ69" s="20" t="n">
        <v>0</v>
      </c>
      <c r="AR69" s="20" t="n">
        <v>5066.949152542373</v>
      </c>
      <c r="AT69" s="3" t="n">
        <v>5</v>
      </c>
      <c r="AV69" s="5">
        <f>ROUNDUP((AT69/8)*80,0)</f>
        <v/>
      </c>
      <c r="AX69" s="38">
        <f>AV69*W69</f>
        <v/>
      </c>
      <c r="BA69" s="3" t="n">
        <v>0</v>
      </c>
      <c r="BB69" s="3" t="n">
        <v>331</v>
      </c>
      <c r="BC69" s="3" t="n">
        <v>-1</v>
      </c>
      <c r="BD69" s="3">
        <f>BC69+BB69+BA69</f>
        <v/>
      </c>
      <c r="BE69" s="3" t="n">
        <v>0</v>
      </c>
      <c r="BF69" s="3" t="n">
        <v>0</v>
      </c>
      <c r="BH69" s="3">
        <f>ROUNDUP(BD69*1.85,0)</f>
        <v/>
      </c>
      <c r="BJ69" s="38">
        <f>BH69*V69</f>
        <v/>
      </c>
      <c r="BL69" s="3">
        <f>U69*1.18</f>
        <v/>
      </c>
    </row>
    <row r="70">
      <c r="A70" s="1" t="inlineStr">
        <is>
          <t>82VG00EVIN</t>
        </is>
      </c>
      <c r="B70" s="1">
        <f>IF(BL70&lt;40000,"Entry",IF(BL70&gt;65000,"Premium","Mainstream"))</f>
        <v/>
      </c>
      <c r="C70" s="1" t="inlineStr">
        <is>
          <t>Mainstream</t>
        </is>
      </c>
      <c r="D70" s="1" t="inlineStr">
        <is>
          <t>R3 OS Office</t>
        </is>
      </c>
      <c r="E70" s="1" t="inlineStr">
        <is>
          <t>Thin &amp; Light</t>
        </is>
      </c>
      <c r="F70" s="1" t="inlineStr">
        <is>
          <t>Slim 1</t>
        </is>
      </c>
      <c r="G70" s="1" t="inlineStr">
        <is>
          <t>IP1 15AMN7</t>
        </is>
      </c>
      <c r="H70" s="1" t="inlineStr">
        <is>
          <t>R3</t>
        </is>
      </c>
      <c r="I70" s="1" t="inlineStr">
        <is>
          <t>7XXX</t>
        </is>
      </c>
      <c r="J70" s="1" t="inlineStr">
        <is>
          <t>R3-7320U</t>
        </is>
      </c>
      <c r="K70" s="1" t="inlineStr">
        <is>
          <t>8GB</t>
        </is>
      </c>
      <c r="L70" s="1" t="inlineStr">
        <is>
          <t>512GB SSD</t>
        </is>
      </c>
      <c r="M70" s="1" t="inlineStr">
        <is>
          <t>Windows 11</t>
        </is>
      </c>
      <c r="N70" s="1" t="inlineStr">
        <is>
          <t>Office 2021</t>
        </is>
      </c>
      <c r="O70" s="1" t="inlineStr">
        <is>
          <t>INTEGRATED_GRAPHICS</t>
        </is>
      </c>
      <c r="P70" s="1" t="inlineStr">
        <is>
          <t>15.6FHD_TN_AG_220N_N</t>
        </is>
      </c>
      <c r="Q70" s="1" t="inlineStr">
        <is>
          <t>1 Yr. Onsite + 1 Yr. ADP</t>
        </is>
      </c>
      <c r="R70" s="1" t="inlineStr">
        <is>
          <t>Zero GTN</t>
        </is>
      </c>
      <c r="S70" s="1" t="n">
        <v>0</v>
      </c>
      <c r="T70" s="2" t="n">
        <v>30936</v>
      </c>
      <c r="U70" s="13" t="n">
        <v>32211.86440677966</v>
      </c>
      <c r="V70" s="13" t="n">
        <v>0</v>
      </c>
      <c r="W70" s="13" t="n">
        <v>5066.949152542373</v>
      </c>
      <c r="X70" s="13" t="n"/>
      <c r="Y70" s="2">
        <f>(U70*0.98-S70-V70-W70-X70)*1.18/0.92</f>
        <v/>
      </c>
      <c r="Z70" s="18">
        <f>AC70</f>
        <v/>
      </c>
      <c r="AA70" s="5" t="inlineStr">
        <is>
          <t>Ok</t>
        </is>
      </c>
      <c r="AB70" s="5" t="n"/>
      <c r="AC70" s="14" t="n">
        <v>33990</v>
      </c>
      <c r="AD70" s="5">
        <f>(Y70-AC70)/1.18*0.92</f>
        <v/>
      </c>
      <c r="AE70" s="5" t="n"/>
      <c r="AF70" s="5">
        <f>W70+X70</f>
        <v/>
      </c>
      <c r="AG70" s="5" t="n"/>
      <c r="AH70" s="13" t="n">
        <v>0</v>
      </c>
      <c r="AI70" s="13" t="n">
        <v>5066.949152542373</v>
      </c>
      <c r="AJ70" s="5" t="n"/>
      <c r="AL70" s="5" t="n"/>
      <c r="AM70" s="5" t="n">
        <v>33990</v>
      </c>
      <c r="AN70" s="5">
        <f>Y70-AM70</f>
        <v/>
      </c>
      <c r="AO70" s="5" t="n"/>
      <c r="AP70" s="5">
        <f>U70-AL70</f>
        <v/>
      </c>
      <c r="AQ70" s="20" t="n">
        <v>0</v>
      </c>
      <c r="AR70" s="20" t="n">
        <v>5066.949152542373</v>
      </c>
      <c r="AT70" s="3" t="n">
        <v>8</v>
      </c>
      <c r="AV70" s="5">
        <f>ROUNDUP((AT70/8)*80,0)</f>
        <v/>
      </c>
      <c r="AX70" s="38">
        <f>AV70*W70</f>
        <v/>
      </c>
      <c r="BA70" s="3" t="n">
        <v>0</v>
      </c>
      <c r="BB70" s="3" t="n">
        <v>1836</v>
      </c>
      <c r="BC70" s="3" t="n">
        <v>-2</v>
      </c>
      <c r="BD70" s="3">
        <f>BC70+BB70+BA70</f>
        <v/>
      </c>
      <c r="BE70" s="3" t="n">
        <v>255</v>
      </c>
      <c r="BF70" s="3" t="n">
        <v>1</v>
      </c>
      <c r="BH70" s="3">
        <f>ROUNDUP(BD70*1.85,0)</f>
        <v/>
      </c>
      <c r="BJ70" s="38">
        <f>BH70*V70</f>
        <v/>
      </c>
      <c r="BL70" s="3">
        <f>U70*1.18</f>
        <v/>
      </c>
    </row>
    <row r="71">
      <c r="A71" s="1" t="inlineStr">
        <is>
          <t>82K201UEIN</t>
        </is>
      </c>
      <c r="B71" s="1">
        <f>IF(BL71&lt;40000,"Entry",IF(BL71&gt;65000,"Premium","Mainstream"))</f>
        <v/>
      </c>
      <c r="C71" s="1" t="inlineStr">
        <is>
          <t>Premium</t>
        </is>
      </c>
      <c r="D71" s="1" t="inlineStr">
        <is>
          <t>R5 OS 4GB Graphics</t>
        </is>
      </c>
      <c r="E71" s="1" t="inlineStr">
        <is>
          <t>Gaming</t>
        </is>
      </c>
      <c r="F71" s="1" t="inlineStr">
        <is>
          <t>IP Gaming 3</t>
        </is>
      </c>
      <c r="G71" s="1" t="inlineStr">
        <is>
          <t>IdeaPad Gaming 3 15ACH6</t>
        </is>
      </c>
      <c r="H71" s="1" t="inlineStr">
        <is>
          <t>R5</t>
        </is>
      </c>
      <c r="I71" s="1" t="inlineStr">
        <is>
          <t>5XXXH</t>
        </is>
      </c>
      <c r="J71" s="1" t="inlineStr">
        <is>
          <t>Ryzen 5 5600H</t>
        </is>
      </c>
      <c r="K71" s="1" t="inlineStr">
        <is>
          <t>8GB</t>
        </is>
      </c>
      <c r="L71" s="1" t="inlineStr">
        <is>
          <t>512GB SSD</t>
        </is>
      </c>
      <c r="M71" s="1" t="inlineStr">
        <is>
          <t>Win11</t>
        </is>
      </c>
      <c r="N71" s="1" t="inlineStr">
        <is>
          <t>No Office</t>
        </is>
      </c>
      <c r="O71" s="1" t="inlineStr">
        <is>
          <t>GTX 1650 4GB</t>
        </is>
      </c>
      <c r="P71" s="1" t="inlineStr">
        <is>
          <t>15.6FHD_AG_250N_120_N</t>
        </is>
      </c>
      <c r="Q71" s="1" t="inlineStr">
        <is>
          <t>1 Yr Onsite + 1 Yr PC + 1 Yr ADP</t>
        </is>
      </c>
      <c r="R71" s="1" t="inlineStr">
        <is>
          <t>Zero GTN</t>
        </is>
      </c>
      <c r="S71" s="1" t="n">
        <v>725</v>
      </c>
      <c r="T71" s="2">
        <f>U71*0.98*0.98</f>
        <v/>
      </c>
      <c r="U71" s="13" t="n">
        <v>45753.81355932204</v>
      </c>
      <c r="V71" s="13" t="n">
        <v>0</v>
      </c>
      <c r="W71" s="13" t="n">
        <v>5138.483050847455</v>
      </c>
      <c r="X71" s="13" t="n"/>
      <c r="Y71" s="2">
        <f>(U71*0.98-S71-V71-W71-X71)*1.18/0.92</f>
        <v/>
      </c>
      <c r="Z71" s="1" t="n">
        <v>49990</v>
      </c>
      <c r="AA71" s="5" t="n"/>
      <c r="AB71" s="5" t="n"/>
      <c r="AC71" s="14" t="n">
        <v>49990</v>
      </c>
      <c r="AD71" s="5">
        <f>(Y71-AC71)/1.18*0.92</f>
        <v/>
      </c>
      <c r="AE71" s="5" t="n"/>
      <c r="AF71" s="5">
        <f>W71+X71</f>
        <v/>
      </c>
      <c r="AG71" s="5" t="n"/>
      <c r="AH71" s="13" t="n">
        <v>0</v>
      </c>
      <c r="AI71" s="13" t="n">
        <v>5138.483050847455</v>
      </c>
      <c r="AJ71" s="5" t="n"/>
      <c r="AL71" s="5" t="n"/>
      <c r="AM71" s="5" t="n">
        <v>49989.99999999999</v>
      </c>
      <c r="AN71" s="5">
        <f>Y71-AM71</f>
        <v/>
      </c>
      <c r="AO71" s="5" t="n"/>
      <c r="AP71" s="5">
        <f>U71-AL71</f>
        <v/>
      </c>
      <c r="AQ71" s="20" t="n">
        <v>0</v>
      </c>
      <c r="AR71" s="20" t="n">
        <v>5138.483050847455</v>
      </c>
      <c r="AT71" s="3" t="n">
        <v>0</v>
      </c>
      <c r="AV71" s="5">
        <f>ROUNDUP((AT71/8)*80,0)</f>
        <v/>
      </c>
      <c r="AX71" s="38">
        <f>AV71*W71</f>
        <v/>
      </c>
      <c r="BA71" s="3" t="n">
        <v>0</v>
      </c>
      <c r="BB71" s="3" t="n">
        <v>-1</v>
      </c>
      <c r="BC71" s="3" t="n">
        <v>0</v>
      </c>
      <c r="BD71" s="3">
        <f>BC71+BB71+BA71</f>
        <v/>
      </c>
      <c r="BE71" s="3" t="n">
        <v>0</v>
      </c>
      <c r="BF71" s="3" t="n">
        <v>0</v>
      </c>
      <c r="BH71" s="3">
        <f>ROUNDUP(BD71*1.85,0)</f>
        <v/>
      </c>
      <c r="BJ71" s="38">
        <f>BH71*V71</f>
        <v/>
      </c>
      <c r="BL71" s="3">
        <f>U71*1.18</f>
        <v/>
      </c>
    </row>
    <row r="72">
      <c r="A72" s="1" t="inlineStr">
        <is>
          <t>82SB00V3IN</t>
        </is>
      </c>
      <c r="B72" s="1">
        <f>IF(BL72&lt;40000,"Entry",IF(BL72&gt;65000,"Premium","Mainstream"))</f>
        <v/>
      </c>
      <c r="C72" s="1" t="inlineStr">
        <is>
          <t>Premium</t>
        </is>
      </c>
      <c r="D72" s="1" t="inlineStr">
        <is>
          <t>R5 OS 4GB Graphics Office</t>
        </is>
      </c>
      <c r="E72" s="1" t="inlineStr">
        <is>
          <t>Gaming</t>
        </is>
      </c>
      <c r="F72" s="1" t="inlineStr">
        <is>
          <t>IP Gaming 3</t>
        </is>
      </c>
      <c r="G72" s="1" t="inlineStr">
        <is>
          <t>IdeaPad Gaming 3 15ARH7</t>
        </is>
      </c>
      <c r="H72" s="1" t="inlineStr">
        <is>
          <t>R5</t>
        </is>
      </c>
      <c r="I72" s="1" t="inlineStr">
        <is>
          <t>6XXXH</t>
        </is>
      </c>
      <c r="J72" s="1" t="inlineStr">
        <is>
          <t>R5-6600H</t>
        </is>
      </c>
      <c r="K72" s="1" t="inlineStr">
        <is>
          <t>16GB</t>
        </is>
      </c>
      <c r="L72" s="1" t="inlineStr">
        <is>
          <t>512GB SSD</t>
        </is>
      </c>
      <c r="M72" s="1" t="inlineStr">
        <is>
          <t>Windows 11</t>
        </is>
      </c>
      <c r="N72" s="1" t="inlineStr">
        <is>
          <t>Office 2021</t>
        </is>
      </c>
      <c r="O72" s="1" t="inlineStr">
        <is>
          <t>RTX 3050 4GB</t>
        </is>
      </c>
      <c r="P72" s="1" t="inlineStr">
        <is>
          <t>15.6_FHD_AG_250N_120Hz</t>
        </is>
      </c>
      <c r="Q72" s="1" t="inlineStr">
        <is>
          <t>1 year Onsite</t>
        </is>
      </c>
      <c r="R72" s="1" t="inlineStr">
        <is>
          <t>Zero GTN</t>
        </is>
      </c>
      <c r="S72" s="1" t="n">
        <v>0</v>
      </c>
      <c r="T72" s="2">
        <f>U72*0.98*0.98</f>
        <v/>
      </c>
      <c r="U72" s="13" t="n">
        <v>56312.71186440678</v>
      </c>
      <c r="V72" s="13" t="n">
        <v>0</v>
      </c>
      <c r="W72" s="13" t="n">
        <v>2177.305084745763</v>
      </c>
      <c r="X72" s="13" t="n">
        <v>3118.644067796599</v>
      </c>
      <c r="Y72" s="2">
        <f>(U72*0.98-S72-V72-W72-X72)*1.18/0.92</f>
        <v/>
      </c>
      <c r="Z72" s="1" t="n">
        <v>63990</v>
      </c>
      <c r="AA72" s="5" t="n"/>
      <c r="AB72" s="5" t="n"/>
      <c r="AC72" s="14" t="n">
        <v>63990</v>
      </c>
      <c r="AD72" s="5">
        <f>(Y72-AC72)/1.18*0.92</f>
        <v/>
      </c>
      <c r="AE72" s="5" t="n"/>
      <c r="AF72" s="5">
        <f>W72+X72</f>
        <v/>
      </c>
      <c r="AG72" s="5" t="n"/>
      <c r="AH72" s="13" t="n">
        <v>0</v>
      </c>
      <c r="AI72" s="13" t="n">
        <v>2177.305084745763</v>
      </c>
      <c r="AJ72" s="5" t="n"/>
      <c r="AL72" s="5" t="n"/>
      <c r="AM72" s="5" t="n">
        <v>67989.99999999999</v>
      </c>
      <c r="AN72" s="5">
        <f>Y72-AM72</f>
        <v/>
      </c>
      <c r="AO72" s="5" t="n"/>
      <c r="AP72" s="5">
        <f>U72-AL72</f>
        <v/>
      </c>
      <c r="AQ72" s="20" t="n">
        <v>0</v>
      </c>
      <c r="AR72" s="20" t="n">
        <v>2177.305084745763</v>
      </c>
      <c r="AT72" s="3" t="n">
        <v>20</v>
      </c>
      <c r="AV72" s="5">
        <f>ROUNDUP((AT72/8)*80,0)</f>
        <v/>
      </c>
      <c r="AX72" s="38">
        <f>AV72*W72</f>
        <v/>
      </c>
      <c r="BA72" s="3" t="n">
        <v>405</v>
      </c>
      <c r="BB72" s="3" t="n">
        <v>-19</v>
      </c>
      <c r="BC72" s="3" t="n">
        <v>0</v>
      </c>
      <c r="BD72" s="3">
        <f>BC72+BB72+BA72</f>
        <v/>
      </c>
      <c r="BE72" s="3" t="n">
        <v>1</v>
      </c>
      <c r="BF72" s="3" t="n">
        <v>0</v>
      </c>
      <c r="BH72" s="3">
        <f>ROUNDUP(BD72*1.85,0)</f>
        <v/>
      </c>
      <c r="BJ72" s="38">
        <f>BH72*V72</f>
        <v/>
      </c>
      <c r="BL72" s="3">
        <f>U72*1.18</f>
        <v/>
      </c>
    </row>
    <row r="73">
      <c r="A73" s="1" t="inlineStr">
        <is>
          <t>82K20289IN</t>
        </is>
      </c>
      <c r="B73" s="1">
        <f>IF(BL73&lt;40000,"Entry",IF(BL73&gt;65000,"Premium","Mainstream"))</f>
        <v/>
      </c>
      <c r="C73" s="1" t="inlineStr">
        <is>
          <t>Premium</t>
        </is>
      </c>
      <c r="D73" s="1" t="inlineStr">
        <is>
          <t>R5 OS 4GB Graphics</t>
        </is>
      </c>
      <c r="E73" s="1" t="inlineStr">
        <is>
          <t>Gaming</t>
        </is>
      </c>
      <c r="F73" s="1" t="inlineStr">
        <is>
          <t>IP Gaming 3</t>
        </is>
      </c>
      <c r="G73" s="1" t="inlineStr">
        <is>
          <t>IdeaPad Gaming 3 15ACH6</t>
        </is>
      </c>
      <c r="H73" s="1" t="inlineStr">
        <is>
          <t>R5</t>
        </is>
      </c>
      <c r="I73" s="1" t="inlineStr">
        <is>
          <t>5XXXH</t>
        </is>
      </c>
      <c r="J73" s="1" t="inlineStr">
        <is>
          <t>R5 5500H</t>
        </is>
      </c>
      <c r="K73" s="1" t="inlineStr">
        <is>
          <t>8GB</t>
        </is>
      </c>
      <c r="L73" s="1" t="inlineStr">
        <is>
          <t>512GB SSD</t>
        </is>
      </c>
      <c r="M73" s="1" t="inlineStr">
        <is>
          <t>Windows 11</t>
        </is>
      </c>
      <c r="N73" s="1" t="inlineStr">
        <is>
          <t>No Office</t>
        </is>
      </c>
      <c r="O73" s="1" t="inlineStr">
        <is>
          <t>RTX 2050 4GB</t>
        </is>
      </c>
      <c r="P73" s="1" t="inlineStr">
        <is>
          <t>15.6_FHD_AG_250N_144Hz</t>
        </is>
      </c>
      <c r="Q73" s="1" t="inlineStr">
        <is>
          <t>1 year Onsite</t>
        </is>
      </c>
      <c r="R73" s="1" t="inlineStr">
        <is>
          <t>Zero GTN</t>
        </is>
      </c>
      <c r="S73" s="1" t="n">
        <v>725</v>
      </c>
      <c r="T73" s="2">
        <f>U73*0.98*0.98</f>
        <v/>
      </c>
      <c r="U73" s="13" t="n">
        <v>48250</v>
      </c>
      <c r="V73" s="28" t="n">
        <v>10158</v>
      </c>
      <c r="W73" s="28" t="n">
        <v>0</v>
      </c>
      <c r="X73" s="28" t="n"/>
      <c r="Y73" s="2">
        <f>(U73*0.98-S73-V73-W73-X73)*1.18/0.92</f>
        <v/>
      </c>
      <c r="Z73" s="1" t="n">
        <v>47990</v>
      </c>
      <c r="AA73" s="5" t="n"/>
      <c r="AB73" s="5" t="n"/>
      <c r="AC73" s="14" t="n">
        <v>47990</v>
      </c>
      <c r="AD73" s="5" t="n">
        <v>0</v>
      </c>
      <c r="AE73" s="5" t="n"/>
      <c r="AF73" s="5">
        <f>W73+X73</f>
        <v/>
      </c>
      <c r="AG73" s="5" t="n"/>
      <c r="AH73" s="13" t="n">
        <v>0</v>
      </c>
      <c r="AI73" s="28" t="n">
        <v>7584.745762711864</v>
      </c>
      <c r="AJ73" s="5" t="n"/>
      <c r="AL73" s="5" t="n"/>
      <c r="AM73" s="5" t="n">
        <v>49989.99999999999</v>
      </c>
      <c r="AN73" s="5">
        <f>Y73-AM73</f>
        <v/>
      </c>
      <c r="AO73" s="5" t="n"/>
      <c r="AP73" s="5">
        <f>U73-AL73</f>
        <v/>
      </c>
      <c r="AQ73" s="20" t="n">
        <v>0</v>
      </c>
      <c r="AR73" s="20" t="n">
        <v>7584.745762711864</v>
      </c>
      <c r="AT73" s="3" t="n">
        <v>35</v>
      </c>
      <c r="AV73" s="5">
        <f>ROUNDUP((AT73/8)*80,0)</f>
        <v/>
      </c>
      <c r="AX73" s="38">
        <f>AV73*W73</f>
        <v/>
      </c>
      <c r="BA73" s="3" t="n">
        <v>944</v>
      </c>
      <c r="BB73" s="3" t="n">
        <v>-321</v>
      </c>
      <c r="BC73" s="3" t="n">
        <v>203</v>
      </c>
      <c r="BD73" s="3">
        <f>BC73+BB73+BA73</f>
        <v/>
      </c>
      <c r="BE73" s="3" t="n">
        <v>6141</v>
      </c>
      <c r="BF73" s="3" t="n">
        <v>0</v>
      </c>
      <c r="BH73" s="3">
        <f>ROUNDUP(BD73*1.85,0)</f>
        <v/>
      </c>
      <c r="BJ73" s="38">
        <f>BH73*V73</f>
        <v/>
      </c>
      <c r="BL73" s="3">
        <f>U73*1.18</f>
        <v/>
      </c>
    </row>
    <row r="74">
      <c r="A74" s="1" t="inlineStr">
        <is>
          <t>82K2028AIN</t>
        </is>
      </c>
      <c r="B74" s="1">
        <f>IF(BL74&lt;40000,"Entry",IF(BL74&gt;65000,"Premium","Mainstream"))</f>
        <v/>
      </c>
      <c r="C74" s="1" t="inlineStr">
        <is>
          <t>Premium</t>
        </is>
      </c>
      <c r="D74" s="1" t="inlineStr">
        <is>
          <t>R5 OS 4GB Graphics</t>
        </is>
      </c>
      <c r="E74" s="1" t="inlineStr">
        <is>
          <t>Gaming</t>
        </is>
      </c>
      <c r="F74" s="1" t="inlineStr">
        <is>
          <t>IP Gaming 3</t>
        </is>
      </c>
      <c r="G74" s="1" t="inlineStr">
        <is>
          <t>IdeaPad Gaming 3 15ACH6</t>
        </is>
      </c>
      <c r="H74" s="1" t="inlineStr">
        <is>
          <t>R5</t>
        </is>
      </c>
      <c r="I74" s="1" t="inlineStr">
        <is>
          <t>5XXXH</t>
        </is>
      </c>
      <c r="J74" s="1" t="inlineStr">
        <is>
          <t>R5 5500H</t>
        </is>
      </c>
      <c r="K74" s="1" t="inlineStr">
        <is>
          <t>8GB</t>
        </is>
      </c>
      <c r="L74" s="1" t="inlineStr">
        <is>
          <t>512GB SSD</t>
        </is>
      </c>
      <c r="M74" s="1" t="inlineStr">
        <is>
          <t>Windows 11</t>
        </is>
      </c>
      <c r="N74" s="1" t="inlineStr">
        <is>
          <t>No Office</t>
        </is>
      </c>
      <c r="O74" s="1" t="inlineStr">
        <is>
          <t>RTX 2050 4GB</t>
        </is>
      </c>
      <c r="P74" s="1" t="inlineStr">
        <is>
          <t>15.6_FHD_AG_250N_60Hz</t>
        </is>
      </c>
      <c r="Q74" s="1" t="inlineStr">
        <is>
          <t>1 year Onsite</t>
        </is>
      </c>
      <c r="R74" s="1" t="inlineStr">
        <is>
          <t>Zero GTN</t>
        </is>
      </c>
      <c r="S74" s="1" t="n">
        <v>725</v>
      </c>
      <c r="T74" s="2">
        <f>U74*0.98*0.98</f>
        <v/>
      </c>
      <c r="U74" s="13" t="n">
        <v>46648.30508474576</v>
      </c>
      <c r="V74" s="13" t="n">
        <v>0</v>
      </c>
      <c r="W74" s="13" t="n">
        <v>0</v>
      </c>
      <c r="X74" s="13" t="n">
        <v>9133.728813559317</v>
      </c>
      <c r="Y74" s="2">
        <f>(U74*0.98-S74-V74-W74-X74)*1.18/0.92</f>
        <v/>
      </c>
      <c r="Z74" s="1" t="n">
        <v>45990</v>
      </c>
      <c r="AA74" s="5" t="n"/>
      <c r="AB74" s="5" t="n"/>
      <c r="AC74" s="14" t="n">
        <v>45990</v>
      </c>
      <c r="AD74" s="5">
        <f>(Y74-AC74)/1.18*0.92</f>
        <v/>
      </c>
      <c r="AE74" s="5" t="n"/>
      <c r="AF74" s="5">
        <f>W74+X74</f>
        <v/>
      </c>
      <c r="AG74" s="5" t="n"/>
      <c r="AH74" s="13" t="n">
        <v>0</v>
      </c>
      <c r="AI74" s="28" t="n">
        <v>7574.406779661011</v>
      </c>
      <c r="AJ74" s="5" t="n"/>
      <c r="AL74" s="5" t="n"/>
      <c r="AM74" s="5" t="n">
        <v>47990</v>
      </c>
      <c r="AN74" s="5">
        <f>Y74-AM74</f>
        <v/>
      </c>
      <c r="AO74" s="5" t="n"/>
      <c r="AP74" s="5">
        <f>U74-AL74</f>
        <v/>
      </c>
      <c r="AQ74" s="20" t="n">
        <v>0</v>
      </c>
      <c r="AR74" s="20" t="n">
        <v>7574.406779661011</v>
      </c>
      <c r="AT74" s="3" t="n">
        <v>29</v>
      </c>
      <c r="AV74" s="5">
        <f>ROUNDUP((AT74/8)*80,0)</f>
        <v/>
      </c>
      <c r="AX74" s="38">
        <f>AV74*W74</f>
        <v/>
      </c>
      <c r="BA74" s="3" t="n">
        <v>415</v>
      </c>
      <c r="BB74" s="3" t="n">
        <v>-30</v>
      </c>
      <c r="BC74" s="3" t="n">
        <v>13</v>
      </c>
      <c r="BD74" s="3">
        <f>BC74+BB74+BA74</f>
        <v/>
      </c>
      <c r="BE74" s="3" t="n">
        <v>29</v>
      </c>
      <c r="BF74" s="3" t="n">
        <v>0</v>
      </c>
      <c r="BH74" s="3">
        <f>ROUNDUP(BD74*1.85,0)</f>
        <v/>
      </c>
      <c r="BJ74" s="38">
        <f>BH74*V74</f>
        <v/>
      </c>
      <c r="BL74" s="3">
        <f>U74*1.18</f>
        <v/>
      </c>
    </row>
    <row r="75">
      <c r="A75" s="1" t="inlineStr">
        <is>
          <t>81WQ00MQIN</t>
        </is>
      </c>
      <c r="B75" s="1">
        <f>IF(BL75&lt;40000,"Entry",IF(BL75&gt;65000,"Premium","Mainstream"))</f>
        <v/>
      </c>
      <c r="C75" s="1" t="inlineStr">
        <is>
          <t>Entry</t>
        </is>
      </c>
      <c r="D75" s="1" t="inlineStr">
        <is>
          <t>CDC OS Office</t>
        </is>
      </c>
      <c r="E75" s="1" t="inlineStr">
        <is>
          <t>Thin &amp; Light</t>
        </is>
      </c>
      <c r="F75" s="1" t="inlineStr">
        <is>
          <t>Slim 3</t>
        </is>
      </c>
      <c r="G75" s="1" t="inlineStr">
        <is>
          <t>IdeaPad 3 15IGL05</t>
        </is>
      </c>
      <c r="H75" s="1" t="inlineStr">
        <is>
          <t>Celeron</t>
        </is>
      </c>
      <c r="I75" s="1" t="inlineStr">
        <is>
          <t>4XXX</t>
        </is>
      </c>
      <c r="J75" s="1" t="inlineStr">
        <is>
          <t>N4020</t>
        </is>
      </c>
      <c r="K75" s="1" t="inlineStr">
        <is>
          <t>8GB</t>
        </is>
      </c>
      <c r="L75" s="1" t="inlineStr">
        <is>
          <t>256GB SSD</t>
        </is>
      </c>
      <c r="M75" s="1" t="inlineStr">
        <is>
          <t>Windows 11</t>
        </is>
      </c>
      <c r="N75" s="1" t="inlineStr">
        <is>
          <t>Office 2021</t>
        </is>
      </c>
      <c r="O75" s="1" t="inlineStr">
        <is>
          <t>INTEGRATED_GRAPHICS</t>
        </is>
      </c>
      <c r="P75" s="1" t="inlineStr">
        <is>
          <t>15.6HD_TN_AG_220N_N</t>
        </is>
      </c>
      <c r="Q75" s="1" t="inlineStr">
        <is>
          <t>2 Yr Warranty</t>
        </is>
      </c>
      <c r="R75" s="1" t="inlineStr">
        <is>
          <t>Zero GTN</t>
        </is>
      </c>
      <c r="S75" s="1" t="n">
        <v>725</v>
      </c>
      <c r="T75" s="2" t="n">
        <v>22781.74606779661</v>
      </c>
      <c r="U75" s="13" t="n">
        <v>23721.10169491526</v>
      </c>
      <c r="V75" s="13" t="n">
        <v>309</v>
      </c>
      <c r="W75" s="13" t="n">
        <v>1559</v>
      </c>
      <c r="X75" s="13" t="n"/>
      <c r="Y75" s="2">
        <f>(U75*0.98-S75-V75-W75-X75)*1.18/0.92</f>
        <v/>
      </c>
      <c r="Z75" s="18">
        <f>AC75</f>
        <v/>
      </c>
      <c r="AA75" s="5" t="inlineStr">
        <is>
          <t>Ok</t>
        </is>
      </c>
      <c r="AB75" s="5" t="n"/>
      <c r="AC75" s="14" t="n">
        <v>26490</v>
      </c>
      <c r="AD75" s="5">
        <f>(Y75-AC75)/1.18*0.92</f>
        <v/>
      </c>
      <c r="AE75" s="5" t="n"/>
      <c r="AF75" s="5">
        <f>W75+X75</f>
        <v/>
      </c>
      <c r="AG75" s="5" t="n"/>
      <c r="AH75" s="13" t="n">
        <v>309</v>
      </c>
      <c r="AI75" s="13" t="n">
        <v>1559</v>
      </c>
      <c r="AJ75" s="5" t="n"/>
      <c r="AL75" s="5" t="n"/>
      <c r="AM75" s="5" t="n">
        <v>26490</v>
      </c>
      <c r="AN75" s="5">
        <f>Y75-AM75</f>
        <v/>
      </c>
      <c r="AO75" s="5" t="n"/>
      <c r="AP75" s="5">
        <f>U75-AL75</f>
        <v/>
      </c>
      <c r="AQ75" s="20" t="n">
        <v>309</v>
      </c>
      <c r="AR75" s="20" t="n">
        <v>1559.459322033901</v>
      </c>
      <c r="AT75" s="3" t="n">
        <v>0</v>
      </c>
      <c r="AV75" s="5">
        <f>ROUNDUP((AT75/8)*80,0)</f>
        <v/>
      </c>
      <c r="AX75" s="38">
        <f>AV75*W75</f>
        <v/>
      </c>
      <c r="BA75" s="3" t="n">
        <v>0</v>
      </c>
      <c r="BB75" s="3" t="n">
        <v>-2</v>
      </c>
      <c r="BC75" s="3" t="n">
        <v>0</v>
      </c>
      <c r="BD75" s="3">
        <f>BC75+BB75+BA75</f>
        <v/>
      </c>
      <c r="BE75" s="3" t="n">
        <v>4</v>
      </c>
      <c r="BF75" s="3" t="n">
        <v>1</v>
      </c>
      <c r="BH75" s="3">
        <f>ROUNDUP(BD75*1.85,0)</f>
        <v/>
      </c>
      <c r="BJ75" s="38">
        <f>BH75*V75</f>
        <v/>
      </c>
      <c r="BL75" s="3">
        <f>U75*1.18</f>
        <v/>
      </c>
    </row>
    <row r="76">
      <c r="A76" s="1" t="inlineStr">
        <is>
          <t>81WQ00NXIN</t>
        </is>
      </c>
      <c r="B76" s="1">
        <f>IF(BL76&lt;40000,"Entry",IF(BL76&gt;65000,"Premium","Mainstream"))</f>
        <v/>
      </c>
      <c r="C76" s="1" t="inlineStr">
        <is>
          <t>Entry</t>
        </is>
      </c>
      <c r="D76" s="1" t="inlineStr">
        <is>
          <t>CDC OS Office</t>
        </is>
      </c>
      <c r="E76" s="1" t="inlineStr">
        <is>
          <t>Thin &amp; Light</t>
        </is>
      </c>
      <c r="F76" s="1" t="inlineStr">
        <is>
          <t>Slim 3</t>
        </is>
      </c>
      <c r="G76" s="1" t="inlineStr">
        <is>
          <t>IdeaPad 3 15IGL05</t>
        </is>
      </c>
      <c r="H76" s="1" t="inlineStr">
        <is>
          <t>Celeron</t>
        </is>
      </c>
      <c r="I76" s="1" t="inlineStr">
        <is>
          <t>4XXX</t>
        </is>
      </c>
      <c r="J76" s="1" t="inlineStr">
        <is>
          <t>N4020</t>
        </is>
      </c>
      <c r="K76" s="1" t="inlineStr">
        <is>
          <t>8GB</t>
        </is>
      </c>
      <c r="L76" s="1" t="inlineStr">
        <is>
          <t>256GB SSD</t>
        </is>
      </c>
      <c r="M76" s="1" t="inlineStr">
        <is>
          <t>Windows 11</t>
        </is>
      </c>
      <c r="N76" s="1" t="inlineStr">
        <is>
          <t>Office 2021</t>
        </is>
      </c>
      <c r="O76" s="1" t="inlineStr">
        <is>
          <t>INTEGRATED_GRAPHICS</t>
        </is>
      </c>
      <c r="P76" s="1" t="inlineStr">
        <is>
          <t>15.6HD_TN_AG_220N_N</t>
        </is>
      </c>
      <c r="Q76" s="1" t="inlineStr">
        <is>
          <t>2 Yr Warranty</t>
        </is>
      </c>
      <c r="R76" s="1" t="inlineStr">
        <is>
          <t>Zero GTN</t>
        </is>
      </c>
      <c r="S76" s="1" t="n">
        <v>725</v>
      </c>
      <c r="T76" s="2" t="n">
        <v>22782.10418305085</v>
      </c>
      <c r="U76" s="13" t="n">
        <v>23721.47457627119</v>
      </c>
      <c r="V76" s="13" t="n">
        <v>309.502711864403</v>
      </c>
      <c r="W76" s="13" t="n">
        <v>1559</v>
      </c>
      <c r="X76" s="13" t="n"/>
      <c r="Y76" s="2">
        <f>(U76*0.98-S76-V76-W76-X76)*1.18/0.92</f>
        <v/>
      </c>
      <c r="Z76" s="18">
        <f>AC76</f>
        <v/>
      </c>
      <c r="AA76" s="5" t="inlineStr">
        <is>
          <t>Ok</t>
        </is>
      </c>
      <c r="AB76" s="5" t="n"/>
      <c r="AC76" s="14" t="n">
        <v>26490</v>
      </c>
      <c r="AD76" s="5">
        <f>(Y76-AC76)/1.18*0.92</f>
        <v/>
      </c>
      <c r="AE76" s="5" t="n"/>
      <c r="AF76" s="5">
        <f>W76+X76</f>
        <v/>
      </c>
      <c r="AG76" s="5" t="n"/>
      <c r="AH76" s="13" t="n">
        <v>309.502711864403</v>
      </c>
      <c r="AI76" s="13" t="n">
        <v>1559</v>
      </c>
      <c r="AJ76" s="5" t="n"/>
      <c r="AL76" s="5" t="n"/>
      <c r="AM76" s="5" t="n">
        <v>26490</v>
      </c>
      <c r="AN76" s="5">
        <f>Y76-AM76</f>
        <v/>
      </c>
      <c r="AO76" s="5" t="n"/>
      <c r="AP76" s="5">
        <f>U76-AL76</f>
        <v/>
      </c>
      <c r="AQ76" s="20" t="n">
        <v>309.502711864403</v>
      </c>
      <c r="AR76" s="20" t="n">
        <v>1559.322033898308</v>
      </c>
      <c r="AT76" s="3" t="n">
        <v>1</v>
      </c>
      <c r="AV76" s="5">
        <f>ROUNDUP((AT76/8)*80,0)</f>
        <v/>
      </c>
      <c r="AX76" s="38">
        <f>AV76*W76</f>
        <v/>
      </c>
      <c r="BA76" s="3" t="n">
        <v>0</v>
      </c>
      <c r="BB76" s="3" t="n">
        <v>0</v>
      </c>
      <c r="BC76" s="3" t="n">
        <v>0</v>
      </c>
      <c r="BD76" s="3">
        <f>BC76+BB76+BA76</f>
        <v/>
      </c>
      <c r="BE76" s="3" t="n">
        <v>2</v>
      </c>
      <c r="BF76" s="3" t="n">
        <v>0</v>
      </c>
      <c r="BH76" s="3">
        <f>ROUNDUP(BD76*1.85,0)</f>
        <v/>
      </c>
      <c r="BJ76" s="38">
        <f>BH76*V76</f>
        <v/>
      </c>
      <c r="BL76" s="3">
        <f>U76*1.18</f>
        <v/>
      </c>
    </row>
    <row r="77">
      <c r="A77" s="1" t="inlineStr">
        <is>
          <t>82K101PBIN</t>
        </is>
      </c>
      <c r="B77" s="1">
        <f>IF(BL77&lt;40000,"Entry",IF(BL77&gt;65000,"Premium","Mainstream"))</f>
        <v/>
      </c>
      <c r="C77" s="1" t="inlineStr">
        <is>
          <t>Premium</t>
        </is>
      </c>
      <c r="D77" s="1" t="inlineStr">
        <is>
          <t>i5 OS 4GB Graphics</t>
        </is>
      </c>
      <c r="E77" s="1" t="inlineStr">
        <is>
          <t>Gaming</t>
        </is>
      </c>
      <c r="F77" s="1" t="inlineStr">
        <is>
          <t>IP Gaming 3</t>
        </is>
      </c>
      <c r="G77" s="1" t="inlineStr">
        <is>
          <t>IdeaPad Gaming 3 15IHU6</t>
        </is>
      </c>
      <c r="H77" s="1" t="inlineStr">
        <is>
          <t>i5</t>
        </is>
      </c>
      <c r="I77" s="1" t="inlineStr">
        <is>
          <t>11th Gen</t>
        </is>
      </c>
      <c r="J77" s="1" t="inlineStr">
        <is>
          <t>i5-11300H</t>
        </is>
      </c>
      <c r="K77" s="1" t="inlineStr">
        <is>
          <t>8GB</t>
        </is>
      </c>
      <c r="L77" s="1" t="inlineStr">
        <is>
          <t>512GB SSD</t>
        </is>
      </c>
      <c r="M77" s="1" t="inlineStr">
        <is>
          <t>Windows 11</t>
        </is>
      </c>
      <c r="N77" s="1" t="inlineStr">
        <is>
          <t>No Office</t>
        </is>
      </c>
      <c r="O77" s="1" t="inlineStr">
        <is>
          <t>RTX 2050 4GB</t>
        </is>
      </c>
      <c r="P77" s="1" t="inlineStr">
        <is>
          <t>15.6_FHD_AG_250N_144Hz</t>
        </is>
      </c>
      <c r="Q77" s="1" t="inlineStr">
        <is>
          <t>1 year Onsite</t>
        </is>
      </c>
      <c r="R77" s="1" t="inlineStr">
        <is>
          <t>Zero GTN</t>
        </is>
      </c>
      <c r="S77" s="1" t="n">
        <v>0</v>
      </c>
      <c r="T77" s="2">
        <f>U77*0.98*0.98</f>
        <v/>
      </c>
      <c r="U77" s="13" t="n">
        <v>48203.38983050848</v>
      </c>
      <c r="V77" s="13" t="n">
        <v>0</v>
      </c>
      <c r="W77" s="13" t="n">
        <v>5925.084745762717</v>
      </c>
      <c r="X77" s="13" t="n">
        <v>2338.983050847452</v>
      </c>
      <c r="Y77" s="2">
        <f>(U77*0.98-S77-V77-W77-X77)*1.18/0.92</f>
        <v/>
      </c>
      <c r="Z77" s="1" t="n">
        <v>49990</v>
      </c>
      <c r="AA77" s="5" t="n"/>
      <c r="AB77" s="5" t="n"/>
      <c r="AC77" s="14" t="n">
        <v>49990</v>
      </c>
      <c r="AD77" s="5">
        <f>(Y77-AC77)/1.18*0.92</f>
        <v/>
      </c>
      <c r="AE77" s="5" t="n"/>
      <c r="AF77" s="5">
        <f>W77+X77</f>
        <v/>
      </c>
      <c r="AG77" s="5" t="n"/>
      <c r="AH77" s="13" t="n">
        <v>0</v>
      </c>
      <c r="AI77" s="13" t="n">
        <v>5925.084745762717</v>
      </c>
      <c r="AJ77" s="5" t="n"/>
      <c r="AL77" s="5" t="n"/>
      <c r="AM77" s="5" t="n">
        <v>52989.99999999999</v>
      </c>
      <c r="AN77" s="5">
        <f>Y77-AM77</f>
        <v/>
      </c>
      <c r="AO77" s="5" t="n"/>
      <c r="AP77" s="5">
        <f>U77-AL77</f>
        <v/>
      </c>
      <c r="AQ77" s="20" t="n">
        <v>0</v>
      </c>
      <c r="AR77" s="20" t="n">
        <v>5925.084745762717</v>
      </c>
      <c r="AT77" s="3" t="n">
        <v>13</v>
      </c>
      <c r="AV77" s="5">
        <f>ROUNDUP((AT77/8)*80,0)</f>
        <v/>
      </c>
      <c r="AX77" s="38">
        <f>AV77*W77</f>
        <v/>
      </c>
      <c r="BA77" s="3" t="n">
        <v>0</v>
      </c>
      <c r="BB77" s="3" t="n">
        <v>0</v>
      </c>
      <c r="BC77" s="3" t="n">
        <v>0</v>
      </c>
      <c r="BD77" s="3">
        <f>BC77+BB77+BA77</f>
        <v/>
      </c>
      <c r="BE77" s="3" t="n">
        <v>14</v>
      </c>
      <c r="BF77" s="3" t="n">
        <v>4</v>
      </c>
      <c r="BH77" s="3">
        <f>ROUNDUP(BD77*1.85,0)</f>
        <v/>
      </c>
      <c r="BJ77" s="38">
        <f>BH77*V77</f>
        <v/>
      </c>
      <c r="BL77" s="3">
        <f>U77*1.18</f>
        <v/>
      </c>
    </row>
    <row r="78">
      <c r="A78" s="1" t="inlineStr">
        <is>
          <t>82K101PCIN</t>
        </is>
      </c>
      <c r="B78" s="1">
        <f>IF(BL78&lt;40000,"Entry",IF(BL78&gt;65000,"Premium","Mainstream"))</f>
        <v/>
      </c>
      <c r="C78" s="1" t="inlineStr">
        <is>
          <t>Premium</t>
        </is>
      </c>
      <c r="D78" s="1" t="inlineStr">
        <is>
          <t>i5 OS 4GB Graphics</t>
        </is>
      </c>
      <c r="E78" s="1" t="inlineStr">
        <is>
          <t>Gaming</t>
        </is>
      </c>
      <c r="F78" s="1" t="inlineStr">
        <is>
          <t>IP Gaming 3</t>
        </is>
      </c>
      <c r="G78" s="1" t="inlineStr">
        <is>
          <t>IdeaPad Gaming 3 15IHU6</t>
        </is>
      </c>
      <c r="H78" s="1" t="inlineStr">
        <is>
          <t>i5</t>
        </is>
      </c>
      <c r="I78" s="1" t="inlineStr">
        <is>
          <t>11th Gen</t>
        </is>
      </c>
      <c r="J78" s="1" t="inlineStr">
        <is>
          <t>i5-11300H</t>
        </is>
      </c>
      <c r="K78" s="1" t="inlineStr">
        <is>
          <t>8GB</t>
        </is>
      </c>
      <c r="L78" s="1" t="inlineStr">
        <is>
          <t>512GB SSD</t>
        </is>
      </c>
      <c r="M78" s="1" t="n"/>
      <c r="N78" s="1" t="n"/>
      <c r="O78" s="1" t="inlineStr">
        <is>
          <t>RTX 2050 4GB</t>
        </is>
      </c>
      <c r="P78" s="1" t="inlineStr">
        <is>
          <t>15.6FHD_AG_250N_60_N</t>
        </is>
      </c>
      <c r="Q78" s="1" t="inlineStr">
        <is>
          <t>1 year Onsite</t>
        </is>
      </c>
      <c r="R78" s="1" t="inlineStr">
        <is>
          <t>Zero GTN</t>
        </is>
      </c>
      <c r="S78" s="1" t="n">
        <v>0</v>
      </c>
      <c r="T78" s="2">
        <f>U78*0.98*0.98</f>
        <v/>
      </c>
      <c r="U78" s="13" t="n">
        <v>46601.69491525424</v>
      </c>
      <c r="V78" s="13" t="n">
        <v>0</v>
      </c>
      <c r="W78" s="13" t="n">
        <v>5914.745762711864</v>
      </c>
      <c r="X78" s="13" t="n">
        <v>2338.983050847458</v>
      </c>
      <c r="Y78" s="2">
        <f>(U78*0.98-S78-V78-W78-X78)*1.18/0.92</f>
        <v/>
      </c>
      <c r="Z78" s="1" t="n">
        <v>47990</v>
      </c>
      <c r="AA78" s="5" t="n"/>
      <c r="AB78" s="5" t="n"/>
      <c r="AC78" s="14" t="n">
        <v>47990</v>
      </c>
      <c r="AD78" s="5">
        <f>(Y78-AC78)/1.18*0.92</f>
        <v/>
      </c>
      <c r="AE78" s="5" t="n"/>
      <c r="AF78" s="5">
        <f>W78+X78</f>
        <v/>
      </c>
      <c r="AG78" s="5" t="n"/>
      <c r="AH78" s="13" t="n">
        <v>0</v>
      </c>
      <c r="AI78" s="13" t="n">
        <v>5914.745762711864</v>
      </c>
      <c r="AJ78" s="5" t="n"/>
      <c r="AL78" s="5" t="n"/>
      <c r="AM78" s="5" t="n">
        <v>50990</v>
      </c>
      <c r="AN78" s="5">
        <f>Y78-AM78</f>
        <v/>
      </c>
      <c r="AO78" s="5" t="n"/>
      <c r="AP78" s="5">
        <f>U78-AL78</f>
        <v/>
      </c>
      <c r="AQ78" s="20" t="n">
        <v>0</v>
      </c>
      <c r="AR78" s="20" t="n">
        <v>5914.745762711864</v>
      </c>
      <c r="AT78" s="3" t="n">
        <v>47</v>
      </c>
      <c r="AV78" s="5">
        <f>ROUNDUP((AT78/8)*80,0)</f>
        <v/>
      </c>
      <c r="AX78" s="38">
        <f>AV78*W78</f>
        <v/>
      </c>
      <c r="BA78" s="3" t="n">
        <v>0</v>
      </c>
      <c r="BB78" s="3" t="n">
        <v>0</v>
      </c>
      <c r="BC78" s="3" t="n">
        <v>0</v>
      </c>
      <c r="BD78" s="3">
        <f>BC78+BB78+BA78</f>
        <v/>
      </c>
      <c r="BE78" s="3" t="n">
        <v>32</v>
      </c>
      <c r="BF78" s="3" t="n">
        <v>0</v>
      </c>
      <c r="BH78" s="3">
        <f>ROUNDUP(BD78*1.85,0)</f>
        <v/>
      </c>
      <c r="BJ78" s="38">
        <f>BH78*V78</f>
        <v/>
      </c>
      <c r="BL78" s="3">
        <f>U78*1.18</f>
        <v/>
      </c>
    </row>
    <row r="79">
      <c r="A79" s="1" t="inlineStr">
        <is>
          <t>82VG009MIN</t>
        </is>
      </c>
      <c r="B79" s="1">
        <f>IF(BL79&lt;40000,"Entry",IF(BL79&gt;65000,"Premium","Mainstream"))</f>
        <v/>
      </c>
      <c r="C79" s="1" t="inlineStr">
        <is>
          <t>Mainstream</t>
        </is>
      </c>
      <c r="D79" s="1" t="inlineStr">
        <is>
          <t>R3 OS Office</t>
        </is>
      </c>
      <c r="E79" s="1" t="inlineStr">
        <is>
          <t>Thin &amp; Light</t>
        </is>
      </c>
      <c r="F79" s="1" t="inlineStr">
        <is>
          <t>Slim 1</t>
        </is>
      </c>
      <c r="G79" s="1" t="inlineStr">
        <is>
          <t>IdeaPad 1 15AMN7</t>
        </is>
      </c>
      <c r="H79" s="1" t="inlineStr">
        <is>
          <t>R3</t>
        </is>
      </c>
      <c r="I79" s="1" t="inlineStr">
        <is>
          <t>7XXXU</t>
        </is>
      </c>
      <c r="J79" s="1" t="inlineStr">
        <is>
          <t>R3-7320U</t>
        </is>
      </c>
      <c r="K79" s="1" t="inlineStr">
        <is>
          <t>8GB</t>
        </is>
      </c>
      <c r="L79" s="1" t="inlineStr">
        <is>
          <t>512GB SSD</t>
        </is>
      </c>
      <c r="M79" s="1" t="inlineStr">
        <is>
          <t>Windows 11</t>
        </is>
      </c>
      <c r="N79" s="1" t="inlineStr">
        <is>
          <t>Office 2021</t>
        </is>
      </c>
      <c r="O79" s="1" t="inlineStr">
        <is>
          <t>INTEGRATED_GRAPHICS</t>
        </is>
      </c>
      <c r="P79" s="1" t="inlineStr">
        <is>
          <t>15.6FHD_TN_AG_220N_N</t>
        </is>
      </c>
      <c r="Q79" s="1" t="inlineStr">
        <is>
          <t>2 Yr Warranty</t>
        </is>
      </c>
      <c r="R79" s="1" t="inlineStr">
        <is>
          <t>Zero GTN</t>
        </is>
      </c>
      <c r="S79" s="1" t="n">
        <v>725</v>
      </c>
      <c r="T79" s="2" t="n">
        <v>32140.7464</v>
      </c>
      <c r="U79" s="13" t="n">
        <v>33466</v>
      </c>
      <c r="V79" s="13" t="n">
        <v>893.0359322033873</v>
      </c>
      <c r="W79" s="13" t="n">
        <v>4677.966101694918</v>
      </c>
      <c r="X79" s="13" t="n"/>
      <c r="Y79" s="2">
        <f>(U79*0.98-S79-V79-W79-X79)*1.18/0.92</f>
        <v/>
      </c>
      <c r="Z79" s="18">
        <f>AC79</f>
        <v/>
      </c>
      <c r="AA79" s="5" t="inlineStr">
        <is>
          <t>Ok</t>
        </is>
      </c>
      <c r="AB79" s="5" t="n"/>
      <c r="AC79" s="14" t="n">
        <v>33990</v>
      </c>
      <c r="AD79" s="5">
        <f>(Y79-AC79)/1.18*0.92</f>
        <v/>
      </c>
      <c r="AE79" s="5" t="n"/>
      <c r="AF79" s="5">
        <f>W79+X79</f>
        <v/>
      </c>
      <c r="AG79" s="5" t="n"/>
      <c r="AH79" s="13" t="n">
        <v>893.0359322033873</v>
      </c>
      <c r="AI79" s="13" t="n">
        <v>4677.966101694918</v>
      </c>
      <c r="AJ79" s="5" t="n"/>
      <c r="AL79" s="5" t="n"/>
      <c r="AM79" s="5" t="n">
        <v>33990</v>
      </c>
      <c r="AN79" s="5">
        <f>Y79-AM79</f>
        <v/>
      </c>
      <c r="AO79" s="5" t="n"/>
      <c r="AP79" s="5">
        <f>U79-AL79</f>
        <v/>
      </c>
      <c r="AQ79" s="20" t="n">
        <v>893.0359322033873</v>
      </c>
      <c r="AR79" s="20" t="n">
        <v>4677.966101694918</v>
      </c>
      <c r="AT79" s="3" t="n">
        <v>2</v>
      </c>
      <c r="AV79" s="5">
        <f>ROUNDUP((AT79/8)*80,0)</f>
        <v/>
      </c>
      <c r="AX79" s="38">
        <f>AV79*W79</f>
        <v/>
      </c>
      <c r="BA79" s="3" t="n">
        <v>3</v>
      </c>
      <c r="BB79" s="3" t="n">
        <v>0</v>
      </c>
      <c r="BC79" s="3" t="n">
        <v>0</v>
      </c>
      <c r="BD79" s="3">
        <f>BC79+BB79+BA79</f>
        <v/>
      </c>
      <c r="BE79" s="3" t="n">
        <v>0</v>
      </c>
      <c r="BF79" s="3" t="n">
        <v>0</v>
      </c>
      <c r="BH79" s="3">
        <f>ROUNDUP(BD79*1.85,0)</f>
        <v/>
      </c>
      <c r="BJ79" s="38">
        <f>BH79*V79</f>
        <v/>
      </c>
      <c r="BL79" s="3">
        <f>U79*1.18</f>
        <v/>
      </c>
    </row>
    <row r="80">
      <c r="A80" s="1" t="inlineStr">
        <is>
          <t>82RK00XDIN</t>
        </is>
      </c>
      <c r="B80" s="1">
        <f>IF(BL80&lt;40000,"Entry",IF(BL80&gt;65000,"Premium","Mainstream"))</f>
        <v/>
      </c>
      <c r="C80" s="1" t="inlineStr">
        <is>
          <t>Mainstream</t>
        </is>
      </c>
      <c r="D80" s="1" t="inlineStr">
        <is>
          <t>i3 OS Office</t>
        </is>
      </c>
      <c r="E80" s="1" t="inlineStr">
        <is>
          <t>Thin &amp; Light</t>
        </is>
      </c>
      <c r="F80" s="1" t="inlineStr">
        <is>
          <t>Slim 3</t>
        </is>
      </c>
      <c r="G80" s="1" t="inlineStr">
        <is>
          <t>IP 3 15IAU7</t>
        </is>
      </c>
      <c r="H80" s="1" t="inlineStr">
        <is>
          <t>i3</t>
        </is>
      </c>
      <c r="I80" s="1" t="inlineStr">
        <is>
          <t>12th Gen</t>
        </is>
      </c>
      <c r="J80" s="1" t="inlineStr">
        <is>
          <t>i3-1215U</t>
        </is>
      </c>
      <c r="K80" s="1" t="inlineStr">
        <is>
          <t>8GB</t>
        </is>
      </c>
      <c r="L80" s="1" t="inlineStr">
        <is>
          <t>256GB SSD</t>
        </is>
      </c>
      <c r="M80" s="1" t="inlineStr">
        <is>
          <t>Windows 11</t>
        </is>
      </c>
      <c r="N80" s="1" t="inlineStr">
        <is>
          <t>Office 2021</t>
        </is>
      </c>
      <c r="O80" s="1" t="inlineStr">
        <is>
          <t>INTEGRATED_GRAPHICS</t>
        </is>
      </c>
      <c r="P80" s="1" t="inlineStr">
        <is>
          <t>15.6FHD_AG_250N_N</t>
        </is>
      </c>
      <c r="Q80" s="1" t="inlineStr">
        <is>
          <t>1 Yr. Onsite + 1 Yr. ADP</t>
        </is>
      </c>
      <c r="R80" s="1" t="inlineStr">
        <is>
          <t>Zero GTN</t>
        </is>
      </c>
      <c r="S80" s="1" t="n">
        <v>0</v>
      </c>
      <c r="T80" s="2" t="n">
        <v>29422</v>
      </c>
      <c r="U80" s="13" t="n">
        <v>30635.59322033899</v>
      </c>
      <c r="V80" s="13" t="n">
        <v>0</v>
      </c>
      <c r="W80" s="13" t="n">
        <v>2743</v>
      </c>
      <c r="X80" s="13" t="n"/>
      <c r="Y80" s="2">
        <f>(U80*0.98-S80-V80-W80-X80)*1.18/0.92</f>
        <v/>
      </c>
      <c r="Z80" s="18">
        <f>AC80</f>
        <v/>
      </c>
      <c r="AA80" s="5" t="inlineStr">
        <is>
          <t>Ok</t>
        </is>
      </c>
      <c r="AB80" s="5" t="n"/>
      <c r="AC80" s="14" t="n">
        <v>34990</v>
      </c>
      <c r="AD80" s="5">
        <f>(Y80-AC80)/1.18*0.92</f>
        <v/>
      </c>
      <c r="AE80" s="5" t="n"/>
      <c r="AF80" s="5">
        <f>W80+X80</f>
        <v/>
      </c>
      <c r="AG80" s="5" t="n"/>
      <c r="AH80" s="13" t="n">
        <v>0</v>
      </c>
      <c r="AI80" s="13" t="n">
        <v>2743</v>
      </c>
      <c r="AJ80" s="5" t="n"/>
      <c r="AL80" s="5" t="n"/>
      <c r="AM80" s="5" t="n">
        <v>33990.26086956522</v>
      </c>
      <c r="AN80" s="5">
        <f>Y80-AM80</f>
        <v/>
      </c>
      <c r="AO80" s="5" t="n"/>
      <c r="AP80" s="5">
        <f>U80-AL80</f>
        <v/>
      </c>
      <c r="AQ80" s="20" t="n">
        <v>0</v>
      </c>
      <c r="AR80" s="20" t="n">
        <v>2742.542372881355</v>
      </c>
      <c r="AT80" s="3" t="n">
        <v>58</v>
      </c>
      <c r="AV80" s="5">
        <f>ROUNDUP((AT80/8)*80,0)</f>
        <v/>
      </c>
      <c r="AX80" s="38">
        <f>AV80*W80</f>
        <v/>
      </c>
      <c r="BA80" s="3" t="n">
        <v>11</v>
      </c>
      <c r="BB80" s="3" t="n">
        <v>0</v>
      </c>
      <c r="BC80" s="3" t="n">
        <v>0</v>
      </c>
      <c r="BD80" s="3">
        <f>BC80+BB80+BA80</f>
        <v/>
      </c>
      <c r="BE80" s="3" t="n">
        <v>1</v>
      </c>
      <c r="BF80" s="3" t="n">
        <v>3</v>
      </c>
      <c r="BH80" s="3">
        <f>ROUNDUP(BD80*1.85,0)</f>
        <v/>
      </c>
      <c r="BJ80" s="38">
        <f>BH80*V80</f>
        <v/>
      </c>
      <c r="BL80" s="3">
        <f>U80*1.18</f>
        <v/>
      </c>
    </row>
    <row r="81">
      <c r="A81" s="1" t="inlineStr">
        <is>
          <t>82RK00VTIN</t>
        </is>
      </c>
      <c r="B81" s="1">
        <f>IF(BL81&lt;40000,"Entry",IF(BL81&gt;65000,"Premium","Mainstream"))</f>
        <v/>
      </c>
      <c r="C81" s="1" t="inlineStr">
        <is>
          <t>Mainstream</t>
        </is>
      </c>
      <c r="D81" s="1" t="inlineStr">
        <is>
          <t>i3 OS Office</t>
        </is>
      </c>
      <c r="E81" s="1" t="inlineStr">
        <is>
          <t>Thin &amp; Light</t>
        </is>
      </c>
      <c r="F81" s="1" t="inlineStr">
        <is>
          <t>Slim 3</t>
        </is>
      </c>
      <c r="G81" s="1" t="inlineStr">
        <is>
          <t>IP 3 15IAU7</t>
        </is>
      </c>
      <c r="H81" s="1" t="inlineStr">
        <is>
          <t>i3</t>
        </is>
      </c>
      <c r="I81" s="1" t="inlineStr">
        <is>
          <t>12th Gen</t>
        </is>
      </c>
      <c r="J81" s="1" t="inlineStr">
        <is>
          <t>i3-1215U</t>
        </is>
      </c>
      <c r="K81" s="1" t="inlineStr">
        <is>
          <t>8GB</t>
        </is>
      </c>
      <c r="L81" s="1" t="inlineStr">
        <is>
          <t>512GB SSD</t>
        </is>
      </c>
      <c r="M81" s="1" t="inlineStr">
        <is>
          <t>Windows 11</t>
        </is>
      </c>
      <c r="N81" s="1" t="inlineStr">
        <is>
          <t>Office 2021</t>
        </is>
      </c>
      <c r="O81" s="1" t="inlineStr">
        <is>
          <t>INTEGRATED_GRAPHICS</t>
        </is>
      </c>
      <c r="P81" s="1" t="inlineStr">
        <is>
          <t>15.6FHD_AG_250N_N</t>
        </is>
      </c>
      <c r="Q81" s="1" t="inlineStr">
        <is>
          <t>1 Yr. Onsite + 1 Yr. ADP</t>
        </is>
      </c>
      <c r="R81" s="1" t="inlineStr">
        <is>
          <t>Full GTN</t>
        </is>
      </c>
      <c r="S81" s="1" t="n">
        <v>0</v>
      </c>
      <c r="T81" s="2" t="n">
        <v>35666.99712707182</v>
      </c>
      <c r="U81" s="13" t="n">
        <v>37714.91712707183</v>
      </c>
      <c r="V81" s="13" t="n">
        <v>0</v>
      </c>
      <c r="W81" s="13" t="n">
        <v>2777</v>
      </c>
      <c r="X81" s="13" t="n"/>
      <c r="Y81" s="2">
        <f>(U81*0.89-S81-V81-W81-X81)*1.18/0.92</f>
        <v/>
      </c>
      <c r="Z81" s="18">
        <f>AC81</f>
        <v/>
      </c>
      <c r="AA81" s="5" t="inlineStr">
        <is>
          <t>Ok</t>
        </is>
      </c>
      <c r="AB81" s="5" t="n"/>
      <c r="AC81" s="14" t="n">
        <v>39490</v>
      </c>
      <c r="AD81" s="5">
        <f>(Y81-AC81)/1.18*0.92</f>
        <v/>
      </c>
      <c r="AE81" s="5" t="n"/>
      <c r="AF81" s="5">
        <f>W81+X81</f>
        <v/>
      </c>
      <c r="AG81" s="5" t="n"/>
      <c r="AH81" s="13" t="n">
        <v>0</v>
      </c>
      <c r="AI81" s="13" t="n">
        <v>2777</v>
      </c>
      <c r="AJ81" s="5" t="n"/>
      <c r="AL81" s="5" t="n"/>
      <c r="AM81" s="5" t="n">
        <v>35990.0652173913</v>
      </c>
      <c r="AN81" s="5">
        <f>Y81-AM81</f>
        <v/>
      </c>
      <c r="AO81" s="5" t="n"/>
      <c r="AP81" s="5">
        <f>U81-AL81</f>
        <v/>
      </c>
      <c r="AQ81" s="20" t="n">
        <v>0</v>
      </c>
      <c r="AR81" s="20" t="n">
        <v>2696.728813559326</v>
      </c>
      <c r="AT81" s="3" t="n">
        <v>271</v>
      </c>
      <c r="AV81" s="5">
        <f>ROUNDUP((AT81/8)*80,0)</f>
        <v/>
      </c>
      <c r="AX81" s="38">
        <f>AV81*W81</f>
        <v/>
      </c>
      <c r="BA81" s="3" t="n">
        <v>-204</v>
      </c>
      <c r="BB81" s="3" t="n">
        <v>597</v>
      </c>
      <c r="BC81" s="3" t="n">
        <v>2308</v>
      </c>
      <c r="BD81" s="3">
        <f>BC81+BB81+BA81</f>
        <v/>
      </c>
      <c r="BE81" s="3" t="n">
        <v>11053</v>
      </c>
      <c r="BF81" s="3" t="n">
        <v>0</v>
      </c>
      <c r="BH81" s="3">
        <f>ROUNDUP(BD81*1.85,0)</f>
        <v/>
      </c>
      <c r="BJ81" s="38">
        <f>BH81*V81</f>
        <v/>
      </c>
      <c r="BL81" s="3">
        <f>U81*1.18</f>
        <v/>
      </c>
    </row>
    <row r="82">
      <c r="A82" s="1" t="inlineStr">
        <is>
          <t>82K101GSIN</t>
        </is>
      </c>
      <c r="B82" s="1">
        <f>IF(BL82&lt;40000,"Entry",IF(BL82&gt;65000,"Premium","Mainstream"))</f>
        <v/>
      </c>
      <c r="C82" s="1" t="inlineStr">
        <is>
          <t>Premium</t>
        </is>
      </c>
      <c r="D82" s="1" t="inlineStr">
        <is>
          <t>i5 OS 4GB Graphics</t>
        </is>
      </c>
      <c r="E82" s="1" t="inlineStr">
        <is>
          <t>Gaming</t>
        </is>
      </c>
      <c r="F82" s="1" t="inlineStr">
        <is>
          <t>IP Gaming 3</t>
        </is>
      </c>
      <c r="G82" s="1" t="inlineStr">
        <is>
          <t>IdeaPad Gaming 3 15IHU6</t>
        </is>
      </c>
      <c r="H82" s="1" t="inlineStr">
        <is>
          <t>i5</t>
        </is>
      </c>
      <c r="I82" s="1" t="inlineStr">
        <is>
          <t>11th Gen</t>
        </is>
      </c>
      <c r="J82" s="1" t="inlineStr">
        <is>
          <t>Ci5-11300H</t>
        </is>
      </c>
      <c r="K82" s="1" t="inlineStr">
        <is>
          <t>8GB</t>
        </is>
      </c>
      <c r="L82" s="1" t="inlineStr">
        <is>
          <t>512GB SSD</t>
        </is>
      </c>
      <c r="M82" s="1" t="inlineStr">
        <is>
          <t>Win11</t>
        </is>
      </c>
      <c r="N82" s="1" t="inlineStr">
        <is>
          <t>No Office</t>
        </is>
      </c>
      <c r="O82" s="1" t="inlineStr">
        <is>
          <t>GTX 1650 4GB</t>
        </is>
      </c>
      <c r="P82" s="1" t="inlineStr">
        <is>
          <t>15.6FHD_AG_250N_120_N</t>
        </is>
      </c>
      <c r="Q82" s="1" t="inlineStr">
        <is>
          <t>1 Yr Onsite + 1 Yr PC + 1 Yr ADP</t>
        </is>
      </c>
      <c r="R82" s="1" t="inlineStr">
        <is>
          <t>Zero GTN</t>
        </is>
      </c>
      <c r="S82" s="1" t="n"/>
      <c r="T82" s="2">
        <f>U82*0.98*0.98</f>
        <v/>
      </c>
      <c r="U82" s="13" t="n">
        <v>46178.93220338984</v>
      </c>
      <c r="V82" s="13" t="n">
        <v>1446.201016949148</v>
      </c>
      <c r="W82" s="13" t="n">
        <v>4833.898305084753</v>
      </c>
      <c r="X82" s="13" t="n"/>
      <c r="Y82" s="2">
        <f>(U82*0.98-S82-V82-W82-X82)*1.18/0.92</f>
        <v/>
      </c>
      <c r="Z82" s="1" t="n">
        <v>49990</v>
      </c>
      <c r="AA82" s="5" t="n"/>
      <c r="AB82" s="5" t="n"/>
      <c r="AC82" s="14" t="n">
        <v>49990</v>
      </c>
      <c r="AD82" s="5">
        <f>(Y82-AC82)/1.18*0.92</f>
        <v/>
      </c>
      <c r="AE82" s="5" t="n"/>
      <c r="AF82" s="5">
        <f>W82+X82</f>
        <v/>
      </c>
      <c r="AG82" s="5" t="n"/>
      <c r="AH82" s="13" t="n">
        <v>1446.201016949148</v>
      </c>
      <c r="AI82" s="13" t="n">
        <v>4833.898305084753</v>
      </c>
      <c r="AJ82" s="5" t="n"/>
      <c r="AL82" s="5" t="n"/>
      <c r="AM82" s="5" t="n">
        <v>49989.99999999999</v>
      </c>
      <c r="AN82" s="5">
        <f>Y82-AM82</f>
        <v/>
      </c>
      <c r="AO82" s="5" t="n"/>
      <c r="AP82" s="5">
        <f>U82-AL82</f>
        <v/>
      </c>
      <c r="AQ82" s="20" t="n">
        <v>1446.201016949148</v>
      </c>
      <c r="AR82" s="20" t="n">
        <v>4833.898305084753</v>
      </c>
      <c r="AT82" s="3" t="n">
        <v>0</v>
      </c>
      <c r="AV82" s="5">
        <f>ROUNDUP((AT82/8)*80,0)</f>
        <v/>
      </c>
      <c r="AX82" s="38">
        <f>AV82*W82</f>
        <v/>
      </c>
      <c r="BA82" s="3" t="n">
        <v>0</v>
      </c>
      <c r="BB82" s="3" t="n">
        <v>0</v>
      </c>
      <c r="BC82" s="3" t="n">
        <v>0</v>
      </c>
      <c r="BD82" s="3">
        <f>BC82+BB82+BA82</f>
        <v/>
      </c>
      <c r="BE82" s="3" t="n">
        <v>0</v>
      </c>
      <c r="BF82" s="3" t="n">
        <v>0</v>
      </c>
      <c r="BH82" s="3">
        <f>ROUNDUP(BD82*1.85,0)</f>
        <v/>
      </c>
      <c r="BJ82" s="38">
        <f>BH82*V82</f>
        <v/>
      </c>
      <c r="BL82" s="3">
        <f>U82*1.18</f>
        <v/>
      </c>
    </row>
    <row r="83">
      <c r="A83" s="1" t="inlineStr">
        <is>
          <t>82XQ008DIN</t>
        </is>
      </c>
      <c r="B83" s="1">
        <f>IF(BL83&lt;40000,"Entry",IF(BL83&gt;65000,"Premium","Mainstream"))</f>
        <v/>
      </c>
      <c r="C83" s="1" t="inlineStr">
        <is>
          <t>Mainstream</t>
        </is>
      </c>
      <c r="D83" s="1" t="inlineStr">
        <is>
          <t>R3 OS Office</t>
        </is>
      </c>
      <c r="E83" s="1" t="inlineStr">
        <is>
          <t>Thin &amp; Light</t>
        </is>
      </c>
      <c r="F83" s="1" t="inlineStr">
        <is>
          <t>Slim 3</t>
        </is>
      </c>
      <c r="G83" s="1" t="inlineStr">
        <is>
          <t>IPS3 15AMN8</t>
        </is>
      </c>
      <c r="H83" s="1" t="inlineStr">
        <is>
          <t>R3</t>
        </is>
      </c>
      <c r="I83" s="1" t="inlineStr">
        <is>
          <t>7XXX</t>
        </is>
      </c>
      <c r="J83" s="1" t="inlineStr">
        <is>
          <t>R3-7320U</t>
        </is>
      </c>
      <c r="K83" s="1" t="inlineStr">
        <is>
          <t>8GB</t>
        </is>
      </c>
      <c r="L83" s="1" t="inlineStr">
        <is>
          <t>512GB SSD</t>
        </is>
      </c>
      <c r="M83" s="1" t="inlineStr">
        <is>
          <t>Windows 11</t>
        </is>
      </c>
      <c r="N83" s="1" t="inlineStr">
        <is>
          <t>Office 2021</t>
        </is>
      </c>
      <c r="O83" s="1" t="inlineStr">
        <is>
          <t>INTEGRATED_GRAPHICS</t>
        </is>
      </c>
      <c r="P83" s="1" t="inlineStr">
        <is>
          <t>15.6FHD_TN_AG_250N_N</t>
        </is>
      </c>
      <c r="Q83" s="1" t="inlineStr">
        <is>
          <t>1 Yr. Onsite + 1 Yr. ADP</t>
        </is>
      </c>
      <c r="R83" s="1" t="inlineStr">
        <is>
          <t>Zero GTN</t>
        </is>
      </c>
      <c r="S83" s="1" t="n">
        <v>0</v>
      </c>
      <c r="T83" s="2" t="n">
        <v>31669</v>
      </c>
      <c r="U83" s="13" t="n">
        <v>32974.57627118644</v>
      </c>
      <c r="V83" s="13" t="n">
        <v>0</v>
      </c>
      <c r="W83" s="13" t="n">
        <v>5034.745762711864</v>
      </c>
      <c r="X83" s="13" t="n"/>
      <c r="Y83" s="2">
        <f>(U83*0.98-S83-V83-W83-X83)*1.18/0.92</f>
        <v/>
      </c>
      <c r="Z83" s="18">
        <f>AC83</f>
        <v/>
      </c>
      <c r="AA83" s="5" t="inlineStr">
        <is>
          <t>Ok</t>
        </is>
      </c>
      <c r="AB83" s="5" t="n"/>
      <c r="AC83" s="14" t="n">
        <v>34990</v>
      </c>
      <c r="AD83" s="5">
        <f>(Y83-AC83)/1.18*0.92</f>
        <v/>
      </c>
      <c r="AE83" s="5" t="n"/>
      <c r="AF83" s="5">
        <f>W83+X83</f>
        <v/>
      </c>
      <c r="AG83" s="5" t="n"/>
      <c r="AH83" s="13" t="n">
        <v>0</v>
      </c>
      <c r="AI83" s="13" t="n">
        <v>5034.745762711864</v>
      </c>
      <c r="AJ83" s="5" t="n"/>
      <c r="AL83" s="5" t="n"/>
      <c r="AM83" s="5" t="n">
        <v>34990</v>
      </c>
      <c r="AN83" s="5">
        <f>Y83-AM83</f>
        <v/>
      </c>
      <c r="AO83" s="5" t="n"/>
      <c r="AP83" s="5">
        <f>U83-AL83</f>
        <v/>
      </c>
      <c r="AQ83" s="20" t="n">
        <v>0</v>
      </c>
      <c r="AR83" s="20" t="n">
        <v>5034.745762711864</v>
      </c>
      <c r="AT83" s="3" t="n">
        <v>26</v>
      </c>
      <c r="AV83" s="5">
        <f>ROUNDUP((AT83/8)*80,0)</f>
        <v/>
      </c>
      <c r="AX83" s="38">
        <f>AV83*W83</f>
        <v/>
      </c>
      <c r="BA83" s="3" t="n">
        <v>0</v>
      </c>
      <c r="BB83" s="3" t="n">
        <v>17</v>
      </c>
      <c r="BC83" s="3" t="n">
        <v>-20</v>
      </c>
      <c r="BD83" s="3">
        <f>BC83+BB83+BA83</f>
        <v/>
      </c>
      <c r="BE83" s="3" t="n">
        <v>618</v>
      </c>
      <c r="BF83" s="3" t="n">
        <v>0</v>
      </c>
      <c r="BH83" s="3">
        <f>ROUNDUP(BD83*1.85,0)</f>
        <v/>
      </c>
      <c r="BJ83" s="38">
        <f>BH83*V83</f>
        <v/>
      </c>
      <c r="BL83" s="3">
        <f>U83*1.18</f>
        <v/>
      </c>
    </row>
    <row r="84">
      <c r="A84" s="1" t="inlineStr">
        <is>
          <t>82RK011DIN</t>
        </is>
      </c>
      <c r="B84" s="1">
        <f>IF(BL84&lt;40000,"Entry",IF(BL84&gt;65000,"Premium","Mainstream"))</f>
        <v/>
      </c>
      <c r="C84" s="1" t="inlineStr">
        <is>
          <t>Mainstream</t>
        </is>
      </c>
      <c r="D84" s="1" t="inlineStr">
        <is>
          <t>i3 OS</t>
        </is>
      </c>
      <c r="E84" s="1" t="inlineStr">
        <is>
          <t>Thin &amp; Light</t>
        </is>
      </c>
      <c r="F84" s="1" t="inlineStr">
        <is>
          <t>Slim 3</t>
        </is>
      </c>
      <c r="G84" s="1" t="inlineStr">
        <is>
          <t>IP 3 15IAU7</t>
        </is>
      </c>
      <c r="H84" s="1" t="inlineStr">
        <is>
          <t>i3</t>
        </is>
      </c>
      <c r="I84" s="1" t="inlineStr">
        <is>
          <t>12th Gen</t>
        </is>
      </c>
      <c r="J84" s="1" t="inlineStr">
        <is>
          <t>i3-1215U</t>
        </is>
      </c>
      <c r="K84" s="1" t="inlineStr">
        <is>
          <t>8GB</t>
        </is>
      </c>
      <c r="L84" s="1" t="inlineStr">
        <is>
          <t>256GB SSD</t>
        </is>
      </c>
      <c r="M84" s="1" t="inlineStr">
        <is>
          <t>Windows 11</t>
        </is>
      </c>
      <c r="N84" s="1" t="inlineStr">
        <is>
          <t>NA</t>
        </is>
      </c>
      <c r="O84" s="1" t="inlineStr">
        <is>
          <t>INTEGRATED_GRAPHICS</t>
        </is>
      </c>
      <c r="P84" s="1" t="inlineStr">
        <is>
          <t>15.6FHD_TN_AG_250N_N</t>
        </is>
      </c>
      <c r="Q84" s="1" t="inlineStr">
        <is>
          <t>1 Yr. Onsite + 1 Yr. ADP</t>
        </is>
      </c>
      <c r="R84" s="1" t="inlineStr">
        <is>
          <t>Zero GTN</t>
        </is>
      </c>
      <c r="S84" s="1" t="n">
        <v>0</v>
      </c>
      <c r="T84" s="2" t="n">
        <v>27795</v>
      </c>
      <c r="U84" s="13" t="n">
        <v>28940.6779661017</v>
      </c>
      <c r="V84" s="13" t="n">
        <v>0</v>
      </c>
      <c r="W84" s="13" t="n">
        <v>2641</v>
      </c>
      <c r="X84" s="13" t="n"/>
      <c r="Y84" s="2">
        <f>(U84*0.98-S84-V84-W84-X84)*1.18/0.92</f>
        <v/>
      </c>
      <c r="Z84" s="18">
        <f>AC84</f>
        <v/>
      </c>
      <c r="AA84" s="5" t="inlineStr">
        <is>
          <t>Ok</t>
        </is>
      </c>
      <c r="AB84" s="5" t="n"/>
      <c r="AC84" s="14" t="n">
        <v>32990</v>
      </c>
      <c r="AD84" s="5">
        <f>(Y84-AC84)/1.18*0.92</f>
        <v/>
      </c>
      <c r="AE84" s="5" t="n"/>
      <c r="AF84" s="5">
        <f>W84+X84</f>
        <v/>
      </c>
      <c r="AG84" s="5" t="n"/>
      <c r="AH84" s="13" t="n">
        <v>0</v>
      </c>
      <c r="AI84" s="13" t="n">
        <v>2641</v>
      </c>
      <c r="AJ84" s="5" t="n"/>
      <c r="AL84" s="5" t="n"/>
      <c r="AM84" s="5" t="n">
        <v>31989.36956521739</v>
      </c>
      <c r="AN84" s="5">
        <f>Y84-AM84</f>
        <v/>
      </c>
      <c r="AO84" s="5" t="n"/>
      <c r="AP84" s="5">
        <f>U84-AL84</f>
        <v/>
      </c>
      <c r="AQ84" s="20" t="n">
        <v>0</v>
      </c>
      <c r="AR84" s="20" t="n">
        <v>2640.847457627115</v>
      </c>
      <c r="AT84" s="3" t="n">
        <v>53</v>
      </c>
      <c r="AV84" s="5">
        <f>ROUNDUP((AT84/8)*80,0)</f>
        <v/>
      </c>
      <c r="AX84" s="38">
        <f>AV84*W84</f>
        <v/>
      </c>
      <c r="BA84" s="3" t="n">
        <v>0</v>
      </c>
      <c r="BB84" s="3" t="n">
        <v>99</v>
      </c>
      <c r="BC84" s="3" t="n">
        <v>10</v>
      </c>
      <c r="BD84" s="3">
        <f>BC84+BB84+BA84</f>
        <v/>
      </c>
      <c r="BE84" s="3" t="n">
        <v>56</v>
      </c>
      <c r="BF84" s="3" t="n">
        <v>0</v>
      </c>
      <c r="BH84" s="3">
        <f>ROUNDUP(BD84*1.85,0)</f>
        <v/>
      </c>
      <c r="BJ84" s="38">
        <f>BH84*V84</f>
        <v/>
      </c>
      <c r="BL84" s="3">
        <f>U84*1.18</f>
        <v/>
      </c>
    </row>
    <row r="85">
      <c r="A85" s="1" t="inlineStr">
        <is>
          <t>82H803GVIN</t>
        </is>
      </c>
      <c r="B85" s="1">
        <f>IF(BL85&lt;40000,"Entry",IF(BL85&gt;65000,"Premium","Mainstream"))</f>
        <v/>
      </c>
      <c r="C85" s="1" t="inlineStr">
        <is>
          <t>Mainstream</t>
        </is>
      </c>
      <c r="D85" s="1" t="inlineStr">
        <is>
          <t>i3 OS Office</t>
        </is>
      </c>
      <c r="E85" s="1" t="inlineStr">
        <is>
          <t>Thin &amp; Light</t>
        </is>
      </c>
      <c r="F85" s="1" t="inlineStr">
        <is>
          <t>Slim 3</t>
        </is>
      </c>
      <c r="G85" s="1" t="inlineStr">
        <is>
          <t>IP 3 15ITL6</t>
        </is>
      </c>
      <c r="H85" s="1" t="inlineStr">
        <is>
          <t>i3</t>
        </is>
      </c>
      <c r="I85" s="1" t="inlineStr">
        <is>
          <t>11th Gen</t>
        </is>
      </c>
      <c r="J85" s="1" t="inlineStr">
        <is>
          <t>i3-1115G4</t>
        </is>
      </c>
      <c r="K85" s="1" t="inlineStr">
        <is>
          <t>8GB</t>
        </is>
      </c>
      <c r="L85" s="1" t="inlineStr">
        <is>
          <t>512GB SSD</t>
        </is>
      </c>
      <c r="M85" s="1" t="inlineStr">
        <is>
          <t>Windows 11</t>
        </is>
      </c>
      <c r="N85" s="1" t="inlineStr">
        <is>
          <t>Office 2021</t>
        </is>
      </c>
      <c r="O85" s="1" t="inlineStr">
        <is>
          <t>INTEGRATED_GRAPHICS</t>
        </is>
      </c>
      <c r="P85" s="1" t="inlineStr">
        <is>
          <t>15.6FHD_TN_AG_250N_N</t>
        </is>
      </c>
      <c r="Q85" s="1" t="inlineStr">
        <is>
          <t>1 Yr. Onsite + 1 Yr. ADP</t>
        </is>
      </c>
      <c r="R85" s="1" t="inlineStr">
        <is>
          <t>Full GTN</t>
        </is>
      </c>
      <c r="S85" s="1" t="n">
        <v>0</v>
      </c>
      <c r="T85" s="2" t="n">
        <v>33018</v>
      </c>
      <c r="U85" s="13" t="n">
        <v>34913.5593220339</v>
      </c>
      <c r="V85" s="13" t="n">
        <v>0</v>
      </c>
      <c r="W85" s="13" t="n">
        <v>3793</v>
      </c>
      <c r="X85" s="13" t="n"/>
      <c r="Y85" s="2">
        <f>(U85*0.89-S85-V85-W85-X85)*1.18/0.92</f>
        <v/>
      </c>
      <c r="Z85" s="18">
        <f>AC85</f>
        <v/>
      </c>
      <c r="AA85" s="5" t="inlineStr">
        <is>
          <t>Ok</t>
        </is>
      </c>
      <c r="AB85" s="5" t="n"/>
      <c r="AC85" s="14" t="n">
        <v>34990</v>
      </c>
      <c r="AD85" s="5">
        <f>(Y85-AC85)/1.18*0.92</f>
        <v/>
      </c>
      <c r="AE85" s="5" t="n"/>
      <c r="AF85" s="5">
        <f>W85+X85</f>
        <v/>
      </c>
      <c r="AG85" s="5" t="n"/>
      <c r="AH85" s="13" t="n">
        <v>0</v>
      </c>
      <c r="AI85" s="13" t="n">
        <v>4572</v>
      </c>
      <c r="AJ85" s="5" t="n"/>
      <c r="AL85" s="5" t="n"/>
      <c r="AM85" s="5" t="n">
        <v>33990</v>
      </c>
      <c r="AN85" s="5">
        <f>Y85-AM85</f>
        <v/>
      </c>
      <c r="AO85" s="5" t="n"/>
      <c r="AP85" s="5">
        <f>U85-AL85</f>
        <v/>
      </c>
      <c r="AQ85" s="20" t="n">
        <v>0</v>
      </c>
      <c r="AR85" s="20" t="n">
        <v>4572.389830508477</v>
      </c>
      <c r="AT85" s="3" t="n">
        <v>62</v>
      </c>
      <c r="AV85" s="5">
        <f>ROUNDUP((AT85/8)*80,0)</f>
        <v/>
      </c>
      <c r="AX85" s="38">
        <f>AV85*W85</f>
        <v/>
      </c>
      <c r="BA85" s="3" t="n">
        <v>10</v>
      </c>
      <c r="BB85" s="3" t="n">
        <v>0</v>
      </c>
      <c r="BC85" s="3" t="n">
        <v>11</v>
      </c>
      <c r="BD85" s="3">
        <f>BC85+BB85+BA85</f>
        <v/>
      </c>
      <c r="BE85" s="3" t="n">
        <v>1</v>
      </c>
      <c r="BF85" s="3" t="n">
        <v>0</v>
      </c>
      <c r="BH85" s="3">
        <f>ROUNDUP(BD85*1.85,0)</f>
        <v/>
      </c>
      <c r="BJ85" s="38">
        <f>BH85*V85</f>
        <v/>
      </c>
      <c r="BL85" s="3">
        <f>U85*1.18</f>
        <v/>
      </c>
    </row>
    <row r="86">
      <c r="A86" s="1" t="inlineStr">
        <is>
          <t>82K1019BIN</t>
        </is>
      </c>
      <c r="B86" s="1">
        <f>IF(BL86&lt;40000,"Entry",IF(BL86&gt;65000,"Premium","Mainstream"))</f>
        <v/>
      </c>
      <c r="C86" s="1" t="inlineStr">
        <is>
          <t>Premium</t>
        </is>
      </c>
      <c r="D86" s="1" t="inlineStr">
        <is>
          <t>i5 OS 4GB Graphics Office</t>
        </is>
      </c>
      <c r="E86" s="1" t="inlineStr">
        <is>
          <t>Gaming</t>
        </is>
      </c>
      <c r="F86" s="1" t="inlineStr">
        <is>
          <t>IP Gaming 3</t>
        </is>
      </c>
      <c r="G86" s="1" t="inlineStr">
        <is>
          <t>IdeaPad Gaming 3 15IHU6</t>
        </is>
      </c>
      <c r="H86" s="1" t="inlineStr">
        <is>
          <t>i5</t>
        </is>
      </c>
      <c r="I86" s="1" t="inlineStr">
        <is>
          <t>11th Gen</t>
        </is>
      </c>
      <c r="J86" s="1" t="inlineStr">
        <is>
          <t>Ci5-11300H</t>
        </is>
      </c>
      <c r="K86" s="1" t="inlineStr">
        <is>
          <t>16GB</t>
        </is>
      </c>
      <c r="L86" s="1" t="inlineStr">
        <is>
          <t>512GB SSD</t>
        </is>
      </c>
      <c r="M86" s="1" t="inlineStr">
        <is>
          <t>Windows 11</t>
        </is>
      </c>
      <c r="N86" s="1" t="inlineStr">
        <is>
          <t>Office 2021</t>
        </is>
      </c>
      <c r="O86" s="1" t="inlineStr">
        <is>
          <t>RTX 3050 4GB</t>
        </is>
      </c>
      <c r="P86" s="1" t="inlineStr">
        <is>
          <t>15.6FHD_AG_250N_120_N</t>
        </is>
      </c>
      <c r="Q86" s="1" t="inlineStr">
        <is>
          <t>1 Yr Onsite + 1 Yr PC + 1 Yr ADP</t>
        </is>
      </c>
      <c r="R86" s="1" t="inlineStr">
        <is>
          <t>Zero GTN</t>
        </is>
      </c>
      <c r="S86" s="1" t="n">
        <v>725</v>
      </c>
      <c r="T86" s="2">
        <f>U86*0.98*0.98</f>
        <v/>
      </c>
      <c r="U86" s="13" t="n">
        <v>56262.71186440678</v>
      </c>
      <c r="V86" s="13" t="n">
        <v>2016.714915254243</v>
      </c>
      <c r="W86" s="13" t="n">
        <v>1570</v>
      </c>
      <c r="X86" s="13" t="n"/>
      <c r="Y86" s="2">
        <f>(U86*0.98-S86-V86-W86-X86)*1.18/0.92</f>
        <v/>
      </c>
      <c r="Z86" s="18" t="n">
        <v>65190</v>
      </c>
      <c r="AA86" s="5" t="n"/>
      <c r="AB86" s="5" t="n"/>
      <c r="AC86" s="14" t="n">
        <v>0</v>
      </c>
      <c r="AD86" s="5" t="n">
        <v>0</v>
      </c>
      <c r="AE86" s="5" t="n"/>
      <c r="AF86" s="5">
        <f>W86+X86</f>
        <v/>
      </c>
      <c r="AG86" s="5" t="n"/>
      <c r="AH86" s="13" t="n">
        <v>2016.714915254243</v>
      </c>
      <c r="AI86" s="13" t="n">
        <v>1570</v>
      </c>
      <c r="AJ86" s="5" t="n"/>
      <c r="AL86" s="5" t="n"/>
      <c r="AM86" s="5" t="n">
        <v>65189.53956521738</v>
      </c>
      <c r="AN86" s="5">
        <f>Y86-AM86</f>
        <v/>
      </c>
      <c r="AO86" s="5" t="n"/>
      <c r="AP86" s="5">
        <f>U86-AL86</f>
        <v/>
      </c>
      <c r="AQ86" s="20" t="n">
        <v>2016.714915254243</v>
      </c>
      <c r="AR86" s="20" t="n">
        <v>1570</v>
      </c>
      <c r="AT86" s="3" t="n">
        <v>0</v>
      </c>
      <c r="AV86" s="5">
        <f>ROUNDUP((AT86/8)*80,0)</f>
        <v/>
      </c>
      <c r="AX86" s="38">
        <f>AV86*W86</f>
        <v/>
      </c>
      <c r="BA86" s="3" t="n">
        <v>0</v>
      </c>
      <c r="BB86" s="3" t="n">
        <v>-1</v>
      </c>
      <c r="BC86" s="3" t="n">
        <v>0</v>
      </c>
      <c r="BD86" s="3">
        <f>BC86+BB86+BA86</f>
        <v/>
      </c>
      <c r="BE86" s="3" t="n">
        <v>82</v>
      </c>
      <c r="BF86" s="3" t="n">
        <v>53</v>
      </c>
      <c r="BH86" s="3">
        <f>ROUNDUP(BD86*1.85,0)</f>
        <v/>
      </c>
      <c r="BJ86" s="38">
        <f>BH86*V86</f>
        <v/>
      </c>
      <c r="BL86" s="3">
        <f>U86*1.18</f>
        <v/>
      </c>
    </row>
    <row r="87">
      <c r="A87" s="1" t="inlineStr">
        <is>
          <t>82K101LHIN</t>
        </is>
      </c>
      <c r="B87" s="1">
        <f>IF(BL87&lt;40000,"Entry",IF(BL87&gt;65000,"Premium","Mainstream"))</f>
        <v/>
      </c>
      <c r="C87" s="1" t="inlineStr">
        <is>
          <t>Premium</t>
        </is>
      </c>
      <c r="D87" s="1" t="inlineStr">
        <is>
          <t>i5 OS 4GB Graphics</t>
        </is>
      </c>
      <c r="E87" s="1" t="inlineStr">
        <is>
          <t>Gaming</t>
        </is>
      </c>
      <c r="F87" s="1" t="inlineStr">
        <is>
          <t>IP Gaming 3</t>
        </is>
      </c>
      <c r="G87" s="1" t="inlineStr">
        <is>
          <t>IdeaPad Gaming 3 15IHU6</t>
        </is>
      </c>
      <c r="H87" s="1" t="inlineStr">
        <is>
          <t>i5</t>
        </is>
      </c>
      <c r="I87" s="1" t="inlineStr">
        <is>
          <t>11th Gen</t>
        </is>
      </c>
      <c r="J87" s="1" t="inlineStr">
        <is>
          <t>i5-11320H</t>
        </is>
      </c>
      <c r="K87" s="1" t="inlineStr">
        <is>
          <t>16GB</t>
        </is>
      </c>
      <c r="L87" s="1" t="inlineStr">
        <is>
          <t>512GB SSD</t>
        </is>
      </c>
      <c r="M87" s="1" t="inlineStr">
        <is>
          <t>Windows 11</t>
        </is>
      </c>
      <c r="N87" s="1" t="inlineStr">
        <is>
          <t>No Office</t>
        </is>
      </c>
      <c r="O87" s="1" t="inlineStr">
        <is>
          <t>GTX 1650 4GB</t>
        </is>
      </c>
      <c r="P87" s="1" t="inlineStr">
        <is>
          <t>15.6FHD_AG_250N_60_N</t>
        </is>
      </c>
      <c r="Q87" s="1" t="inlineStr">
        <is>
          <t>1 Yr. Onsite</t>
        </is>
      </c>
      <c r="R87" s="1" t="inlineStr">
        <is>
          <t>Zero GTN</t>
        </is>
      </c>
      <c r="S87" s="1" t="n"/>
      <c r="T87" s="2">
        <f>U87*0.98*0.98</f>
        <v/>
      </c>
      <c r="U87" s="13" t="n">
        <v>46101.69491525424</v>
      </c>
      <c r="V87" s="13" t="n">
        <v>0</v>
      </c>
      <c r="W87" s="13" t="n">
        <v>4645.08474576271</v>
      </c>
      <c r="X87" s="13" t="n"/>
      <c r="Y87" s="2">
        <f>(U87*0.98-S87-V87-W87-X87)*1.18/0.92</f>
        <v/>
      </c>
      <c r="Z87" s="1" t="n">
        <v>51990</v>
      </c>
      <c r="AA87" s="5" t="n"/>
      <c r="AB87" s="5" t="n"/>
      <c r="AC87" s="14" t="n">
        <v>51990</v>
      </c>
      <c r="AD87" s="5">
        <f>(Y87-AC87)/1.18*0.92</f>
        <v/>
      </c>
      <c r="AE87" s="5" t="n"/>
      <c r="AF87" s="5">
        <f>W87+X87</f>
        <v/>
      </c>
      <c r="AG87" s="5" t="n"/>
      <c r="AH87" s="13" t="n">
        <v>0</v>
      </c>
      <c r="AI87" s="13" t="n">
        <v>4645.08474576271</v>
      </c>
      <c r="AJ87" s="5" t="n"/>
      <c r="AL87" s="5" t="n"/>
      <c r="AM87" s="5" t="n">
        <v>51990</v>
      </c>
      <c r="AN87" s="5">
        <f>Y87-AM87</f>
        <v/>
      </c>
      <c r="AO87" s="5" t="n"/>
      <c r="AP87" s="5">
        <f>U87-AL87</f>
        <v/>
      </c>
      <c r="AQ87" s="20" t="n">
        <v>0</v>
      </c>
      <c r="AR87" s="20" t="n">
        <v>4645.08474576271</v>
      </c>
      <c r="AT87" s="3" t="n">
        <v>0</v>
      </c>
      <c r="AV87" s="5">
        <f>ROUNDUP((AT87/8)*80,0)</f>
        <v/>
      </c>
      <c r="AX87" s="38">
        <f>AV87*W87</f>
        <v/>
      </c>
      <c r="BA87" s="3" t="n">
        <v>-1</v>
      </c>
      <c r="BB87" s="3" t="n">
        <v>0</v>
      </c>
      <c r="BC87" s="3" t="n">
        <v>0</v>
      </c>
      <c r="BD87" s="3">
        <f>BC87+BB87+BA87</f>
        <v/>
      </c>
      <c r="BE87" s="3" t="n">
        <v>2</v>
      </c>
      <c r="BF87" s="3" t="n">
        <v>3</v>
      </c>
      <c r="BH87" s="3">
        <f>ROUNDUP(BD87*1.85,0)</f>
        <v/>
      </c>
      <c r="BJ87" s="38">
        <f>BH87*V87</f>
        <v/>
      </c>
      <c r="BL87" s="3">
        <f>U87*1.18</f>
        <v/>
      </c>
    </row>
    <row r="88">
      <c r="A88" s="1" t="inlineStr">
        <is>
          <t>82JK00LYIN</t>
        </is>
      </c>
      <c r="B88" s="1">
        <f>IF(BL88&lt;40000,"Entry",IF(BL88&gt;65000,"Premium","Mainstream"))</f>
        <v/>
      </c>
      <c r="C88" s="1" t="inlineStr">
        <is>
          <t>Premium</t>
        </is>
      </c>
      <c r="D88" s="1" t="inlineStr">
        <is>
          <t>i5 OS 4GB Graphics Office</t>
        </is>
      </c>
      <c r="E88" s="1" t="inlineStr">
        <is>
          <t>Gaming</t>
        </is>
      </c>
      <c r="F88" s="1" t="inlineStr">
        <is>
          <t>Legion 5</t>
        </is>
      </c>
      <c r="G88" s="1" t="inlineStr">
        <is>
          <t>Legion 5 15ITH6</t>
        </is>
      </c>
      <c r="H88" s="1" t="inlineStr">
        <is>
          <t>i5</t>
        </is>
      </c>
      <c r="I88" s="1" t="inlineStr">
        <is>
          <t>11th Gen</t>
        </is>
      </c>
      <c r="J88" s="1" t="inlineStr">
        <is>
          <t>i5-11400H</t>
        </is>
      </c>
      <c r="K88" s="1" t="inlineStr">
        <is>
          <t>16GB</t>
        </is>
      </c>
      <c r="L88" s="1" t="inlineStr">
        <is>
          <t>512GB SSD</t>
        </is>
      </c>
      <c r="M88" s="1" t="inlineStr">
        <is>
          <t>Win11</t>
        </is>
      </c>
      <c r="N88" s="1" t="inlineStr">
        <is>
          <t>Office 2021</t>
        </is>
      </c>
      <c r="O88" s="1" t="inlineStr">
        <is>
          <t>RTX 3050 4GB</t>
        </is>
      </c>
      <c r="P88" s="1" t="inlineStr">
        <is>
          <t>15.6FHD_AG_250N_120_N</t>
        </is>
      </c>
      <c r="Q88" s="1" t="inlineStr">
        <is>
          <t>1 Yr Onsite + 1 Yr LUS + 1 Yr ADP</t>
        </is>
      </c>
      <c r="R88" s="1" t="inlineStr">
        <is>
          <t>Zero GTN</t>
        </is>
      </c>
      <c r="S88" s="1" t="n">
        <v>2457</v>
      </c>
      <c r="T88" s="2">
        <f>U88*0.98*0.98</f>
        <v/>
      </c>
      <c r="U88" s="13" t="n">
        <v>74567.79661016949</v>
      </c>
      <c r="V88" s="13" t="n">
        <v>0</v>
      </c>
      <c r="W88" s="13" t="n">
        <v>0</v>
      </c>
      <c r="X88" s="13" t="n"/>
      <c r="Y88" s="2">
        <f>(U88*0.98-S88-V88-W88-X88)*1.18/0.92</f>
        <v/>
      </c>
      <c r="Z88" s="1" t="n">
        <v>90490</v>
      </c>
      <c r="AA88" s="5" t="n"/>
      <c r="AB88" s="5" t="n"/>
      <c r="AC88" s="14" t="n">
        <v>0</v>
      </c>
      <c r="AD88" s="5" t="n">
        <v>0</v>
      </c>
      <c r="AE88" s="5" t="n"/>
      <c r="AF88" s="5">
        <f>W88+X88</f>
        <v/>
      </c>
      <c r="AG88" s="5" t="n"/>
      <c r="AH88" s="13" t="n">
        <v>0</v>
      </c>
      <c r="AI88" s="13" t="n"/>
      <c r="AJ88" s="5" t="n"/>
      <c r="AL88" s="5" t="n"/>
      <c r="AM88" s="5" t="n">
        <v>90577.10869565216</v>
      </c>
      <c r="AN88" s="5">
        <f>Y88-AM88</f>
        <v/>
      </c>
      <c r="AO88" s="5" t="n"/>
      <c r="AP88" s="5">
        <f>U88-AL88</f>
        <v/>
      </c>
      <c r="AQ88" s="20" t="n">
        <v>0</v>
      </c>
      <c r="AR88" s="20" t="n"/>
      <c r="AT88" s="3" t="n">
        <v>0</v>
      </c>
      <c r="AV88" s="5">
        <f>ROUNDUP((AT88/8)*80,0)</f>
        <v/>
      </c>
      <c r="AX88" s="38">
        <f>AV88*W88</f>
        <v/>
      </c>
      <c r="BA88" s="3" t="n">
        <v>0</v>
      </c>
      <c r="BB88" s="3" t="n">
        <v>0</v>
      </c>
      <c r="BC88" s="3" t="n">
        <v>0</v>
      </c>
      <c r="BD88" s="3">
        <f>BC88+BB88+BA88</f>
        <v/>
      </c>
      <c r="BE88" s="3" t="n">
        <v>0</v>
      </c>
      <c r="BF88" s="3" t="n">
        <v>0</v>
      </c>
      <c r="BH88" s="3">
        <f>ROUNDUP(BD88*1.85,0)</f>
        <v/>
      </c>
      <c r="BJ88" s="38">
        <f>BH88*V88</f>
        <v/>
      </c>
      <c r="BL88" s="3">
        <f>U88*1.18</f>
        <v/>
      </c>
    </row>
    <row r="89">
      <c r="A89" s="1" t="inlineStr">
        <is>
          <t>82K101EEIN</t>
        </is>
      </c>
      <c r="B89" s="1">
        <f>IF(BL89&lt;40000,"Entry",IF(BL89&gt;65000,"Premium","Mainstream"))</f>
        <v/>
      </c>
      <c r="C89" s="1" t="inlineStr">
        <is>
          <t>Premium</t>
        </is>
      </c>
      <c r="D89" s="1" t="inlineStr">
        <is>
          <t>i5 OS 4GB Graphics Office</t>
        </is>
      </c>
      <c r="E89" s="1" t="inlineStr">
        <is>
          <t>Gaming</t>
        </is>
      </c>
      <c r="F89" s="1" t="inlineStr">
        <is>
          <t>IP Gaming 3</t>
        </is>
      </c>
      <c r="G89" s="1" t="inlineStr">
        <is>
          <t>IdeaPad Gaming 3 15IHU6</t>
        </is>
      </c>
      <c r="H89" s="1" t="inlineStr">
        <is>
          <t>i5</t>
        </is>
      </c>
      <c r="I89" s="1" t="inlineStr">
        <is>
          <t>11th Gen</t>
        </is>
      </c>
      <c r="J89" s="1" t="inlineStr">
        <is>
          <t>Ci5-11300H</t>
        </is>
      </c>
      <c r="K89" s="1" t="inlineStr">
        <is>
          <t>8GB</t>
        </is>
      </c>
      <c r="L89" s="1" t="inlineStr">
        <is>
          <t>512GB SSD</t>
        </is>
      </c>
      <c r="M89" s="1" t="inlineStr">
        <is>
          <t>Win11</t>
        </is>
      </c>
      <c r="N89" s="1" t="inlineStr">
        <is>
          <t>Office 2021</t>
        </is>
      </c>
      <c r="O89" s="1" t="inlineStr">
        <is>
          <t>RTX 3050 4GB</t>
        </is>
      </c>
      <c r="P89" s="1" t="inlineStr">
        <is>
          <t>15.6FHD_AG_250N_120_N</t>
        </is>
      </c>
      <c r="Q89" s="1" t="inlineStr">
        <is>
          <t>1 Yr Onsite + 1 Yr PC + 1 Yr ADP</t>
        </is>
      </c>
      <c r="R89" s="1" t="inlineStr">
        <is>
          <t>Zero GTN</t>
        </is>
      </c>
      <c r="S89" s="1" t="n">
        <v>725</v>
      </c>
      <c r="T89" s="2">
        <f>U89*0.98*0.98</f>
        <v/>
      </c>
      <c r="U89" s="13" t="n">
        <v>52872.72881355933</v>
      </c>
      <c r="V89" s="13" t="n">
        <v>1979.426779661024</v>
      </c>
      <c r="W89" s="13" t="n">
        <v>0</v>
      </c>
      <c r="X89" s="13" t="n"/>
      <c r="Y89" s="2">
        <f>(U89*0.98-S89-V89-W89-X89)*1.18/0.92</f>
        <v/>
      </c>
      <c r="Z89" s="1" t="n">
        <v>62990</v>
      </c>
      <c r="AA89" s="5" t="n"/>
      <c r="AB89" s="5" t="n"/>
      <c r="AC89" s="14" t="n">
        <v>0</v>
      </c>
      <c r="AD89" s="5" t="n">
        <v>0</v>
      </c>
      <c r="AE89" s="5" t="n"/>
      <c r="AF89" s="5">
        <f>W89+X89</f>
        <v/>
      </c>
      <c r="AG89" s="5" t="n"/>
      <c r="AH89" s="13" t="n">
        <v>1979.426779661024</v>
      </c>
      <c r="AI89" s="13" t="n"/>
      <c r="AJ89" s="5" t="n"/>
      <c r="AL89" s="5" t="n"/>
      <c r="AM89" s="5" t="n">
        <v>62990</v>
      </c>
      <c r="AN89" s="5">
        <f>Y89-AM89</f>
        <v/>
      </c>
      <c r="AO89" s="5" t="n"/>
      <c r="AP89" s="5">
        <f>U89-AL89</f>
        <v/>
      </c>
      <c r="AQ89" s="20" t="n">
        <v>1979.426779661024</v>
      </c>
      <c r="AR89" s="20" t="n"/>
      <c r="AT89" s="3" t="n">
        <v>0</v>
      </c>
      <c r="AV89" s="5">
        <f>ROUNDUP((AT89/8)*80,0)</f>
        <v/>
      </c>
      <c r="AX89" s="38">
        <f>AV89*W89</f>
        <v/>
      </c>
      <c r="BA89" s="3" t="n">
        <v>0</v>
      </c>
      <c r="BB89" s="3" t="n">
        <v>0</v>
      </c>
      <c r="BC89" s="3" t="n">
        <v>0</v>
      </c>
      <c r="BD89" s="3">
        <f>BC89+BB89+BA89</f>
        <v/>
      </c>
      <c r="BE89" s="3" t="n">
        <v>0</v>
      </c>
      <c r="BF89" s="3" t="n">
        <v>0</v>
      </c>
      <c r="BH89" s="3">
        <f>ROUNDUP(BD89*1.85,0)</f>
        <v/>
      </c>
      <c r="BJ89" s="38">
        <f>BH89*V89</f>
        <v/>
      </c>
      <c r="BL89" s="3">
        <f>U89*1.18</f>
        <v/>
      </c>
    </row>
    <row r="90">
      <c r="A90" s="1" t="inlineStr">
        <is>
          <t>82K101G0IN</t>
        </is>
      </c>
      <c r="B90" s="1">
        <f>IF(BL90&lt;40000,"Entry",IF(BL90&gt;65000,"Premium","Mainstream"))</f>
        <v/>
      </c>
      <c r="C90" s="1" t="inlineStr">
        <is>
          <t>Premium</t>
        </is>
      </c>
      <c r="D90" s="1" t="inlineStr">
        <is>
          <t>i5 OS 4GB Graphics Office</t>
        </is>
      </c>
      <c r="E90" s="1" t="inlineStr">
        <is>
          <t>Gaming</t>
        </is>
      </c>
      <c r="F90" s="1" t="inlineStr">
        <is>
          <t>IP Gaming 3</t>
        </is>
      </c>
      <c r="G90" s="1" t="inlineStr">
        <is>
          <t>IdeaPad Gaming 3 15IHU6</t>
        </is>
      </c>
      <c r="H90" s="1" t="inlineStr">
        <is>
          <t>i5</t>
        </is>
      </c>
      <c r="I90" s="1" t="inlineStr">
        <is>
          <t>11th Gen</t>
        </is>
      </c>
      <c r="J90" s="1" t="inlineStr">
        <is>
          <t>Ci5-11300H</t>
        </is>
      </c>
      <c r="K90" s="1" t="inlineStr">
        <is>
          <t>8GB</t>
        </is>
      </c>
      <c r="L90" s="1" t="inlineStr">
        <is>
          <t>1TB HDD+256GB SSD</t>
        </is>
      </c>
      <c r="M90" s="1" t="inlineStr">
        <is>
          <t>Win11</t>
        </is>
      </c>
      <c r="N90" s="1" t="inlineStr">
        <is>
          <t>Office 2021</t>
        </is>
      </c>
      <c r="O90" s="1" t="inlineStr">
        <is>
          <t>RTX 3050 4GB</t>
        </is>
      </c>
      <c r="P90" s="1" t="inlineStr">
        <is>
          <t>15.6FHD_AG_250N_120_N</t>
        </is>
      </c>
      <c r="Q90" s="1" t="inlineStr">
        <is>
          <t>1 Yr Onsite + 1 Yr PC + 1 Yr ADP</t>
        </is>
      </c>
      <c r="R90" s="1" t="inlineStr">
        <is>
          <t>Zero GTN</t>
        </is>
      </c>
      <c r="S90" s="1" t="n"/>
      <c r="T90" s="2">
        <f>U90*0.98*0.98</f>
        <v/>
      </c>
      <c r="U90" s="13" t="n">
        <v>57110.49152542373</v>
      </c>
      <c r="V90" s="13" t="n">
        <v>6077.773220338991</v>
      </c>
      <c r="W90" s="13" t="n">
        <v>0</v>
      </c>
      <c r="X90" s="13" t="n"/>
      <c r="Y90" s="2">
        <f>(U90*0.98-S90-V90-W90-X90)*1.18/0.92</f>
        <v/>
      </c>
      <c r="Z90" s="1" t="n">
        <v>63990</v>
      </c>
      <c r="AA90" s="5" t="n"/>
      <c r="AB90" s="5" t="n"/>
      <c r="AC90" s="14" t="n">
        <v>0</v>
      </c>
      <c r="AD90" s="5" t="n">
        <v>0</v>
      </c>
      <c r="AE90" s="5" t="n"/>
      <c r="AF90" s="5">
        <f>W90+X90</f>
        <v/>
      </c>
      <c r="AG90" s="5" t="n"/>
      <c r="AH90" s="13" t="n">
        <v>6077.773220338991</v>
      </c>
      <c r="AI90" s="13" t="n"/>
      <c r="AJ90" s="5" t="n"/>
      <c r="AL90" s="5" t="n"/>
      <c r="AM90" s="5" t="n">
        <v>63989.99999999999</v>
      </c>
      <c r="AN90" s="5">
        <f>Y90-AM90</f>
        <v/>
      </c>
      <c r="AO90" s="5" t="n"/>
      <c r="AP90" s="5">
        <f>U90-AL90</f>
        <v/>
      </c>
      <c r="AQ90" s="20" t="n">
        <v>6077.773220338991</v>
      </c>
      <c r="AR90" s="20" t="n"/>
      <c r="AT90" s="3" t="n">
        <v>0</v>
      </c>
      <c r="AV90" s="5">
        <f>ROUNDUP((AT90/8)*80,0)</f>
        <v/>
      </c>
      <c r="AX90" s="38">
        <f>AV90*W90</f>
        <v/>
      </c>
      <c r="BA90" s="3" t="n">
        <v>0</v>
      </c>
      <c r="BB90" s="3" t="n">
        <v>0</v>
      </c>
      <c r="BC90" s="3" t="n">
        <v>0</v>
      </c>
      <c r="BD90" s="3">
        <f>BC90+BB90+BA90</f>
        <v/>
      </c>
      <c r="BE90" s="3" t="n">
        <v>1</v>
      </c>
      <c r="BF90" s="3" t="n">
        <v>0</v>
      </c>
      <c r="BH90" s="3">
        <f>ROUNDUP(BD90*1.85,0)</f>
        <v/>
      </c>
      <c r="BJ90" s="38">
        <f>BH90*V90</f>
        <v/>
      </c>
      <c r="BL90" s="3">
        <f>U90*1.18</f>
        <v/>
      </c>
    </row>
    <row r="91" customFormat="1" s="21">
      <c r="A91" s="1" t="inlineStr">
        <is>
          <t>82K101KGIN</t>
        </is>
      </c>
      <c r="B91" s="1">
        <f>IF(BL91&lt;40000,"Entry",IF(BL91&gt;65000,"Premium","Mainstream"))</f>
        <v/>
      </c>
      <c r="C91" s="1" t="inlineStr">
        <is>
          <t>Premium</t>
        </is>
      </c>
      <c r="D91" s="1" t="inlineStr">
        <is>
          <t>i5 OS 4GB Graphics</t>
        </is>
      </c>
      <c r="E91" s="1" t="inlineStr">
        <is>
          <t>Gaming</t>
        </is>
      </c>
      <c r="F91" s="1" t="inlineStr">
        <is>
          <t>IP Gaming 3</t>
        </is>
      </c>
      <c r="G91" s="1" t="inlineStr">
        <is>
          <t>IdeaPad Gaming 3 15IHU6</t>
        </is>
      </c>
      <c r="H91" s="1" t="inlineStr">
        <is>
          <t>i5</t>
        </is>
      </c>
      <c r="I91" s="1" t="inlineStr">
        <is>
          <t>11th Gen</t>
        </is>
      </c>
      <c r="J91" s="1" t="inlineStr">
        <is>
          <t>i5-11320H</t>
        </is>
      </c>
      <c r="K91" s="1" t="inlineStr">
        <is>
          <t>8GB</t>
        </is>
      </c>
      <c r="L91" s="1" t="inlineStr">
        <is>
          <t>512GB SSD</t>
        </is>
      </c>
      <c r="M91" s="1" t="inlineStr">
        <is>
          <t>Windows 11</t>
        </is>
      </c>
      <c r="N91" s="1" t="inlineStr">
        <is>
          <t>No Office</t>
        </is>
      </c>
      <c r="O91" s="1" t="inlineStr">
        <is>
          <t>GTX 1650 4GB</t>
        </is>
      </c>
      <c r="P91" s="1" t="inlineStr">
        <is>
          <t>15.6FHD_AG_250N_120_N</t>
        </is>
      </c>
      <c r="Q91" s="1" t="inlineStr">
        <is>
          <t>1 Yr. Onsite</t>
        </is>
      </c>
      <c r="R91" s="1" t="inlineStr">
        <is>
          <t>Zero GTN</t>
        </is>
      </c>
      <c r="S91" s="1" t="n"/>
      <c r="T91" s="2">
        <f>U91*0.98*0.98</f>
        <v/>
      </c>
      <c r="U91" s="13" t="n">
        <v>45211.86</v>
      </c>
      <c r="V91" s="13" t="n">
        <v>550</v>
      </c>
      <c r="W91" s="13" t="n">
        <v>4782.368562711861</v>
      </c>
      <c r="X91" s="13" t="n"/>
      <c r="Y91" s="2">
        <f>(U91*0.98-S91-V91-W91-X91)*1.18/0.92</f>
        <v/>
      </c>
      <c r="Z91" s="1" t="n">
        <v>49990</v>
      </c>
      <c r="AA91" s="5" t="n"/>
      <c r="AB91" s="5" t="n"/>
      <c r="AC91" s="14" t="n">
        <v>49990</v>
      </c>
      <c r="AD91" s="5">
        <f>(Y91-AC91)/1.18*0.92</f>
        <v/>
      </c>
      <c r="AE91" s="5" t="n"/>
      <c r="AF91" s="5">
        <f>W91+X91</f>
        <v/>
      </c>
      <c r="AG91" s="5" t="n"/>
      <c r="AH91" s="13" t="n">
        <v>550</v>
      </c>
      <c r="AI91" s="13" t="n">
        <v>4782.368562711861</v>
      </c>
      <c r="AJ91" s="5" t="n"/>
      <c r="AK91" s="23" t="n"/>
      <c r="AL91" s="5" t="n"/>
      <c r="AM91" s="5" t="n">
        <v>49989.99999999999</v>
      </c>
      <c r="AN91" s="5">
        <f>Y91-AM91</f>
        <v/>
      </c>
      <c r="AO91" s="5" t="n"/>
      <c r="AP91" s="5">
        <f>U91-AL91</f>
        <v/>
      </c>
      <c r="AQ91" s="20" t="n">
        <v>550</v>
      </c>
      <c r="AR91" s="20" t="n">
        <v>4782.368562711861</v>
      </c>
      <c r="AT91" s="3" t="n">
        <v>8</v>
      </c>
      <c r="AU91" s="3" t="n"/>
      <c r="AV91" s="5">
        <f>ROUNDUP((AT91/8)*80,0)</f>
        <v/>
      </c>
      <c r="AX91" s="38">
        <f>AV91*W91</f>
        <v/>
      </c>
      <c r="BA91" s="3" t="n">
        <v>0</v>
      </c>
      <c r="BB91" s="3" t="n">
        <v>0</v>
      </c>
      <c r="BC91" s="3" t="n">
        <v>0</v>
      </c>
      <c r="BD91" s="3">
        <f>BC91+BB91+BA91</f>
        <v/>
      </c>
      <c r="BE91" s="3" t="n">
        <v>1</v>
      </c>
      <c r="BF91" s="3" t="n">
        <v>7</v>
      </c>
      <c r="BG91" s="3" t="n"/>
      <c r="BH91" s="3">
        <f>ROUNDUP(BD91*1.85,0)</f>
        <v/>
      </c>
      <c r="BJ91" s="38">
        <f>BH91*V91</f>
        <v/>
      </c>
      <c r="BL91" s="3">
        <f>U91*1.18</f>
        <v/>
      </c>
    </row>
    <row r="92">
      <c r="A92" s="1" t="inlineStr">
        <is>
          <t>82K101EBIN</t>
        </is>
      </c>
      <c r="B92" s="1">
        <f>IF(BL92&lt;40000,"Entry",IF(BL92&gt;65000,"Premium","Mainstream"))</f>
        <v/>
      </c>
      <c r="C92" s="1" t="inlineStr">
        <is>
          <t>Premium</t>
        </is>
      </c>
      <c r="D92" s="1" t="inlineStr">
        <is>
          <t>i5 OS 4GB Graphics Office</t>
        </is>
      </c>
      <c r="E92" s="1" t="inlineStr">
        <is>
          <t>Gaming</t>
        </is>
      </c>
      <c r="F92" s="1" t="inlineStr">
        <is>
          <t>IP Gaming 3</t>
        </is>
      </c>
      <c r="G92" s="1" t="inlineStr">
        <is>
          <t>IdeaPad Gaming 3 15IHU6</t>
        </is>
      </c>
      <c r="H92" s="1" t="inlineStr">
        <is>
          <t>i5</t>
        </is>
      </c>
      <c r="I92" s="1" t="inlineStr">
        <is>
          <t>11th Gen</t>
        </is>
      </c>
      <c r="J92" s="1" t="inlineStr">
        <is>
          <t>Ci5-11300H</t>
        </is>
      </c>
      <c r="K92" s="1" t="inlineStr">
        <is>
          <t>16GB</t>
        </is>
      </c>
      <c r="L92" s="1" t="inlineStr">
        <is>
          <t>512GB SSD</t>
        </is>
      </c>
      <c r="M92" s="1" t="inlineStr">
        <is>
          <t>Win11</t>
        </is>
      </c>
      <c r="N92" s="1" t="inlineStr">
        <is>
          <t>Office 2021</t>
        </is>
      </c>
      <c r="O92" s="1" t="inlineStr">
        <is>
          <t>RTX 3050 4GB</t>
        </is>
      </c>
      <c r="P92" s="1" t="inlineStr">
        <is>
          <t>15.6FHD_AG_250N_120_N</t>
        </is>
      </c>
      <c r="Q92" s="1" t="inlineStr">
        <is>
          <t>1 Yr Onsite + 1 Yr PC + 1 Yr ADP</t>
        </is>
      </c>
      <c r="R92" s="1" t="inlineStr">
        <is>
          <t>Zero GTN</t>
        </is>
      </c>
      <c r="S92" s="1" t="n">
        <v>725</v>
      </c>
      <c r="T92" s="2">
        <f>U92*0.98*0.98</f>
        <v/>
      </c>
      <c r="U92" s="13" t="n">
        <v>56262.55932203391</v>
      </c>
      <c r="V92" s="13" t="n">
        <v>2182.816610169494</v>
      </c>
      <c r="W92" s="13" t="n">
        <v>0</v>
      </c>
      <c r="X92" s="13" t="n"/>
      <c r="Y92" s="2">
        <f>(U92*0.98-S92-V92-W92-X92)*1.18/0.92</f>
        <v/>
      </c>
      <c r="Z92" s="1" t="n">
        <v>66990</v>
      </c>
      <c r="AA92" s="5" t="n"/>
      <c r="AB92" s="5" t="n"/>
      <c r="AC92" s="14" t="n">
        <v>0</v>
      </c>
      <c r="AD92" s="5" t="n">
        <v>0</v>
      </c>
      <c r="AE92" s="5" t="n"/>
      <c r="AF92" s="5">
        <f>W92+X92</f>
        <v/>
      </c>
      <c r="AG92" s="5" t="n"/>
      <c r="AH92" s="13" t="n">
        <v>2182.816610169494</v>
      </c>
      <c r="AI92" s="13" t="n"/>
      <c r="AJ92" s="5" t="n"/>
      <c r="AL92" s="5" t="n"/>
      <c r="AM92" s="5" t="n">
        <v>66990</v>
      </c>
      <c r="AN92" s="5">
        <f>Y92-AM92</f>
        <v/>
      </c>
      <c r="AO92" s="5" t="n"/>
      <c r="AP92" s="5">
        <f>U92-AL92</f>
        <v/>
      </c>
      <c r="AQ92" s="20" t="n">
        <v>2182.816610169494</v>
      </c>
      <c r="AR92" s="20" t="n"/>
      <c r="AT92" s="3" t="n">
        <v>0</v>
      </c>
      <c r="AV92" s="5">
        <f>ROUNDUP((AT92/8)*80,0)</f>
        <v/>
      </c>
      <c r="AX92" s="38">
        <f>AV92*W92</f>
        <v/>
      </c>
      <c r="BA92" s="3" t="n">
        <v>0</v>
      </c>
      <c r="BB92" s="3" t="n">
        <v>0</v>
      </c>
      <c r="BC92" s="3" t="n">
        <v>0</v>
      </c>
      <c r="BD92" s="3">
        <f>BC92+BB92+BA92</f>
        <v/>
      </c>
      <c r="BE92" s="3" t="n">
        <v>0</v>
      </c>
      <c r="BF92" s="3" t="n">
        <v>0</v>
      </c>
      <c r="BH92" s="3">
        <f>ROUNDUP(BD92*1.85,0)</f>
        <v/>
      </c>
      <c r="BJ92" s="38">
        <f>BH92*V92</f>
        <v/>
      </c>
      <c r="BL92" s="3">
        <f>U92*1.18</f>
        <v/>
      </c>
    </row>
    <row r="93">
      <c r="A93" s="1" t="inlineStr">
        <is>
          <t>82H701N3IN</t>
        </is>
      </c>
      <c r="B93" s="1">
        <f>IF(BL93&lt;40000,"Entry",IF(BL93&gt;65000,"Premium","Mainstream"))</f>
        <v/>
      </c>
      <c r="C93" s="1" t="inlineStr">
        <is>
          <t>Mainstream</t>
        </is>
      </c>
      <c r="D93" s="1" t="inlineStr">
        <is>
          <t>i3 OS Office</t>
        </is>
      </c>
      <c r="E93" s="1" t="inlineStr">
        <is>
          <t>Thin &amp; Light</t>
        </is>
      </c>
      <c r="F93" s="1" t="inlineStr">
        <is>
          <t>Slim 3</t>
        </is>
      </c>
      <c r="G93" s="1" t="inlineStr">
        <is>
          <t>IP 3 14ITL6</t>
        </is>
      </c>
      <c r="H93" s="1" t="inlineStr">
        <is>
          <t>i3</t>
        </is>
      </c>
      <c r="I93" s="1" t="inlineStr">
        <is>
          <t>11th Gen</t>
        </is>
      </c>
      <c r="J93" s="1" t="inlineStr">
        <is>
          <t>I3-1115G4</t>
        </is>
      </c>
      <c r="K93" s="1" t="inlineStr">
        <is>
          <t>8GB</t>
        </is>
      </c>
      <c r="L93" s="1" t="inlineStr">
        <is>
          <t>512GB SSD</t>
        </is>
      </c>
      <c r="M93" s="1" t="inlineStr">
        <is>
          <t>Windows 11</t>
        </is>
      </c>
      <c r="N93" s="1" t="inlineStr">
        <is>
          <t>OFFICE 2021</t>
        </is>
      </c>
      <c r="O93" s="1" t="inlineStr">
        <is>
          <t>INTEGRATED_GRAPHICS</t>
        </is>
      </c>
      <c r="P93" s="1" t="inlineStr">
        <is>
          <t>14.0FHD_AG_300N_N</t>
        </is>
      </c>
      <c r="Q93" s="1" t="inlineStr">
        <is>
          <t>1 Yr. Onsite + 1 Yr. ADP</t>
        </is>
      </c>
      <c r="R93" s="1" t="inlineStr">
        <is>
          <t>Full GTN</t>
        </is>
      </c>
      <c r="S93" s="1" t="n">
        <v>725</v>
      </c>
      <c r="T93" s="2" t="n">
        <v>34213.50254237288</v>
      </c>
      <c r="U93" s="13" t="n">
        <v>36177.96610169492</v>
      </c>
      <c r="V93" s="13" t="n">
        <v>0</v>
      </c>
      <c r="W93" s="13" t="n">
        <v>3413</v>
      </c>
      <c r="X93" s="13" t="n"/>
      <c r="Y93" s="2">
        <f>(U93*0.89-S93-V93-W93-X93)*1.18/0.92</f>
        <v/>
      </c>
      <c r="Z93" s="18">
        <f>AC93</f>
        <v/>
      </c>
      <c r="AA93" s="5" t="inlineStr">
        <is>
          <t>Ok</t>
        </is>
      </c>
      <c r="AB93" s="5" t="n"/>
      <c r="AC93" s="14" t="n">
        <v>35990</v>
      </c>
      <c r="AD93" s="5">
        <f>(Y93-AC93)/1.18*0.92</f>
        <v/>
      </c>
      <c r="AE93" s="5" t="n"/>
      <c r="AF93" s="5">
        <f>W93+X93</f>
        <v/>
      </c>
      <c r="AG93" s="5" t="n"/>
      <c r="AH93" s="13" t="n">
        <v>0</v>
      </c>
      <c r="AI93" s="13" t="n">
        <v>4193</v>
      </c>
      <c r="AJ93" s="5" t="n"/>
      <c r="AL93" s="5" t="n"/>
      <c r="AM93" s="5" t="n">
        <v>34990</v>
      </c>
      <c r="AN93" s="5">
        <f>Y93-AM93</f>
        <v/>
      </c>
      <c r="AO93" s="5" t="n"/>
      <c r="AP93" s="5">
        <f>U93-AL93</f>
        <v/>
      </c>
      <c r="AQ93" s="20" t="n">
        <v>0</v>
      </c>
      <c r="AR93" s="20" t="n">
        <v>4193.050847457627</v>
      </c>
      <c r="AT93" s="3" t="n">
        <v>0</v>
      </c>
      <c r="AV93" s="5">
        <f>ROUNDUP((AT93/8)*80,0)</f>
        <v/>
      </c>
      <c r="AX93" s="38">
        <f>AV93*W93</f>
        <v/>
      </c>
      <c r="BA93" s="3" t="n">
        <v>0</v>
      </c>
      <c r="BB93" s="3" t="n">
        <v>-4</v>
      </c>
      <c r="BC93" s="3" t="n">
        <v>-2</v>
      </c>
      <c r="BD93" s="3">
        <f>BC93+BB93+BA93</f>
        <v/>
      </c>
      <c r="BE93" s="3" t="n">
        <v>0</v>
      </c>
      <c r="BF93" s="3" t="n">
        <v>0</v>
      </c>
      <c r="BH93" s="3">
        <f>ROUNDUP(BD93*1.85,0)</f>
        <v/>
      </c>
      <c r="BJ93" s="38">
        <f>BH93*V93</f>
        <v/>
      </c>
      <c r="BL93" s="3">
        <f>U93*1.18</f>
        <v/>
      </c>
    </row>
    <row r="94">
      <c r="A94" s="1" t="inlineStr">
        <is>
          <t>82JW00PBIN</t>
        </is>
      </c>
      <c r="B94" s="1">
        <f>IF(BL94&lt;40000,"Entry",IF(BL94&gt;65000,"Premium","Mainstream"))</f>
        <v/>
      </c>
      <c r="C94" s="1" t="inlineStr">
        <is>
          <t>Premium</t>
        </is>
      </c>
      <c r="D94" s="1" t="inlineStr">
        <is>
          <t>R7 OS 4GB Graphics Office</t>
        </is>
      </c>
      <c r="E94" s="1" t="inlineStr">
        <is>
          <t>Gaming</t>
        </is>
      </c>
      <c r="F94" s="1" t="inlineStr">
        <is>
          <t>Legion 5</t>
        </is>
      </c>
      <c r="G94" s="1" t="inlineStr">
        <is>
          <t>Legion 5 15ACH6</t>
        </is>
      </c>
      <c r="H94" s="1" t="inlineStr">
        <is>
          <t>R7</t>
        </is>
      </c>
      <c r="I94" s="1" t="inlineStr">
        <is>
          <t>5XXXH</t>
        </is>
      </c>
      <c r="J94" s="1" t="inlineStr">
        <is>
          <t>Ryzen 7 5800H</t>
        </is>
      </c>
      <c r="K94" s="1" t="inlineStr">
        <is>
          <t>16GB</t>
        </is>
      </c>
      <c r="L94" s="1" t="inlineStr">
        <is>
          <t>512GB SSD</t>
        </is>
      </c>
      <c r="M94" s="1" t="inlineStr">
        <is>
          <t>Windows 11</t>
        </is>
      </c>
      <c r="N94" s="1" t="inlineStr">
        <is>
          <t>Office 2021</t>
        </is>
      </c>
      <c r="O94" s="1" t="inlineStr">
        <is>
          <t>RTX 3050 4GB</t>
        </is>
      </c>
      <c r="P94" s="1" t="inlineStr">
        <is>
          <t>15.6FHD_AG_250N_120_N</t>
        </is>
      </c>
      <c r="Q94" s="1" t="inlineStr">
        <is>
          <t>1 Yr Onsite + 1 Yr LUS + 1 Yr ADP</t>
        </is>
      </c>
      <c r="R94" s="7" t="inlineStr">
        <is>
          <t>Zero GTN</t>
        </is>
      </c>
      <c r="S94" s="1" t="n">
        <v>2457</v>
      </c>
      <c r="T94" s="2">
        <f>U94*0.98*0.98</f>
        <v/>
      </c>
      <c r="U94" s="13" t="n">
        <v>70825</v>
      </c>
      <c r="V94" s="13" t="n">
        <v>0</v>
      </c>
      <c r="W94" s="13" t="n">
        <v>13942.34745762712</v>
      </c>
      <c r="X94" s="13" t="n"/>
      <c r="Y94" s="2">
        <f>(U94*0.98-S94-V94-W94-X94)*1.18/0.92</f>
        <v/>
      </c>
      <c r="Z94" s="1" t="n">
        <v>67990</v>
      </c>
      <c r="AA94" s="5" t="n"/>
      <c r="AB94" s="5" t="n"/>
      <c r="AC94" s="14" t="n">
        <v>67990</v>
      </c>
      <c r="AD94" s="5">
        <f>(Y94-AC94)/1.18*0.92</f>
        <v/>
      </c>
      <c r="AE94" s="5" t="n"/>
      <c r="AF94" s="5">
        <f>W94+X94</f>
        <v/>
      </c>
      <c r="AG94" s="5" t="n"/>
      <c r="AH94" s="13" t="n">
        <v>0</v>
      </c>
      <c r="AI94" s="13" t="n">
        <v>13942.34745762712</v>
      </c>
      <c r="AJ94" s="5" t="n"/>
      <c r="AL94" s="5" t="n"/>
      <c r="AM94" s="5" t="n">
        <v>67989.99999999999</v>
      </c>
      <c r="AN94" s="5">
        <f>Y94-AM94</f>
        <v/>
      </c>
      <c r="AO94" s="5" t="n"/>
      <c r="AP94" s="5">
        <f>U94-AL94</f>
        <v/>
      </c>
      <c r="AQ94" s="20" t="n">
        <v>0</v>
      </c>
      <c r="AR94" s="20" t="n">
        <v>13942.34745762712</v>
      </c>
      <c r="AT94" s="3" t="n">
        <v>0</v>
      </c>
      <c r="AV94" s="5">
        <f>ROUNDUP((AT94/8)*80,0)</f>
        <v/>
      </c>
      <c r="AX94" s="38">
        <f>AV94*W94</f>
        <v/>
      </c>
      <c r="BA94" s="3" t="n">
        <v>0</v>
      </c>
      <c r="BB94" s="3" t="n">
        <v>0</v>
      </c>
      <c r="BC94" s="3" t="n">
        <v>0</v>
      </c>
      <c r="BD94" s="3">
        <f>BC94+BB94+BA94</f>
        <v/>
      </c>
      <c r="BE94" s="3" t="n">
        <v>0</v>
      </c>
      <c r="BF94" s="3" t="n">
        <v>0</v>
      </c>
      <c r="BH94" s="3">
        <f>ROUNDUP(BD94*1.85,0)</f>
        <v/>
      </c>
      <c r="BJ94" s="38">
        <f>BH94*V94</f>
        <v/>
      </c>
      <c r="BL94" s="3">
        <f>U94*1.18</f>
        <v/>
      </c>
    </row>
    <row r="95">
      <c r="A95" s="1" t="inlineStr">
        <is>
          <t>82JD005KIN</t>
        </is>
      </c>
      <c r="B95" s="1">
        <f>IF(BL95&lt;40000,"Entry",IF(BL95&gt;65000,"Premium","Mainstream"))</f>
        <v/>
      </c>
      <c r="C95" s="1" t="inlineStr">
        <is>
          <t>Premium</t>
        </is>
      </c>
      <c r="D95" s="1" t="inlineStr">
        <is>
          <t>i7 OS 6GB Graphics Office</t>
        </is>
      </c>
      <c r="E95" s="1" t="inlineStr">
        <is>
          <t>Gaming</t>
        </is>
      </c>
      <c r="F95" s="1" t="inlineStr">
        <is>
          <t>Legion 5 Pro</t>
        </is>
      </c>
      <c r="G95" s="1" t="inlineStr">
        <is>
          <t>Legion 5 Pro 16ITH6H</t>
        </is>
      </c>
      <c r="H95" s="1" t="inlineStr">
        <is>
          <t>i7</t>
        </is>
      </c>
      <c r="I95" s="1" t="inlineStr">
        <is>
          <t>11th Gen</t>
        </is>
      </c>
      <c r="J95" s="1" t="inlineStr">
        <is>
          <t>i7-11800H</t>
        </is>
      </c>
      <c r="K95" s="1" t="inlineStr">
        <is>
          <t>16GB</t>
        </is>
      </c>
      <c r="L95" s="1" t="inlineStr">
        <is>
          <t>1TB SSD</t>
        </is>
      </c>
      <c r="M95" s="1" t="inlineStr">
        <is>
          <t>Win10</t>
        </is>
      </c>
      <c r="N95" s="1" t="inlineStr">
        <is>
          <t>Office 2019</t>
        </is>
      </c>
      <c r="O95" s="1" t="inlineStr">
        <is>
          <t>RTX 3060 6GB</t>
        </is>
      </c>
      <c r="P95" s="1" t="inlineStr">
        <is>
          <t>15.6 QHD IPS AG-165 Hz, 500 nits</t>
        </is>
      </c>
      <c r="Q95" s="1" t="inlineStr">
        <is>
          <t>3 Yr Warranty + 1 Yr LUS + 1 Yr ADP</t>
        </is>
      </c>
      <c r="R95" s="1" t="inlineStr">
        <is>
          <t>Full GTN</t>
        </is>
      </c>
      <c r="S95" s="1" t="n">
        <v>2457</v>
      </c>
      <c r="T95" s="2">
        <f>U95*0.98*0.965</f>
        <v/>
      </c>
      <c r="U95" s="13" t="n">
        <v>114398.3050847458</v>
      </c>
      <c r="V95" s="13" t="n">
        <v>763.6779661017208</v>
      </c>
      <c r="W95" s="13" t="n">
        <v>0</v>
      </c>
      <c r="X95" s="13" t="n"/>
      <c r="Y95" s="2">
        <f>(U95*0.88-S95-V95-W95-X95)*1.18/0.92</f>
        <v/>
      </c>
      <c r="Z95" s="1" t="n">
        <v>124990</v>
      </c>
      <c r="AA95" s="5" t="n"/>
      <c r="AB95" s="5" t="n"/>
      <c r="AC95" s="14" t="n">
        <v>0</v>
      </c>
      <c r="AD95" s="5" t="n">
        <v>0</v>
      </c>
      <c r="AE95" s="5" t="n"/>
      <c r="AF95" s="5">
        <f>W95+X95</f>
        <v/>
      </c>
      <c r="AG95" s="5" t="n"/>
      <c r="AH95" s="13" t="n">
        <v>763.6779661017208</v>
      </c>
      <c r="AI95" s="13" t="n"/>
      <c r="AJ95" s="5" t="n"/>
      <c r="AL95" s="5" t="n"/>
      <c r="AM95" s="5" t="n">
        <v>124990</v>
      </c>
      <c r="AN95" s="5">
        <f>Y95-AM95</f>
        <v/>
      </c>
      <c r="AO95" s="5" t="n"/>
      <c r="AP95" s="5">
        <f>U95-AL95</f>
        <v/>
      </c>
      <c r="AQ95" s="20" t="n">
        <v>763.6779661017208</v>
      </c>
      <c r="AR95" s="20" t="n"/>
      <c r="AT95" s="3" t="n">
        <v>0</v>
      </c>
      <c r="AV95" s="5">
        <f>ROUNDUP((AT95/8)*80,0)</f>
        <v/>
      </c>
      <c r="AX95" s="38">
        <f>AV95*W95</f>
        <v/>
      </c>
      <c r="BA95" s="3" t="n">
        <v>0</v>
      </c>
      <c r="BB95" s="3" t="n">
        <v>0</v>
      </c>
      <c r="BC95" s="3" t="n">
        <v>0</v>
      </c>
      <c r="BD95" s="3">
        <f>BC95+BB95+BA95</f>
        <v/>
      </c>
      <c r="BE95" s="3" t="n">
        <v>0</v>
      </c>
      <c r="BF95" s="3" t="n">
        <v>0</v>
      </c>
      <c r="BH95" s="3">
        <f>ROUNDUP(BD95*1.85,0)</f>
        <v/>
      </c>
      <c r="BJ95" s="38">
        <f>BH95*V95</f>
        <v/>
      </c>
      <c r="BL95" s="3">
        <f>U95*1.18</f>
        <v/>
      </c>
    </row>
    <row r="96">
      <c r="A96" s="1" t="inlineStr">
        <is>
          <t>82S900R6IN</t>
        </is>
      </c>
      <c r="B96" s="1">
        <f>IF(BL96&lt;40000,"Entry",IF(BL96&gt;65000,"Premium","Mainstream"))</f>
        <v/>
      </c>
      <c r="C96" s="1" t="inlineStr">
        <is>
          <t>Premium</t>
        </is>
      </c>
      <c r="D96" s="1" t="inlineStr">
        <is>
          <t>i5 OS 4GB Graphics Office</t>
        </is>
      </c>
      <c r="E96" s="1" t="inlineStr">
        <is>
          <t>Gaming</t>
        </is>
      </c>
      <c r="F96" s="1" t="inlineStr">
        <is>
          <t>IP Gaming 3</t>
        </is>
      </c>
      <c r="G96" s="1" t="inlineStr">
        <is>
          <t>IdeaPad Gaming 3 15IAH7</t>
        </is>
      </c>
      <c r="H96" s="1" t="inlineStr">
        <is>
          <t>i5</t>
        </is>
      </c>
      <c r="I96" s="1" t="inlineStr">
        <is>
          <t>12th Gen</t>
        </is>
      </c>
      <c r="J96" s="1" t="inlineStr">
        <is>
          <t>Ci5-12450H</t>
        </is>
      </c>
      <c r="K96" s="1" t="inlineStr">
        <is>
          <t>16GB</t>
        </is>
      </c>
      <c r="L96" s="1" t="inlineStr">
        <is>
          <t>512GB SSD</t>
        </is>
      </c>
      <c r="M96" s="1" t="inlineStr">
        <is>
          <t>Win11</t>
        </is>
      </c>
      <c r="N96" s="1" t="inlineStr">
        <is>
          <t>Office 2021</t>
        </is>
      </c>
      <c r="O96" s="1" t="inlineStr">
        <is>
          <t>RTX 3050 4GB</t>
        </is>
      </c>
      <c r="P96" s="1" t="inlineStr">
        <is>
          <t>15.6FHD_AG_250N_120_N</t>
        </is>
      </c>
      <c r="Q96" s="1" t="inlineStr">
        <is>
          <t>1 Yr Onsite + 1 Yr PC + 1 Yr ADP</t>
        </is>
      </c>
      <c r="R96" s="1" t="inlineStr">
        <is>
          <t>Zero GTN</t>
        </is>
      </c>
      <c r="S96" s="1" t="n">
        <v>725</v>
      </c>
      <c r="T96" s="2">
        <f>U96*0.98*0.98</f>
        <v/>
      </c>
      <c r="U96" s="13" t="n">
        <v>61016.94915254235</v>
      </c>
      <c r="V96" s="13" t="n">
        <v>4504</v>
      </c>
      <c r="W96" s="13" t="n">
        <v>0</v>
      </c>
      <c r="X96" s="13" t="n"/>
      <c r="Y96" s="2">
        <f>(U96*0.98-S96-V96-W96-X96)*1.18/0.92</f>
        <v/>
      </c>
      <c r="Z96" s="1" t="n">
        <v>69990</v>
      </c>
      <c r="AA96" s="5" t="n"/>
      <c r="AB96" s="5" t="n"/>
      <c r="AC96" s="14" t="n">
        <v>0</v>
      </c>
      <c r="AD96" s="5" t="n">
        <v>0</v>
      </c>
      <c r="AE96" s="5" t="n"/>
      <c r="AF96" s="5">
        <f>W96+X96</f>
        <v/>
      </c>
      <c r="AG96" s="5" t="n"/>
      <c r="AH96" s="13" t="n">
        <v>4504</v>
      </c>
      <c r="AI96" s="13" t="n"/>
      <c r="AJ96" s="5" t="n"/>
      <c r="AL96" s="5" t="n"/>
      <c r="AM96" s="5" t="n">
        <v>69988.8913043478</v>
      </c>
      <c r="AN96" s="5">
        <f>Y96-AM96</f>
        <v/>
      </c>
      <c r="AO96" s="5" t="n"/>
      <c r="AP96" s="5">
        <f>U96-AL96</f>
        <v/>
      </c>
      <c r="AQ96" s="20" t="n">
        <v>4504</v>
      </c>
      <c r="AR96" s="20" t="n"/>
      <c r="AT96" s="3" t="n">
        <v>1</v>
      </c>
      <c r="AV96" s="5">
        <f>ROUNDUP((AT96/8)*80,0)</f>
        <v/>
      </c>
      <c r="AX96" s="38">
        <f>AV96*W96</f>
        <v/>
      </c>
      <c r="BA96" s="3" t="n">
        <v>0</v>
      </c>
      <c r="BB96" s="3" t="n">
        <v>0</v>
      </c>
      <c r="BC96" s="3" t="n">
        <v>0</v>
      </c>
      <c r="BD96" s="3">
        <f>BC96+BB96+BA96</f>
        <v/>
      </c>
      <c r="BE96" s="3" t="n">
        <v>0</v>
      </c>
      <c r="BF96" s="3" t="n">
        <v>0</v>
      </c>
      <c r="BH96" s="3">
        <f>ROUNDUP(BD96*1.85,0)</f>
        <v/>
      </c>
      <c r="BJ96" s="38">
        <f>BH96*V96</f>
        <v/>
      </c>
      <c r="BL96" s="3">
        <f>U96*1.18</f>
        <v/>
      </c>
    </row>
    <row r="97">
      <c r="A97" s="1" t="inlineStr">
        <is>
          <t>82NL00APIN</t>
        </is>
      </c>
      <c r="B97" s="1">
        <f>IF(BL97&lt;40000,"Entry",IF(BL97&gt;65000,"Premium","Mainstream"))</f>
        <v/>
      </c>
      <c r="C97" s="1" t="inlineStr">
        <is>
          <t>Premium</t>
        </is>
      </c>
      <c r="D97" s="1" t="inlineStr">
        <is>
          <t>i5 OS 4GB Graphics</t>
        </is>
      </c>
      <c r="E97" s="1" t="inlineStr">
        <is>
          <t>Gaming</t>
        </is>
      </c>
      <c r="F97" s="1" t="inlineStr">
        <is>
          <t>Legion 5</t>
        </is>
      </c>
      <c r="G97" s="1" t="inlineStr">
        <is>
          <t>Legion 5 15IMH6</t>
        </is>
      </c>
      <c r="H97" s="1" t="inlineStr">
        <is>
          <t>i5</t>
        </is>
      </c>
      <c r="I97" s="1" t="inlineStr">
        <is>
          <t>10th Gen</t>
        </is>
      </c>
      <c r="J97" s="1" t="inlineStr">
        <is>
          <t>i5 10500H</t>
        </is>
      </c>
      <c r="K97" s="1" t="inlineStr">
        <is>
          <t>8GB</t>
        </is>
      </c>
      <c r="L97" s="1" t="inlineStr">
        <is>
          <t>512GB SSD</t>
        </is>
      </c>
      <c r="M97" s="1" t="inlineStr">
        <is>
          <t>Win11</t>
        </is>
      </c>
      <c r="N97" s="1" t="inlineStr">
        <is>
          <t>No Office</t>
        </is>
      </c>
      <c r="O97" s="1" t="inlineStr">
        <is>
          <t>RTX 3050 4GB</t>
        </is>
      </c>
      <c r="P97" s="1" t="inlineStr">
        <is>
          <t>15.6FHD_AG_250N_120_N</t>
        </is>
      </c>
      <c r="Q97" s="1" t="inlineStr">
        <is>
          <t>1 Yr Onsite + 1 Yr LUS + 1 Yr ADP</t>
        </is>
      </c>
      <c r="R97" s="1" t="inlineStr">
        <is>
          <t>Zero GTN</t>
        </is>
      </c>
      <c r="S97" s="1" t="n">
        <v>2457</v>
      </c>
      <c r="T97" s="2">
        <f>U97*0.98*0.98</f>
        <v/>
      </c>
      <c r="U97" s="13" t="n">
        <v>61928.45036319613</v>
      </c>
      <c r="V97" s="13" t="n">
        <v>0</v>
      </c>
      <c r="W97" s="13" t="n">
        <v>0</v>
      </c>
      <c r="X97" s="13" t="n"/>
      <c r="Y97" s="2">
        <f>(U97*0.98-S97-V97-W97-X97)*1.18/0.92</f>
        <v/>
      </c>
      <c r="Z97" s="1" t="n">
        <v>74990</v>
      </c>
      <c r="AA97" s="5" t="n"/>
      <c r="AB97" s="5" t="n"/>
      <c r="AC97" s="14" t="n">
        <v>0</v>
      </c>
      <c r="AD97" s="5" t="n">
        <v>0</v>
      </c>
      <c r="AE97" s="5" t="n"/>
      <c r="AF97" s="5">
        <f>W97+X97</f>
        <v/>
      </c>
      <c r="AG97" s="5" t="n"/>
      <c r="AH97" s="13" t="n">
        <v>0</v>
      </c>
      <c r="AI97" s="13" t="n"/>
      <c r="AJ97" s="5" t="n"/>
      <c r="AL97" s="5" t="n"/>
      <c r="AM97" s="5" t="n">
        <v>74689.99999999999</v>
      </c>
      <c r="AN97" s="5">
        <f>Y97-AM97</f>
        <v/>
      </c>
      <c r="AO97" s="5" t="n"/>
      <c r="AP97" s="5">
        <f>U97-AL97</f>
        <v/>
      </c>
      <c r="AQ97" s="20" t="n">
        <v>0</v>
      </c>
      <c r="AR97" s="20" t="n"/>
      <c r="AT97" s="3" t="n">
        <v>0</v>
      </c>
      <c r="AV97" s="5">
        <f>ROUNDUP((AT97/8)*80,0)</f>
        <v/>
      </c>
      <c r="AX97" s="38">
        <f>AV97*W97</f>
        <v/>
      </c>
      <c r="BA97" s="3" t="n">
        <v>0</v>
      </c>
      <c r="BB97" s="3" t="n">
        <v>0</v>
      </c>
      <c r="BC97" s="3" t="n">
        <v>0</v>
      </c>
      <c r="BD97" s="3">
        <f>BC97+BB97+BA97</f>
        <v/>
      </c>
      <c r="BE97" s="3" t="n">
        <v>15</v>
      </c>
      <c r="BF97" s="3" t="n">
        <v>0</v>
      </c>
      <c r="BH97" s="3">
        <f>ROUNDUP(BD97*1.85,0)</f>
        <v/>
      </c>
      <c r="BJ97" s="38">
        <f>BH97*V97</f>
        <v/>
      </c>
      <c r="BL97" s="3">
        <f>U97*1.18</f>
        <v/>
      </c>
    </row>
    <row r="98">
      <c r="A98" s="1" t="inlineStr">
        <is>
          <t>82TF007LIN</t>
        </is>
      </c>
      <c r="B98" s="1">
        <f>IF(BL98&lt;40000,"Entry",IF(BL98&gt;65000,"Premium","Mainstream"))</f>
        <v/>
      </c>
      <c r="C98" s="1" t="inlineStr">
        <is>
          <t>Premium</t>
        </is>
      </c>
      <c r="D98" s="1" t="inlineStr">
        <is>
          <t>i7 OS 6GB Graphics Office</t>
        </is>
      </c>
      <c r="E98" s="1" t="inlineStr">
        <is>
          <t>Gaming</t>
        </is>
      </c>
      <c r="F98" s="1" t="inlineStr">
        <is>
          <t>Legion S7</t>
        </is>
      </c>
      <c r="G98" s="1" t="inlineStr">
        <is>
          <t>Legion S7 16IAH7</t>
        </is>
      </c>
      <c r="H98" s="1" t="inlineStr">
        <is>
          <t>i7</t>
        </is>
      </c>
      <c r="I98" s="1" t="inlineStr">
        <is>
          <t>12th Gen</t>
        </is>
      </c>
      <c r="J98" s="1" t="inlineStr">
        <is>
          <t>i7-12700H</t>
        </is>
      </c>
      <c r="K98" s="1" t="inlineStr">
        <is>
          <t>16GB</t>
        </is>
      </c>
      <c r="L98" s="1" t="inlineStr">
        <is>
          <t>1TB SSD</t>
        </is>
      </c>
      <c r="M98" s="1" t="inlineStr">
        <is>
          <t>Windows 11</t>
        </is>
      </c>
      <c r="N98" s="1" t="inlineStr">
        <is>
          <t>OFFICE 2021</t>
        </is>
      </c>
      <c r="O98" s="1" t="inlineStr">
        <is>
          <t>RTX 3050TI 4GB</t>
        </is>
      </c>
      <c r="P98" s="1" t="inlineStr">
        <is>
          <t>16WQXGA_AG_500N_165_N_HDR_SRGB</t>
        </is>
      </c>
      <c r="Q98" s="1" t="inlineStr">
        <is>
          <t>1 Yr. Onsite + 1Yr. LUS</t>
        </is>
      </c>
      <c r="R98" s="1" t="inlineStr">
        <is>
          <t>Full GTN</t>
        </is>
      </c>
      <c r="S98" s="1" t="n">
        <v>2457</v>
      </c>
      <c r="T98" s="2">
        <f>U98*0.98*0.965</f>
        <v/>
      </c>
      <c r="U98" s="13" t="n">
        <v>129652.5423728814</v>
      </c>
      <c r="V98" s="13" t="n">
        <v>0</v>
      </c>
      <c r="W98" s="13" t="n">
        <v>0</v>
      </c>
      <c r="X98" s="13" t="n"/>
      <c r="Y98" s="2">
        <f>(U98*0.88-S98-V98-W98-X98)*1.18/0.92</f>
        <v/>
      </c>
      <c r="Z98" s="1" t="n">
        <v>143990</v>
      </c>
      <c r="AA98" s="5" t="n"/>
      <c r="AB98" s="5" t="n"/>
      <c r="AC98" s="14" t="n">
        <v>0</v>
      </c>
      <c r="AD98" s="5" t="n">
        <v>0</v>
      </c>
      <c r="AE98" s="5" t="n"/>
      <c r="AF98" s="5">
        <f>W98+X98</f>
        <v/>
      </c>
      <c r="AG98" s="5" t="n"/>
      <c r="AH98" s="13" t="n">
        <v>0</v>
      </c>
      <c r="AI98" s="13" t="n"/>
      <c r="AJ98" s="5" t="n"/>
      <c r="AL98" s="5" t="n"/>
      <c r="AM98" s="5" t="n">
        <v>143186.8913043478</v>
      </c>
      <c r="AN98" s="5">
        <f>Y98-AM98</f>
        <v/>
      </c>
      <c r="AO98" s="5" t="n"/>
      <c r="AP98" s="5">
        <f>U98-AL98</f>
        <v/>
      </c>
      <c r="AQ98" s="20" t="n">
        <v>0</v>
      </c>
      <c r="AR98" s="20" t="n"/>
      <c r="AT98" s="3" t="n">
        <v>0</v>
      </c>
      <c r="AV98" s="5">
        <f>ROUNDUP((AT98/8)*80,0)</f>
        <v/>
      </c>
      <c r="AX98" s="38">
        <f>AV98*W98</f>
        <v/>
      </c>
      <c r="BA98" s="3" t="n">
        <v>0</v>
      </c>
      <c r="BB98" s="3" t="n">
        <v>0</v>
      </c>
      <c r="BC98" s="3" t="n">
        <v>0</v>
      </c>
      <c r="BD98" s="3">
        <f>BC98+BB98+BA98</f>
        <v/>
      </c>
      <c r="BE98" s="3" t="n">
        <v>0</v>
      </c>
      <c r="BF98" s="3" t="n">
        <v>0</v>
      </c>
      <c r="BH98" s="3">
        <f>ROUNDUP(BD98*1.85,0)</f>
        <v/>
      </c>
      <c r="BJ98" s="38">
        <f>BH98*V98</f>
        <v/>
      </c>
      <c r="BL98" s="3">
        <f>U98*1.18</f>
        <v/>
      </c>
    </row>
    <row r="99">
      <c r="A99" s="1" t="inlineStr">
        <is>
          <t>82RF00MGIN</t>
        </is>
      </c>
      <c r="B99" s="1">
        <f>IF(BL99&lt;40000,"Entry",IF(BL99&gt;65000,"Premium","Mainstream"))</f>
        <v/>
      </c>
      <c r="C99" s="1" t="inlineStr">
        <is>
          <t>Premium</t>
        </is>
      </c>
      <c r="D99" s="1" t="inlineStr">
        <is>
          <t>i7 OS 6GB Graphics Office</t>
        </is>
      </c>
      <c r="E99" s="1" t="inlineStr">
        <is>
          <t>Gaming</t>
        </is>
      </c>
      <c r="F99" s="1" t="inlineStr">
        <is>
          <t>Legion 5 Pro</t>
        </is>
      </c>
      <c r="G99" s="1" t="inlineStr">
        <is>
          <t>Legion 5 Pro 16IAH7H</t>
        </is>
      </c>
      <c r="H99" s="1" t="inlineStr">
        <is>
          <t>i7</t>
        </is>
      </c>
      <c r="I99" s="1" t="inlineStr">
        <is>
          <t>12th Gen</t>
        </is>
      </c>
      <c r="J99" s="1" t="inlineStr">
        <is>
          <t>i7-12700H</t>
        </is>
      </c>
      <c r="K99" s="1" t="inlineStr">
        <is>
          <t>16GB</t>
        </is>
      </c>
      <c r="L99" s="1" t="inlineStr">
        <is>
          <t>1TB SSD</t>
        </is>
      </c>
      <c r="M99" s="1" t="inlineStr">
        <is>
          <t>Windows 11</t>
        </is>
      </c>
      <c r="N99" s="1" t="inlineStr">
        <is>
          <t>Office 2021</t>
        </is>
      </c>
      <c r="O99" s="1" t="inlineStr">
        <is>
          <t>RTX 3060 6GB</t>
        </is>
      </c>
      <c r="P99" s="1" t="inlineStr">
        <is>
          <t>16WUXGA_AG_300N_165_N</t>
        </is>
      </c>
      <c r="Q99" s="1" t="inlineStr">
        <is>
          <t>3 Yr Warranty + 3 Yr LUS + 1 Yr ADP</t>
        </is>
      </c>
      <c r="R99" s="1" t="inlineStr">
        <is>
          <t>Full GTN</t>
        </is>
      </c>
      <c r="S99" s="1" t="n">
        <v>2457</v>
      </c>
      <c r="T99" s="2">
        <f>U99*0.98*0.965</f>
        <v/>
      </c>
      <c r="U99" s="13" t="n">
        <v>141516.9491525424</v>
      </c>
      <c r="V99" s="13" t="n">
        <v>25423.5610577905</v>
      </c>
      <c r="W99" s="13" t="n">
        <v>0</v>
      </c>
      <c r="X99" s="13" t="n"/>
      <c r="Y99" s="2">
        <f>(U99*0.88-S99-V99-W99-X99)*1.18/0.92</f>
        <v/>
      </c>
      <c r="Z99" s="1" t="n">
        <v>124990</v>
      </c>
      <c r="AA99" s="5" t="n"/>
      <c r="AB99" s="5" t="n"/>
      <c r="AC99" s="14" t="n">
        <v>0</v>
      </c>
      <c r="AD99" s="5" t="n">
        <v>0</v>
      </c>
      <c r="AE99" s="5" t="n"/>
      <c r="AF99" s="5">
        <f>W99+X99</f>
        <v/>
      </c>
      <c r="AG99" s="5" t="n"/>
      <c r="AH99" s="13" t="n">
        <v>25423.5610577905</v>
      </c>
      <c r="AI99" s="13" t="n"/>
      <c r="AJ99" s="5" t="n"/>
      <c r="AL99" s="5" t="n"/>
      <c r="AM99" s="5" t="n">
        <v>123969.7151650078</v>
      </c>
      <c r="AN99" s="5">
        <f>Y99-AM99</f>
        <v/>
      </c>
      <c r="AO99" s="5" t="n"/>
      <c r="AP99" s="5">
        <f>U99-AL99</f>
        <v/>
      </c>
      <c r="AQ99" s="20" t="n">
        <v>25423.5610577905</v>
      </c>
      <c r="AR99" s="20" t="n"/>
      <c r="AT99" s="3" t="n">
        <v>0</v>
      </c>
      <c r="AV99" s="5">
        <f>ROUNDUP((AT99/8)*80,0)</f>
        <v/>
      </c>
      <c r="AX99" s="38">
        <f>AV99*W99</f>
        <v/>
      </c>
      <c r="BA99" s="3" t="n">
        <v>0</v>
      </c>
      <c r="BB99" s="3" t="n">
        <v>0</v>
      </c>
      <c r="BC99" s="3" t="n">
        <v>0</v>
      </c>
      <c r="BD99" s="3">
        <f>BC99+BB99+BA99</f>
        <v/>
      </c>
      <c r="BE99" s="3" t="n">
        <v>0</v>
      </c>
      <c r="BF99" s="3" t="n">
        <v>0</v>
      </c>
      <c r="BH99" s="3">
        <f>ROUNDUP(BD99*1.85,0)</f>
        <v/>
      </c>
      <c r="BJ99" s="38">
        <f>BH99*V99</f>
        <v/>
      </c>
      <c r="BL99" s="3">
        <f>U99*1.18</f>
        <v/>
      </c>
    </row>
    <row r="100">
      <c r="A100" s="1" t="inlineStr">
        <is>
          <t>82Y9009KIN</t>
        </is>
      </c>
      <c r="B100" s="1">
        <f>IF(BL100&lt;40000,"Entry",IF(BL100&gt;65000,"Premium","Mainstream"))</f>
        <v/>
      </c>
      <c r="C100" s="1" t="inlineStr">
        <is>
          <t>Premium</t>
        </is>
      </c>
      <c r="D100" s="1" t="inlineStr">
        <is>
          <t>R7 OS 6GB Graphics Office</t>
        </is>
      </c>
      <c r="E100" s="1" t="inlineStr">
        <is>
          <t>Gaming</t>
        </is>
      </c>
      <c r="F100" s="1" t="inlineStr">
        <is>
          <t>Legion Slim 5</t>
        </is>
      </c>
      <c r="G100" s="1" t="inlineStr">
        <is>
          <t>Legion Slim 5 16APH8</t>
        </is>
      </c>
      <c r="H100" s="1" t="inlineStr">
        <is>
          <t>R7</t>
        </is>
      </c>
      <c r="I100" s="1" t="inlineStr">
        <is>
          <t>7XXXHS</t>
        </is>
      </c>
      <c r="J100" s="1" t="inlineStr">
        <is>
          <t>R7-7840HS</t>
        </is>
      </c>
      <c r="K100" s="1" t="inlineStr">
        <is>
          <t>16GB</t>
        </is>
      </c>
      <c r="L100" s="1" t="inlineStr">
        <is>
          <t>512GB SSD</t>
        </is>
      </c>
      <c r="M100" s="1" t="inlineStr">
        <is>
          <t>Windows 11</t>
        </is>
      </c>
      <c r="N100" s="1" t="inlineStr">
        <is>
          <t>Office 2021</t>
        </is>
      </c>
      <c r="O100" s="1" t="inlineStr">
        <is>
          <t>RTX 4050 6GB</t>
        </is>
      </c>
      <c r="P100" s="1" t="inlineStr">
        <is>
          <t>16_WQXGA_AG_300N_144_N_SRGB</t>
        </is>
      </c>
      <c r="Q100" s="1" t="inlineStr">
        <is>
          <t>1 Yr Onsite + 1 Yr LUS</t>
        </is>
      </c>
      <c r="R100" s="1" t="inlineStr">
        <is>
          <t>Full GTN</t>
        </is>
      </c>
      <c r="S100" s="1" t="n">
        <v>725</v>
      </c>
      <c r="T100" s="2">
        <f>U100*0.98*0.965</f>
        <v/>
      </c>
      <c r="U100" s="13" t="n">
        <v>101100.0577812017</v>
      </c>
      <c r="V100" s="13" t="n">
        <v>0</v>
      </c>
      <c r="W100" s="13" t="n">
        <v>0</v>
      </c>
      <c r="X100" s="13" t="n">
        <v>10284.74576271176</v>
      </c>
      <c r="Y100" s="2">
        <f>(U100*0.88-S100-V100-W100-X100)*1.18/0.92</f>
        <v/>
      </c>
      <c r="Z100" s="1" t="n">
        <v>99990</v>
      </c>
      <c r="AA100" s="5" t="n"/>
      <c r="AB100" s="5" t="n"/>
      <c r="AC100" s="14" t="n">
        <v>99990</v>
      </c>
      <c r="AD100" s="5">
        <f>(Y100-AC100)/1.18*0.92</f>
        <v/>
      </c>
      <c r="AE100" s="5" t="n"/>
      <c r="AF100" s="5">
        <f>W100+X100</f>
        <v/>
      </c>
      <c r="AG100" s="5" t="n"/>
      <c r="AH100" s="13" t="n">
        <v>0</v>
      </c>
      <c r="AI100" s="13" t="n"/>
      <c r="AJ100" s="5" t="n"/>
      <c r="AL100" s="5" t="n"/>
      <c r="AM100" s="5" t="n">
        <v>113181.3043478259</v>
      </c>
      <c r="AN100" s="5">
        <f>Y100-AM100</f>
        <v/>
      </c>
      <c r="AO100" s="5" t="n"/>
      <c r="AP100" s="5">
        <f>U100-AL100</f>
        <v/>
      </c>
      <c r="AQ100" s="20" t="n">
        <v>0</v>
      </c>
      <c r="AR100" s="20" t="n"/>
      <c r="AT100" s="3" t="n">
        <v>1</v>
      </c>
      <c r="AV100" s="5">
        <f>ROUNDUP((AT100/8)*80,0)</f>
        <v/>
      </c>
      <c r="AX100" s="38">
        <f>AV100*W100</f>
        <v/>
      </c>
      <c r="BA100" s="3" t="n">
        <v>0</v>
      </c>
      <c r="BB100" s="3" t="n">
        <v>10</v>
      </c>
      <c r="BC100" s="3" t="n">
        <v>0</v>
      </c>
      <c r="BD100" s="3">
        <f>BC100+BB100+BA100</f>
        <v/>
      </c>
      <c r="BE100" s="3" t="n">
        <v>1040</v>
      </c>
      <c r="BF100" s="3" t="n">
        <v>0</v>
      </c>
      <c r="BH100" s="3">
        <f>ROUNDUP(BD100*1.85,0)</f>
        <v/>
      </c>
      <c r="BJ100" s="38">
        <f>BH100*V100</f>
        <v/>
      </c>
      <c r="BL100" s="3">
        <f>U100*1.18</f>
        <v/>
      </c>
    </row>
    <row r="101">
      <c r="A101" s="1" t="inlineStr">
        <is>
          <t>82WM0073IN</t>
        </is>
      </c>
      <c r="B101" s="1">
        <f>IF(BL101&lt;40000,"Entry",IF(BL101&gt;65000,"Premium","Mainstream"))</f>
        <v/>
      </c>
      <c r="C101" s="1" t="inlineStr">
        <is>
          <t>Premium</t>
        </is>
      </c>
      <c r="D101" s="1" t="inlineStr">
        <is>
          <t>R7 OS 8GB Graphics Office</t>
        </is>
      </c>
      <c r="E101" s="1" t="inlineStr">
        <is>
          <t>Gaming</t>
        </is>
      </c>
      <c r="F101" s="1" t="inlineStr">
        <is>
          <t>Legion 5 Pro</t>
        </is>
      </c>
      <c r="G101" s="1" t="inlineStr">
        <is>
          <t>Legion 5 Pro 16ARX8</t>
        </is>
      </c>
      <c r="H101" s="1" t="inlineStr">
        <is>
          <t>R7</t>
        </is>
      </c>
      <c r="I101" s="1" t="inlineStr">
        <is>
          <t>7XXXHX</t>
        </is>
      </c>
      <c r="J101" s="1" t="inlineStr">
        <is>
          <t>R7 7000</t>
        </is>
      </c>
      <c r="K101" s="1" t="inlineStr">
        <is>
          <t>32GB</t>
        </is>
      </c>
      <c r="L101" s="1" t="inlineStr">
        <is>
          <t>1TB SSD</t>
        </is>
      </c>
      <c r="M101" s="1" t="inlineStr">
        <is>
          <t>Windows 11</t>
        </is>
      </c>
      <c r="N101" s="1" t="inlineStr">
        <is>
          <t>Office 2021</t>
        </is>
      </c>
      <c r="O101" s="1" t="inlineStr">
        <is>
          <t>RTX 4060 8GB</t>
        </is>
      </c>
      <c r="P101" s="1" t="inlineStr">
        <is>
          <t>16_WQXGA_AG_500N_240_HDR_SRGB</t>
        </is>
      </c>
      <c r="Q101" s="1" t="inlineStr">
        <is>
          <t>1 Yr Onsite + 1 Yr LUS</t>
        </is>
      </c>
      <c r="R101" s="39" t="inlineStr">
        <is>
          <t>Zero GTN</t>
        </is>
      </c>
      <c r="S101" s="1" t="n">
        <v>2457</v>
      </c>
      <c r="T101" s="2">
        <f>U101*0.98*0.98</f>
        <v/>
      </c>
      <c r="U101" s="13" t="n">
        <v>126262.7118644068</v>
      </c>
      <c r="V101" s="13" t="n">
        <v>0</v>
      </c>
      <c r="W101" s="13" t="n">
        <v>0</v>
      </c>
      <c r="X101" s="13" t="n"/>
      <c r="Y101" s="2">
        <f>(U101*0.98-S101-V101-W101-X101)*1.18/0.92</f>
        <v/>
      </c>
      <c r="Z101" s="1" t="n">
        <v>158990</v>
      </c>
      <c r="AA101" s="5" t="n"/>
      <c r="AB101" s="5" t="n"/>
      <c r="AC101" s="14" t="n">
        <v>158990</v>
      </c>
      <c r="AD101" s="5" t="n">
        <v>0</v>
      </c>
      <c r="AE101" s="5" t="n"/>
      <c r="AF101" s="5">
        <f>W101+X101</f>
        <v/>
      </c>
      <c r="AG101" s="5" t="n"/>
      <c r="AH101" s="13" t="n">
        <v>0</v>
      </c>
      <c r="AI101" s="13" t="n"/>
      <c r="AJ101" s="5" t="n"/>
      <c r="AL101" s="5" t="n"/>
      <c r="AM101" s="5" t="n">
        <v>155555.3695652173</v>
      </c>
      <c r="AN101" s="5">
        <f>Y101-AM101</f>
        <v/>
      </c>
      <c r="AO101" s="5" t="n"/>
      <c r="AP101" s="5">
        <f>U101-AL101</f>
        <v/>
      </c>
      <c r="AQ101" s="20" t="n">
        <v>0</v>
      </c>
      <c r="AR101" s="20" t="n"/>
      <c r="AT101" s="3" t="n">
        <v>0</v>
      </c>
      <c r="AV101" s="5">
        <f>ROUNDUP((AT101/8)*80,0)</f>
        <v/>
      </c>
      <c r="AX101" s="38">
        <f>AV101*W101</f>
        <v/>
      </c>
      <c r="BA101" s="3" t="n">
        <v>0</v>
      </c>
      <c r="BB101" s="3" t="n">
        <v>0</v>
      </c>
      <c r="BC101" s="3" t="n">
        <v>0</v>
      </c>
      <c r="BD101" s="3">
        <f>BC101+BB101+BA101</f>
        <v/>
      </c>
      <c r="BE101" s="3" t="n">
        <v>0</v>
      </c>
      <c r="BF101" s="3" t="n">
        <v>0</v>
      </c>
      <c r="BH101" s="3">
        <f>ROUNDUP(BD101*1.85,0)</f>
        <v/>
      </c>
      <c r="BJ101" s="38">
        <f>BH101*V101</f>
        <v/>
      </c>
      <c r="BL101" s="3">
        <f>U101*1.18</f>
        <v/>
      </c>
    </row>
    <row r="102">
      <c r="A102" s="1" t="inlineStr">
        <is>
          <t>82JK00BEIN</t>
        </is>
      </c>
      <c r="B102" s="1">
        <f>IF(BL102&lt;40000,"Entry",IF(BL102&gt;65000,"Premium","Mainstream"))</f>
        <v/>
      </c>
      <c r="C102" s="1" t="inlineStr">
        <is>
          <t>Premium</t>
        </is>
      </c>
      <c r="D102" s="1" t="inlineStr">
        <is>
          <t>i7 OS 4GB Graphics Office</t>
        </is>
      </c>
      <c r="E102" s="1" t="inlineStr">
        <is>
          <t>Gaming</t>
        </is>
      </c>
      <c r="F102" s="1" t="inlineStr">
        <is>
          <t>Legion 5</t>
        </is>
      </c>
      <c r="G102" s="1" t="inlineStr">
        <is>
          <t>Legion 5 15ITH6</t>
        </is>
      </c>
      <c r="H102" s="1" t="inlineStr">
        <is>
          <t>i7</t>
        </is>
      </c>
      <c r="I102" s="1" t="inlineStr">
        <is>
          <t>11th Gen</t>
        </is>
      </c>
      <c r="J102" s="1" t="inlineStr">
        <is>
          <t>i7-11800H</t>
        </is>
      </c>
      <c r="K102" s="1" t="inlineStr">
        <is>
          <t>16GB</t>
        </is>
      </c>
      <c r="L102" s="1" t="inlineStr">
        <is>
          <t>512GB SSD</t>
        </is>
      </c>
      <c r="M102" s="1" t="inlineStr">
        <is>
          <t>Win11</t>
        </is>
      </c>
      <c r="N102" s="1" t="inlineStr">
        <is>
          <t>OFFICE 2021</t>
        </is>
      </c>
      <c r="O102" s="1" t="inlineStr">
        <is>
          <t>RTX 3050 4GB</t>
        </is>
      </c>
      <c r="P102" s="1" t="inlineStr">
        <is>
          <t>15.6FHD_AG_250N_120_N</t>
        </is>
      </c>
      <c r="Q102" s="1" t="inlineStr">
        <is>
          <t>1 Yr Onsite + 1 Yr LUS + 1 Yr ADP</t>
        </is>
      </c>
      <c r="R102" s="1" t="inlineStr">
        <is>
          <t>Full GTN</t>
        </is>
      </c>
      <c r="S102" s="1" t="n">
        <v>2457</v>
      </c>
      <c r="T102" s="2">
        <f>U102*0.98*0.965</f>
        <v/>
      </c>
      <c r="U102" s="13" t="n">
        <v>101686.4406779661</v>
      </c>
      <c r="V102" s="13" t="n">
        <v>0</v>
      </c>
      <c r="W102" s="13" t="n">
        <v>20763.67796610171</v>
      </c>
      <c r="X102" s="13" t="n"/>
      <c r="Y102" s="2">
        <f>(U102*0.88-S102-V102-W102-X102)*1.18/0.92</f>
        <v/>
      </c>
      <c r="Z102" s="1" t="n">
        <v>84990</v>
      </c>
      <c r="AA102" s="5" t="n"/>
      <c r="AB102" s="5" t="n"/>
      <c r="AC102" s="14" t="n">
        <v>84990</v>
      </c>
      <c r="AD102" s="5">
        <f>(Y102-AC102)/1.18*0.92</f>
        <v/>
      </c>
      <c r="AE102" s="5" t="n"/>
      <c r="AF102" s="5">
        <f>W102+X102</f>
        <v/>
      </c>
      <c r="AG102" s="5" t="n"/>
      <c r="AH102" s="13" t="n">
        <v>0</v>
      </c>
      <c r="AI102" s="13" t="n">
        <v>20763.67796610171</v>
      </c>
      <c r="AJ102" s="5" t="n"/>
      <c r="AL102" s="5" t="n"/>
      <c r="AM102" s="5" t="n">
        <v>84989.99999999999</v>
      </c>
      <c r="AN102" s="5">
        <f>Y102-AM102</f>
        <v/>
      </c>
      <c r="AO102" s="5" t="n"/>
      <c r="AP102" s="5">
        <f>U102-AL102</f>
        <v/>
      </c>
      <c r="AQ102" s="20" t="n">
        <v>0</v>
      </c>
      <c r="AR102" s="20" t="n">
        <v>20763.67796610171</v>
      </c>
      <c r="AT102" s="3" t="n">
        <v>0</v>
      </c>
      <c r="AV102" s="5">
        <f>ROUNDUP((AT102/8)*80,0)</f>
        <v/>
      </c>
      <c r="AX102" s="38">
        <f>AV102*W102</f>
        <v/>
      </c>
      <c r="BA102" s="3" t="n">
        <v>0</v>
      </c>
      <c r="BB102" s="3" t="n">
        <v>0</v>
      </c>
      <c r="BC102" s="3" t="n">
        <v>0</v>
      </c>
      <c r="BD102" s="3">
        <f>BC102+BB102+BA102</f>
        <v/>
      </c>
      <c r="BE102" s="3" t="n">
        <v>111</v>
      </c>
      <c r="BF102" s="3" t="n">
        <v>1</v>
      </c>
      <c r="BH102" s="3">
        <f>ROUNDUP(BD102*1.85,0)</f>
        <v/>
      </c>
      <c r="BJ102" s="38">
        <f>BH102*V102</f>
        <v/>
      </c>
      <c r="BL102" s="3">
        <f>U102*1.18</f>
        <v/>
      </c>
    </row>
    <row r="103">
      <c r="A103" s="1" t="inlineStr">
        <is>
          <t>82JK007XIN</t>
        </is>
      </c>
      <c r="B103" s="1">
        <f>IF(BL103&lt;40000,"Entry",IF(BL103&gt;65000,"Premium","Mainstream"))</f>
        <v/>
      </c>
      <c r="C103" s="1" t="inlineStr">
        <is>
          <t>Premium</t>
        </is>
      </c>
      <c r="D103" s="1" t="inlineStr">
        <is>
          <t>i7 OS 4GB Graphics Office</t>
        </is>
      </c>
      <c r="E103" s="1" t="inlineStr">
        <is>
          <t>Gaming</t>
        </is>
      </c>
      <c r="F103" s="1" t="inlineStr">
        <is>
          <t>Legion 5</t>
        </is>
      </c>
      <c r="G103" s="1" t="inlineStr">
        <is>
          <t>Legion 5 15ITH6</t>
        </is>
      </c>
      <c r="H103" s="1" t="inlineStr">
        <is>
          <t>i7</t>
        </is>
      </c>
      <c r="I103" s="1" t="inlineStr">
        <is>
          <t>11th Gen</t>
        </is>
      </c>
      <c r="J103" s="1" t="inlineStr">
        <is>
          <t>Intel Core i7-11800H</t>
        </is>
      </c>
      <c r="K103" s="1" t="inlineStr">
        <is>
          <t>16GB</t>
        </is>
      </c>
      <c r="L103" s="1" t="inlineStr">
        <is>
          <t>512GB SSD</t>
        </is>
      </c>
      <c r="M103" s="1" t="inlineStr">
        <is>
          <t>Win10</t>
        </is>
      </c>
      <c r="N103" s="1" t="inlineStr">
        <is>
          <t>Office 2019</t>
        </is>
      </c>
      <c r="O103" s="1" t="inlineStr">
        <is>
          <t>RTX 3050TI 4GB</t>
        </is>
      </c>
      <c r="P103" s="1" t="inlineStr">
        <is>
          <t>15.6FHD_AG_250N_120_N</t>
        </is>
      </c>
      <c r="Q103" s="1" t="inlineStr">
        <is>
          <t>1 Yr Onsite + 1 Yr LUS + 1 Yr ADP</t>
        </is>
      </c>
      <c r="R103" s="7" t="inlineStr">
        <is>
          <t>Full GTN</t>
        </is>
      </c>
      <c r="S103" s="1" t="n">
        <v>2457</v>
      </c>
      <c r="T103" s="2">
        <f>U103*0.98*0.965</f>
        <v/>
      </c>
      <c r="U103" s="13" t="n">
        <v>105923.7288135593</v>
      </c>
      <c r="V103" s="13" t="n">
        <v>0</v>
      </c>
      <c r="W103" s="13" t="n">
        <v>0</v>
      </c>
      <c r="X103" s="13" t="n"/>
      <c r="Y103" s="2">
        <f>(U103*0.88-S103-V103-W103-X103)*1.18/0.92</f>
        <v/>
      </c>
      <c r="Z103" s="1" t="n">
        <v>122990</v>
      </c>
      <c r="AA103" s="5" t="n"/>
      <c r="AB103" s="5" t="n"/>
      <c r="AC103" s="14" t="n">
        <v>0</v>
      </c>
      <c r="AD103" s="5" t="n">
        <v>0</v>
      </c>
      <c r="AE103" s="5" t="n"/>
      <c r="AF103" s="5">
        <f>W103+X103</f>
        <v/>
      </c>
      <c r="AG103" s="5" t="n"/>
      <c r="AH103" s="13" t="n">
        <v>0</v>
      </c>
      <c r="AI103" s="13" t="n"/>
      <c r="AJ103" s="5" t="n"/>
      <c r="AL103" s="5" t="n"/>
      <c r="AM103" s="5" t="n">
        <v>116404.2826086956</v>
      </c>
      <c r="AN103" s="5">
        <f>Y103-AM103</f>
        <v/>
      </c>
      <c r="AO103" s="5" t="n"/>
      <c r="AP103" s="5">
        <f>U103-AL103</f>
        <v/>
      </c>
      <c r="AQ103" s="20" t="n">
        <v>0</v>
      </c>
      <c r="AR103" s="20" t="n"/>
      <c r="AT103" s="3" t="n">
        <v>0</v>
      </c>
      <c r="AV103" s="5">
        <f>ROUNDUP((AT103/8)*80,0)</f>
        <v/>
      </c>
      <c r="AX103" s="38">
        <f>AV103*W103</f>
        <v/>
      </c>
      <c r="BA103" s="3" t="n">
        <v>0</v>
      </c>
      <c r="BB103" s="3" t="n">
        <v>0</v>
      </c>
      <c r="BC103" s="3" t="n">
        <v>0</v>
      </c>
      <c r="BD103" s="3">
        <f>BC103+BB103+BA103</f>
        <v/>
      </c>
      <c r="BE103" s="3" t="n">
        <v>5</v>
      </c>
      <c r="BF103" s="3" t="n">
        <v>0</v>
      </c>
      <c r="BH103" s="3">
        <f>ROUNDUP(BD103*1.85,0)</f>
        <v/>
      </c>
      <c r="BJ103" s="38">
        <f>BH103*V103</f>
        <v/>
      </c>
      <c r="BL103" s="3">
        <f>U103*1.18</f>
        <v/>
      </c>
    </row>
    <row r="104">
      <c r="A104" s="1" t="inlineStr">
        <is>
          <t>82JD00CFIN</t>
        </is>
      </c>
      <c r="B104" s="1">
        <f>IF(BL104&lt;40000,"Entry",IF(BL104&gt;65000,"Premium","Mainstream"))</f>
        <v/>
      </c>
      <c r="C104" s="1" t="inlineStr">
        <is>
          <t>Premium</t>
        </is>
      </c>
      <c r="D104" s="1" t="inlineStr">
        <is>
          <t>i7 OS 8GB Graphics Office</t>
        </is>
      </c>
      <c r="E104" s="1" t="inlineStr">
        <is>
          <t>Gaming</t>
        </is>
      </c>
      <c r="F104" s="1" t="inlineStr">
        <is>
          <t>Legion 5 Pro</t>
        </is>
      </c>
      <c r="G104" s="1" t="inlineStr">
        <is>
          <t>Legion 5 Pro 16ITH6H</t>
        </is>
      </c>
      <c r="H104" s="1" t="inlineStr">
        <is>
          <t>i7</t>
        </is>
      </c>
      <c r="I104" s="1" t="inlineStr">
        <is>
          <t>11th Gen</t>
        </is>
      </c>
      <c r="J104" s="1" t="inlineStr">
        <is>
          <t>Ci7-11800H</t>
        </is>
      </c>
      <c r="K104" s="1" t="inlineStr">
        <is>
          <t>32GB</t>
        </is>
      </c>
      <c r="L104" s="1" t="inlineStr">
        <is>
          <t>1TB SSD</t>
        </is>
      </c>
      <c r="M104" s="1" t="inlineStr">
        <is>
          <t>Win11</t>
        </is>
      </c>
      <c r="N104" s="1" t="inlineStr">
        <is>
          <t>Office 2021</t>
        </is>
      </c>
      <c r="O104" s="1" t="inlineStr">
        <is>
          <t>RTX 3070 8GB</t>
        </is>
      </c>
      <c r="P104" s="1" t="inlineStr">
        <is>
          <t>16WQXGA_AG_500N_165_N_HDR_SRGB</t>
        </is>
      </c>
      <c r="Q104" s="1" t="inlineStr">
        <is>
          <t>3 Yr Warranty + 1 Yr LUS + 1 Yr ADP</t>
        </is>
      </c>
      <c r="R104" s="7" t="inlineStr">
        <is>
          <t>Full GTN</t>
        </is>
      </c>
      <c r="S104" s="1" t="n">
        <v>2457</v>
      </c>
      <c r="T104" s="2">
        <f>U104*0.98*0.965</f>
        <v/>
      </c>
      <c r="U104" s="13" t="n">
        <v>161008.4745762712</v>
      </c>
      <c r="V104" s="13" t="n">
        <v>0</v>
      </c>
      <c r="W104" s="13" t="n">
        <v>0</v>
      </c>
      <c r="X104" s="13" t="n"/>
      <c r="Y104" s="2">
        <f>(U104*0.88-S104-V104-W104-X104)*1.18/0.92</f>
        <v/>
      </c>
      <c r="Z104" s="1" t="n">
        <v>178990</v>
      </c>
      <c r="AA104" s="5" t="n"/>
      <c r="AB104" s="5" t="n"/>
      <c r="AC104" s="14" t="n">
        <v>0</v>
      </c>
      <c r="AD104" s="5" t="n">
        <v>0</v>
      </c>
      <c r="AE104" s="5" t="n"/>
      <c r="AF104" s="5">
        <f>W104+X104</f>
        <v/>
      </c>
      <c r="AG104" s="5" t="n"/>
      <c r="AH104" s="13" t="n">
        <v>0</v>
      </c>
      <c r="AI104" s="13" t="n"/>
      <c r="AJ104" s="5" t="n"/>
      <c r="AL104" s="5" t="n"/>
      <c r="AM104" s="5" t="n">
        <v>178578.1956521739</v>
      </c>
      <c r="AN104" s="5">
        <f>Y104-AM104</f>
        <v/>
      </c>
      <c r="AO104" s="5" t="n"/>
      <c r="AP104" s="5">
        <f>U104-AL104</f>
        <v/>
      </c>
      <c r="AQ104" s="20" t="n">
        <v>0</v>
      </c>
      <c r="AR104" s="20" t="n"/>
      <c r="AT104" s="3" t="n">
        <v>0</v>
      </c>
      <c r="AV104" s="5">
        <f>ROUNDUP((AT104/8)*80,0)</f>
        <v/>
      </c>
      <c r="AX104" s="38">
        <f>AV104*W104</f>
        <v/>
      </c>
      <c r="BA104" s="3" t="n">
        <v>0</v>
      </c>
      <c r="BB104" s="3" t="n">
        <v>0</v>
      </c>
      <c r="BC104" s="3" t="n">
        <v>0</v>
      </c>
      <c r="BD104" s="3">
        <f>BC104+BB104+BA104</f>
        <v/>
      </c>
      <c r="BE104" s="3" t="n">
        <v>0</v>
      </c>
      <c r="BF104" s="3" t="n">
        <v>0</v>
      </c>
      <c r="BH104" s="3">
        <f>ROUNDUP(BD104*1.85,0)</f>
        <v/>
      </c>
      <c r="BJ104" s="38">
        <f>BH104*V104</f>
        <v/>
      </c>
      <c r="BL104" s="3">
        <f>U104*1.18</f>
        <v/>
      </c>
    </row>
    <row r="105">
      <c r="A105" s="1" t="inlineStr">
        <is>
          <t>82XT004HIN</t>
        </is>
      </c>
      <c r="B105" s="1">
        <f>IF(BL105&lt;40000,"Entry",IF(BL105&gt;65000,"Premium","Mainstream"))</f>
        <v/>
      </c>
      <c r="C105" s="1" t="inlineStr">
        <is>
          <t>Premium</t>
        </is>
      </c>
      <c r="D105" s="1" t="inlineStr">
        <is>
          <t>R7 OS 6GB Graphics Office</t>
        </is>
      </c>
      <c r="E105" s="1" t="inlineStr">
        <is>
          <t>Gaming</t>
        </is>
      </c>
      <c r="F105" s="1" t="inlineStr">
        <is>
          <t>LOQ</t>
        </is>
      </c>
      <c r="G105" s="1" t="inlineStr">
        <is>
          <t>LOQ 15APH8</t>
        </is>
      </c>
      <c r="H105" s="1" t="inlineStr">
        <is>
          <t>R7</t>
        </is>
      </c>
      <c r="I105" s="1" t="inlineStr">
        <is>
          <t>7xxxHS</t>
        </is>
      </c>
      <c r="J105" s="1" t="inlineStr">
        <is>
          <t>R7-7840HS</t>
        </is>
      </c>
      <c r="K105" s="1" t="inlineStr">
        <is>
          <t>16GB</t>
        </is>
      </c>
      <c r="L105" s="1" t="inlineStr">
        <is>
          <t>512GB SSD</t>
        </is>
      </c>
      <c r="M105" s="1" t="inlineStr">
        <is>
          <t>Windows 11</t>
        </is>
      </c>
      <c r="N105" s="1" t="inlineStr">
        <is>
          <t xml:space="preserve">OFFICE H&amp;S 2021  </t>
        </is>
      </c>
      <c r="O105" s="1" t="inlineStr">
        <is>
          <t>RTX 3050 6GB</t>
        </is>
      </c>
      <c r="P105" s="1" t="inlineStr">
        <is>
          <t>15.6FHD_AG_350N_144_N</t>
        </is>
      </c>
      <c r="Q105" s="1" t="inlineStr">
        <is>
          <t>1 Year Onsite</t>
        </is>
      </c>
      <c r="R105" s="1" t="inlineStr">
        <is>
          <t>Zero GTN</t>
        </is>
      </c>
      <c r="S105" s="1" t="n">
        <v>725</v>
      </c>
      <c r="T105" s="2">
        <f>U105*0.98*0.98</f>
        <v/>
      </c>
      <c r="U105" s="13" t="n">
        <v>71347.45762711865</v>
      </c>
      <c r="V105" s="13" t="n">
        <v>0</v>
      </c>
      <c r="W105" s="13" t="n">
        <v>6830.5</v>
      </c>
      <c r="X105" s="13" t="n">
        <v>1559.245762711851</v>
      </c>
      <c r="Y105" s="2">
        <f>(U105*0.98-S105-V105-W105-X105)*1.18/0.92</f>
        <v/>
      </c>
      <c r="Z105" s="1" t="n">
        <v>77990</v>
      </c>
      <c r="AA105" s="5" t="n"/>
      <c r="AB105" s="5" t="n"/>
      <c r="AC105" s="14" t="n">
        <v>77990</v>
      </c>
      <c r="AD105" s="5">
        <f>(Y105-AC105)/1.18*0.92</f>
        <v/>
      </c>
      <c r="AE105" s="5" t="n"/>
      <c r="AF105" s="5">
        <f>W105+X105</f>
        <v/>
      </c>
      <c r="AG105" s="5" t="n"/>
      <c r="AH105" s="13" t="n">
        <v>0</v>
      </c>
      <c r="AI105" s="13">
        <f>2152+4678.5</f>
        <v/>
      </c>
      <c r="AJ105" s="5" t="n"/>
      <c r="AL105" s="5" t="n"/>
      <c r="AM105" s="5" t="n">
        <v>79989.90217391303</v>
      </c>
      <c r="AN105" s="5">
        <f>Y105-AM105</f>
        <v/>
      </c>
      <c r="AO105" s="5" t="n"/>
      <c r="AP105" s="5">
        <f>U105-AL105</f>
        <v/>
      </c>
      <c r="AQ105" s="20" t="n">
        <v>0</v>
      </c>
      <c r="AR105" s="20" t="n">
        <v>6830.5</v>
      </c>
      <c r="AT105" s="3" t="n">
        <v>6</v>
      </c>
      <c r="AV105" s="5">
        <f>ROUNDUP((AT105/8)*80,0)</f>
        <v/>
      </c>
      <c r="AX105" s="38">
        <f>AV105*W105</f>
        <v/>
      </c>
      <c r="BA105" s="3" t="n">
        <v>0</v>
      </c>
      <c r="BB105" s="3" t="n">
        <v>-1</v>
      </c>
      <c r="BC105" s="3" t="n">
        <v>0</v>
      </c>
      <c r="BD105" s="3">
        <f>BC105+BB105+BA105</f>
        <v/>
      </c>
      <c r="BE105" s="3" t="n">
        <v>791</v>
      </c>
      <c r="BF105" s="3" t="n">
        <v>1</v>
      </c>
      <c r="BH105" s="3">
        <f>ROUNDUP(BD105*1.85,0)</f>
        <v/>
      </c>
      <c r="BJ105" s="38">
        <f>BH105*V105</f>
        <v/>
      </c>
      <c r="BL105" s="3">
        <f>U105*1.18</f>
        <v/>
      </c>
    </row>
    <row r="106">
      <c r="A106" s="1" t="inlineStr">
        <is>
          <t>82WK00E2IN</t>
        </is>
      </c>
      <c r="B106" s="1">
        <f>IF(BL106&lt;40000,"Entry",IF(BL106&gt;65000,"Premium","Mainstream"))</f>
        <v/>
      </c>
      <c r="C106" s="1" t="inlineStr">
        <is>
          <t>Premium</t>
        </is>
      </c>
      <c r="D106" s="1" t="inlineStr">
        <is>
          <t>i7 OS 8GB Graphics Office</t>
        </is>
      </c>
      <c r="E106" s="1" t="inlineStr">
        <is>
          <t>Gaming</t>
        </is>
      </c>
      <c r="F106" s="1" t="inlineStr">
        <is>
          <t>Legion 5 Pro</t>
        </is>
      </c>
      <c r="G106" s="1" t="inlineStr">
        <is>
          <t>Legion 5 Pro 16IRX8</t>
        </is>
      </c>
      <c r="H106" s="1" t="inlineStr">
        <is>
          <t>i7</t>
        </is>
      </c>
      <c r="I106" s="1" t="inlineStr">
        <is>
          <t>13th gen</t>
        </is>
      </c>
      <c r="J106" s="1" t="inlineStr">
        <is>
          <t>i7-13700HX</t>
        </is>
      </c>
      <c r="K106" s="1" t="inlineStr">
        <is>
          <t>16GB</t>
        </is>
      </c>
      <c r="L106" s="1" t="inlineStr">
        <is>
          <t>1TB SSD</t>
        </is>
      </c>
      <c r="M106" s="1" t="inlineStr">
        <is>
          <t>Windows 11</t>
        </is>
      </c>
      <c r="N106" s="1" t="inlineStr">
        <is>
          <t>Office 2021</t>
        </is>
      </c>
      <c r="O106" s="1" t="inlineStr">
        <is>
          <t>RTX 4060 8GB</t>
        </is>
      </c>
      <c r="P106" s="1" t="inlineStr">
        <is>
          <t>16_WQXGA_AG_500N_240_HDR_SRGB</t>
        </is>
      </c>
      <c r="Q106" s="1" t="inlineStr">
        <is>
          <t>1 Yr Onsite + 1 Yr LUS</t>
        </is>
      </c>
      <c r="R106" s="39" t="inlineStr">
        <is>
          <t>Zero GTN</t>
        </is>
      </c>
      <c r="S106" s="1" t="n">
        <v>2457</v>
      </c>
      <c r="T106" s="2">
        <f>U106*0.98*0.98</f>
        <v/>
      </c>
      <c r="U106" s="13" t="n">
        <v>121177.9661016949</v>
      </c>
      <c r="V106" s="13" t="n">
        <v>0</v>
      </c>
      <c r="W106" s="13" t="n">
        <v>0</v>
      </c>
      <c r="X106" s="13" t="n"/>
      <c r="Y106" s="2">
        <f>(U106*0.98-S106-V106-W106-X106)*1.18/0.92</f>
        <v/>
      </c>
      <c r="Z106" s="1" t="n">
        <v>152990</v>
      </c>
      <c r="AA106" s="5" t="n"/>
      <c r="AB106" s="5" t="n"/>
      <c r="AC106" s="14" t="n">
        <v>0</v>
      </c>
      <c r="AD106" s="5" t="n">
        <v>0</v>
      </c>
      <c r="AE106" s="5" t="n"/>
      <c r="AF106" s="5">
        <f>W106+X106</f>
        <v/>
      </c>
      <c r="AG106" s="5" t="n"/>
      <c r="AH106" s="13" t="n">
        <v>0</v>
      </c>
      <c r="AI106" s="13" t="n"/>
      <c r="AJ106" s="5" t="n"/>
      <c r="AL106" s="5" t="n"/>
      <c r="AM106" s="5" t="n">
        <v>149164.0652173913</v>
      </c>
      <c r="AN106" s="5">
        <f>Y106-AM106</f>
        <v/>
      </c>
      <c r="AO106" s="5" t="n"/>
      <c r="AP106" s="5">
        <f>U106-AL106</f>
        <v/>
      </c>
      <c r="AQ106" s="20" t="n">
        <v>0</v>
      </c>
      <c r="AR106" s="20" t="n"/>
      <c r="AT106" s="3" t="n">
        <v>0</v>
      </c>
      <c r="AV106" s="5">
        <f>ROUNDUP((AT106/8)*80,0)</f>
        <v/>
      </c>
      <c r="AX106" s="38">
        <f>AV106*W106</f>
        <v/>
      </c>
      <c r="BA106" s="3" t="n">
        <v>0</v>
      </c>
      <c r="BB106" s="3" t="n">
        <v>0</v>
      </c>
      <c r="BC106" s="3" t="n">
        <v>0</v>
      </c>
      <c r="BD106" s="3">
        <f>BC106+BB106+BA106</f>
        <v/>
      </c>
      <c r="BE106" s="3" t="n">
        <v>0</v>
      </c>
      <c r="BF106" s="3" t="n">
        <v>0</v>
      </c>
      <c r="BH106" s="3">
        <f>ROUNDUP(BD106*1.85,0)</f>
        <v/>
      </c>
      <c r="BJ106" s="38">
        <f>BH106*V106</f>
        <v/>
      </c>
      <c r="BL106" s="3">
        <f>U106*1.18</f>
        <v/>
      </c>
    </row>
    <row r="107">
      <c r="A107" s="1" t="inlineStr">
        <is>
          <t>82Y90042IN</t>
        </is>
      </c>
      <c r="B107" s="1">
        <f>IF(BL107&lt;40000,"Entry",IF(BL107&gt;65000,"Premium","Mainstream"))</f>
        <v/>
      </c>
      <c r="C107" s="1" t="inlineStr">
        <is>
          <t>Premium</t>
        </is>
      </c>
      <c r="D107" s="1" t="inlineStr">
        <is>
          <t>R7 OS 6GB Graphics Office</t>
        </is>
      </c>
      <c r="E107" s="1" t="inlineStr">
        <is>
          <t>Gaming</t>
        </is>
      </c>
      <c r="F107" s="1" t="inlineStr">
        <is>
          <t>Legion Slim 5</t>
        </is>
      </c>
      <c r="G107" s="1" t="inlineStr">
        <is>
          <t>Legion Slim 5 16APH8</t>
        </is>
      </c>
      <c r="H107" s="1" t="inlineStr">
        <is>
          <t>R7</t>
        </is>
      </c>
      <c r="I107" s="1" t="inlineStr">
        <is>
          <t>7XXXHS</t>
        </is>
      </c>
      <c r="J107" s="1" t="inlineStr">
        <is>
          <t>R7-7840HS</t>
        </is>
      </c>
      <c r="K107" s="1" t="inlineStr">
        <is>
          <t>16GB</t>
        </is>
      </c>
      <c r="L107" s="1" t="inlineStr">
        <is>
          <t>512GB SSD</t>
        </is>
      </c>
      <c r="M107" s="1" t="inlineStr">
        <is>
          <t>Windows 11</t>
        </is>
      </c>
      <c r="N107" s="1" t="inlineStr">
        <is>
          <t>Office 2021</t>
        </is>
      </c>
      <c r="O107" s="1" t="inlineStr">
        <is>
          <t>RTX 4060 8GB</t>
        </is>
      </c>
      <c r="P107" s="1" t="inlineStr">
        <is>
          <t>16_WQXGA_AG_350N_165_N_SRGB</t>
        </is>
      </c>
      <c r="Q107" s="1" t="inlineStr">
        <is>
          <t>1 Yr Onsite + 1 Yr LUS</t>
        </is>
      </c>
      <c r="R107" s="1" t="inlineStr">
        <is>
          <t>Full GTN</t>
        </is>
      </c>
      <c r="S107" s="1" t="n">
        <v>725</v>
      </c>
      <c r="T107" s="2">
        <f>U107*0.98*0.965</f>
        <v/>
      </c>
      <c r="U107" s="13" t="n">
        <v>110161.0169491525</v>
      </c>
      <c r="V107" s="13" t="n">
        <v>0</v>
      </c>
      <c r="W107" s="13" t="n">
        <v>0</v>
      </c>
      <c r="X107" s="13" t="n">
        <v>8902.457627118634</v>
      </c>
      <c r="Y107" s="2">
        <f>(U107*0.88-S107-V107-W107-X107)*1.18/0.92</f>
        <v/>
      </c>
      <c r="Z107" s="1" t="n">
        <v>111990</v>
      </c>
      <c r="AA107" s="5" t="n"/>
      <c r="AB107" s="5" t="n"/>
      <c r="AC107" s="14" t="n">
        <v>111990</v>
      </c>
      <c r="AD107" s="5">
        <f>(Y107-AC107)/1.18*0.92</f>
        <v/>
      </c>
      <c r="AE107" s="5" t="n"/>
      <c r="AF107" s="5">
        <f>W107+X107</f>
        <v/>
      </c>
      <c r="AG107" s="5" t="n"/>
      <c r="AH107" s="13" t="n">
        <v>0</v>
      </c>
      <c r="AI107" s="13" t="n"/>
      <c r="AJ107" s="5" t="n"/>
      <c r="AL107" s="5" t="n"/>
      <c r="AM107" s="5" t="n">
        <v>123408.3695652174</v>
      </c>
      <c r="AN107" s="5">
        <f>Y107-AM107</f>
        <v/>
      </c>
      <c r="AO107" s="5" t="n"/>
      <c r="AP107" s="5">
        <f>U107-AL107</f>
        <v/>
      </c>
      <c r="AQ107" s="20" t="n">
        <v>0</v>
      </c>
      <c r="AR107" s="20" t="n"/>
      <c r="AT107" s="3" t="n">
        <v>1</v>
      </c>
      <c r="AV107" s="5">
        <f>ROUNDUP((AT107/8)*80,0)</f>
        <v/>
      </c>
      <c r="AX107" s="38">
        <f>AV107*W107</f>
        <v/>
      </c>
      <c r="BA107" s="3" t="n">
        <v>6</v>
      </c>
      <c r="BB107" s="3" t="n">
        <v>0</v>
      </c>
      <c r="BC107" s="3" t="n">
        <v>2</v>
      </c>
      <c r="BD107" s="3">
        <f>BC107+BB107+BA107</f>
        <v/>
      </c>
      <c r="BE107" s="3" t="n">
        <v>3</v>
      </c>
      <c r="BF107" s="3" t="n">
        <v>0</v>
      </c>
      <c r="BH107" s="3">
        <f>ROUNDUP(BD107*1.85,0)</f>
        <v/>
      </c>
      <c r="BJ107" s="38">
        <f>BH107*V107</f>
        <v/>
      </c>
      <c r="BL107" s="3">
        <f>U107*1.18</f>
        <v/>
      </c>
    </row>
    <row r="108">
      <c r="A108" s="1" t="inlineStr">
        <is>
          <t>82Y9009JIN</t>
        </is>
      </c>
      <c r="B108" s="1">
        <f>IF(BL108&lt;40000,"Entry",IF(BL108&gt;65000,"Premium","Mainstream"))</f>
        <v/>
      </c>
      <c r="C108" s="1" t="inlineStr">
        <is>
          <t>Premium</t>
        </is>
      </c>
      <c r="D108" s="1" t="inlineStr">
        <is>
          <t>R7 OS 8GB Graphics Office</t>
        </is>
      </c>
      <c r="E108" s="1" t="inlineStr">
        <is>
          <t>Gaming</t>
        </is>
      </c>
      <c r="F108" s="1" t="inlineStr">
        <is>
          <t>Legion Slim 5</t>
        </is>
      </c>
      <c r="G108" s="1" t="inlineStr">
        <is>
          <t>Legion Slim 5 16APH8</t>
        </is>
      </c>
      <c r="H108" s="1" t="inlineStr">
        <is>
          <t>R7</t>
        </is>
      </c>
      <c r="I108" s="1" t="inlineStr">
        <is>
          <t>7XXXHS</t>
        </is>
      </c>
      <c r="J108" s="1" t="inlineStr">
        <is>
          <t>R7-7840HS</t>
        </is>
      </c>
      <c r="K108" s="1" t="inlineStr">
        <is>
          <t>16GB</t>
        </is>
      </c>
      <c r="L108" s="1" t="inlineStr">
        <is>
          <t>1 TB SSD</t>
        </is>
      </c>
      <c r="M108" s="1" t="inlineStr">
        <is>
          <t>Windows 11</t>
        </is>
      </c>
      <c r="N108" s="1" t="inlineStr">
        <is>
          <t xml:space="preserve">OFFICE H&amp;S 2021  </t>
        </is>
      </c>
      <c r="O108" s="1" t="inlineStr">
        <is>
          <t>RTX 4060 8GB</t>
        </is>
      </c>
      <c r="P108" s="1" t="inlineStr">
        <is>
          <t>16_WQXGA_AG_350N_165_N_SRGB</t>
        </is>
      </c>
      <c r="Q108" s="1" t="inlineStr">
        <is>
          <t>1 Year Onsite + 1 year LUS</t>
        </is>
      </c>
      <c r="R108" s="1" t="inlineStr">
        <is>
          <t>Full GTN</t>
        </is>
      </c>
      <c r="S108" s="1" t="n">
        <v>725</v>
      </c>
      <c r="T108" s="2">
        <f>U108*0.98*0.965</f>
        <v/>
      </c>
      <c r="U108" s="13" t="n">
        <v>117969.9915254237</v>
      </c>
      <c r="V108" s="13" t="n">
        <v>0</v>
      </c>
      <c r="W108" s="13" t="n">
        <v>0</v>
      </c>
      <c r="X108" s="13" t="n">
        <v>12655.71118644066</v>
      </c>
      <c r="Y108" s="2">
        <f>(U108*0.88-S108-V108-W108-X108)*1.18/0.92</f>
        <v/>
      </c>
      <c r="Z108" s="1" t="n">
        <v>115990</v>
      </c>
      <c r="AA108" s="5" t="n"/>
      <c r="AB108" s="5" t="n"/>
      <c r="AC108" s="14" t="n">
        <v>115990</v>
      </c>
      <c r="AD108" s="5">
        <f>(Y108-AC108)/1.18*0.92</f>
        <v/>
      </c>
      <c r="AE108" s="5" t="n"/>
      <c r="AF108" s="5">
        <f>W108+X108</f>
        <v/>
      </c>
      <c r="AG108" s="5" t="n"/>
      <c r="AH108" s="13" t="n">
        <v>0</v>
      </c>
      <c r="AI108" s="13" t="n"/>
      <c r="AJ108" s="5" t="n"/>
      <c r="AL108" s="5" t="n"/>
      <c r="AM108" s="5" t="n">
        <v>132222.3252173913</v>
      </c>
      <c r="AN108" s="5">
        <f>Y108-AM108</f>
        <v/>
      </c>
      <c r="AO108" s="5" t="n"/>
      <c r="AP108" s="5">
        <f>U108-AL108</f>
        <v/>
      </c>
      <c r="AQ108" s="20" t="n">
        <v>0</v>
      </c>
      <c r="AR108" s="20" t="n"/>
      <c r="AT108" s="3" t="n">
        <v>5</v>
      </c>
      <c r="AV108" s="5">
        <f>ROUNDUP((AT108/8)*80,0)</f>
        <v/>
      </c>
      <c r="AX108" s="38">
        <f>AV108*W108</f>
        <v/>
      </c>
      <c r="BA108" s="3" t="n">
        <v>8</v>
      </c>
      <c r="BB108" s="3" t="n">
        <v>11</v>
      </c>
      <c r="BC108" s="3" t="n">
        <v>9</v>
      </c>
      <c r="BD108" s="3">
        <f>BC108+BB108+BA108</f>
        <v/>
      </c>
      <c r="BE108" s="3" t="n">
        <v>742</v>
      </c>
      <c r="BF108" s="3" t="n">
        <v>4</v>
      </c>
      <c r="BH108" s="3">
        <f>ROUNDUP(BD108*1.85,0)</f>
        <v/>
      </c>
      <c r="BJ108" s="38">
        <f>BH108*V108</f>
        <v/>
      </c>
      <c r="BL108" s="3">
        <f>U108*1.18</f>
        <v/>
      </c>
    </row>
    <row r="109">
      <c r="A109" s="1" t="inlineStr">
        <is>
          <t>82TD009KIN</t>
        </is>
      </c>
      <c r="B109" s="1">
        <f>IF(BL109&lt;40000,"Entry",IF(BL109&gt;65000,"Premium","Mainstream"))</f>
        <v/>
      </c>
      <c r="C109" s="1" t="inlineStr">
        <is>
          <t>Premium</t>
        </is>
      </c>
      <c r="D109" s="1" t="inlineStr">
        <is>
          <t>i9 OS 16GB Graphics Office</t>
        </is>
      </c>
      <c r="E109" s="1" t="inlineStr">
        <is>
          <t>Gaming</t>
        </is>
      </c>
      <c r="F109" s="1" t="inlineStr">
        <is>
          <t>Legion 7</t>
        </is>
      </c>
      <c r="G109" s="1" t="inlineStr">
        <is>
          <t>Legion 7 16IAX7</t>
        </is>
      </c>
      <c r="H109" s="1" t="inlineStr">
        <is>
          <t>i9</t>
        </is>
      </c>
      <c r="I109" s="1" t="inlineStr">
        <is>
          <t>12th Gen</t>
        </is>
      </c>
      <c r="J109" s="1" t="inlineStr">
        <is>
          <t>i9-12900HX</t>
        </is>
      </c>
      <c r="K109" s="1" t="inlineStr">
        <is>
          <t>32GB</t>
        </is>
      </c>
      <c r="L109" s="1" t="inlineStr">
        <is>
          <t>1TB SSD</t>
        </is>
      </c>
      <c r="M109" s="1" t="inlineStr">
        <is>
          <t>Windows 11</t>
        </is>
      </c>
      <c r="N109" s="1" t="inlineStr">
        <is>
          <t>Office 2021</t>
        </is>
      </c>
      <c r="O109" s="1" t="inlineStr">
        <is>
          <t>RTX_3080Ti_16GB</t>
        </is>
      </c>
      <c r="P109" s="1" t="inlineStr">
        <is>
          <t>16_WQXGA_AG_500N_165Hz</t>
        </is>
      </c>
      <c r="Q109" s="1" t="inlineStr">
        <is>
          <t>1 Yr Onsite + 1 Yr LUS</t>
        </is>
      </c>
      <c r="R109" s="1" t="inlineStr">
        <is>
          <t>Full GTN</t>
        </is>
      </c>
      <c r="S109" s="1" t="n">
        <v>2457</v>
      </c>
      <c r="T109" s="2">
        <f>U109*0.98*0.965</f>
        <v/>
      </c>
      <c r="U109" s="13" t="n">
        <v>321735.4198767332</v>
      </c>
      <c r="V109" s="13" t="n">
        <v>0</v>
      </c>
      <c r="W109" s="13" t="n">
        <v>0</v>
      </c>
      <c r="X109" s="13" t="n"/>
      <c r="Y109" s="2">
        <f>(U109*0.88-S109-V109-W109-X109)*1.18/0.92</f>
        <v/>
      </c>
      <c r="Z109" s="1" t="n">
        <v>359990</v>
      </c>
      <c r="AA109" s="5" t="n"/>
      <c r="AB109" s="5" t="n"/>
      <c r="AC109" s="14" t="n">
        <v>0</v>
      </c>
      <c r="AD109" s="5" t="n">
        <v>0</v>
      </c>
      <c r="AE109" s="5" t="n"/>
      <c r="AF109" s="5">
        <f>W109+X109</f>
        <v/>
      </c>
      <c r="AG109" s="5" t="n"/>
      <c r="AH109" s="13" t="n">
        <v>0</v>
      </c>
      <c r="AI109" s="13" t="n"/>
      <c r="AJ109" s="5" t="n"/>
      <c r="AL109" s="5" t="n"/>
      <c r="AM109" s="5" t="n">
        <v>359989.9999999997</v>
      </c>
      <c r="AN109" s="5">
        <f>Y109-AM109</f>
        <v/>
      </c>
      <c r="AO109" s="5" t="n"/>
      <c r="AP109" s="5">
        <f>U109-AL109</f>
        <v/>
      </c>
      <c r="AQ109" s="20" t="n">
        <v>0</v>
      </c>
      <c r="AR109" s="20" t="n"/>
      <c r="AT109" s="3" t="n">
        <v>0</v>
      </c>
      <c r="AV109" s="5">
        <f>ROUNDUP((AT109/8)*80,0)</f>
        <v/>
      </c>
      <c r="AX109" s="38">
        <f>AV109*W109</f>
        <v/>
      </c>
      <c r="BA109" s="3" t="n">
        <v>0</v>
      </c>
      <c r="BB109" s="3" t="n">
        <v>3</v>
      </c>
      <c r="BC109" s="3" t="n">
        <v>3</v>
      </c>
      <c r="BD109" s="3">
        <f>BC109+BB109+BA109</f>
        <v/>
      </c>
      <c r="BE109" s="3" t="n">
        <v>5</v>
      </c>
      <c r="BF109" s="3" t="n">
        <v>0</v>
      </c>
      <c r="BH109" s="3">
        <f>ROUNDUP(BD109*1.85,0)</f>
        <v/>
      </c>
      <c r="BJ109" s="38">
        <f>BH109*V109</f>
        <v/>
      </c>
      <c r="BL109" s="3">
        <f>U109*1.18</f>
        <v/>
      </c>
    </row>
    <row r="110">
      <c r="A110" s="1" t="inlineStr">
        <is>
          <t>82YA00DXIN</t>
        </is>
      </c>
      <c r="B110" s="1">
        <f>IF(BL110&lt;40000,"Entry",IF(BL110&gt;65000,"Premium","Mainstream"))</f>
        <v/>
      </c>
      <c r="C110" s="1" t="inlineStr">
        <is>
          <t>Premium</t>
        </is>
      </c>
      <c r="D110" s="1" t="inlineStr">
        <is>
          <t>i7 OS 6GB Graphics Office</t>
        </is>
      </c>
      <c r="E110" s="1" t="inlineStr">
        <is>
          <t>Gaming</t>
        </is>
      </c>
      <c r="F110" s="1" t="inlineStr">
        <is>
          <t>Legion Slim 5</t>
        </is>
      </c>
      <c r="G110" s="1" t="inlineStr">
        <is>
          <t>Legion Slim 5 16IRH8</t>
        </is>
      </c>
      <c r="H110" s="1" t="inlineStr">
        <is>
          <t>i7</t>
        </is>
      </c>
      <c r="I110" s="1" t="inlineStr">
        <is>
          <t>13th Gen</t>
        </is>
      </c>
      <c r="J110" s="1" t="inlineStr">
        <is>
          <t>i7-13620H</t>
        </is>
      </c>
      <c r="K110" s="1" t="inlineStr">
        <is>
          <t>16GB</t>
        </is>
      </c>
      <c r="L110" s="1" t="inlineStr">
        <is>
          <t>1TB SSD</t>
        </is>
      </c>
      <c r="M110" s="1" t="inlineStr">
        <is>
          <t>Windows 11</t>
        </is>
      </c>
      <c r="N110" s="1" t="inlineStr">
        <is>
          <t>Office 2021</t>
        </is>
      </c>
      <c r="O110" s="1" t="inlineStr">
        <is>
          <t>RTX 4060 8GB</t>
        </is>
      </c>
      <c r="P110" s="1" t="inlineStr">
        <is>
          <t>16_WQXGA_AG_350N_165_N_SRGB</t>
        </is>
      </c>
      <c r="Q110" s="1" t="inlineStr">
        <is>
          <t>1 Year Onsite + 1 year LUS</t>
        </is>
      </c>
      <c r="R110" s="1" t="inlineStr">
        <is>
          <t>Full GTN</t>
        </is>
      </c>
      <c r="S110" s="1" t="n">
        <v>725</v>
      </c>
      <c r="T110" s="2">
        <f>U110*0.98*0.965</f>
        <v/>
      </c>
      <c r="U110" s="13" t="n">
        <v>124135.4969183357</v>
      </c>
      <c r="V110" s="13" t="n">
        <v>0</v>
      </c>
      <c r="W110" s="13" t="n">
        <v>0</v>
      </c>
      <c r="X110" s="13" t="n">
        <v>11064.40677966085</v>
      </c>
      <c r="Y110" s="2">
        <f>(U110*0.88-S110-V110-W110-X110)*1.18/0.92</f>
        <v/>
      </c>
      <c r="Z110" s="1" t="n">
        <v>124990</v>
      </c>
      <c r="AA110" s="5" t="n"/>
      <c r="AB110" s="5" t="n"/>
      <c r="AC110" s="14" t="n">
        <v>124990</v>
      </c>
      <c r="AD110" s="5">
        <f>(Y110-AC110)/1.18*0.92</f>
        <v/>
      </c>
      <c r="AE110" s="5" t="n"/>
      <c r="AF110" s="5">
        <f>W110+X110</f>
        <v/>
      </c>
      <c r="AG110" s="5" t="n"/>
      <c r="AH110" s="13" t="n">
        <v>0</v>
      </c>
      <c r="AI110" s="13" t="n"/>
      <c r="AJ110" s="5" t="n"/>
      <c r="AL110" s="5" t="n"/>
      <c r="AM110" s="5" t="n">
        <v>139181.3043478259</v>
      </c>
      <c r="AN110" s="5">
        <f>Y110-AM110</f>
        <v/>
      </c>
      <c r="AO110" s="5" t="n"/>
      <c r="AP110" s="5">
        <f>U110-AL110</f>
        <v/>
      </c>
      <c r="AQ110" s="20" t="n">
        <v>0</v>
      </c>
      <c r="AR110" s="20" t="n"/>
      <c r="AT110" s="3" t="n">
        <v>1</v>
      </c>
      <c r="AV110" s="5">
        <f>ROUNDUP((AT110/8)*80,0)</f>
        <v/>
      </c>
      <c r="AX110" s="38">
        <f>AV110*W110</f>
        <v/>
      </c>
      <c r="BA110" s="3" t="n">
        <v>11</v>
      </c>
      <c r="BB110" s="3" t="n">
        <v>5</v>
      </c>
      <c r="BC110" s="3" t="n">
        <v>0</v>
      </c>
      <c r="BD110" s="3">
        <f>BC110+BB110+BA110</f>
        <v/>
      </c>
      <c r="BE110" s="3" t="n">
        <v>5</v>
      </c>
      <c r="BF110" s="3" t="n">
        <v>0</v>
      </c>
      <c r="BH110" s="3">
        <f>ROUNDUP(BD110*1.85,0)</f>
        <v/>
      </c>
      <c r="BJ110" s="38">
        <f>BH110*V110</f>
        <v/>
      </c>
      <c r="BL110" s="3">
        <f>U110*1.18</f>
        <v/>
      </c>
    </row>
    <row r="111">
      <c r="A111" s="1" t="inlineStr">
        <is>
          <t>82Y9008MIN</t>
        </is>
      </c>
      <c r="B111" s="1">
        <f>IF(BL111&lt;40000,"Entry",IF(BL111&gt;65000,"Premium","Mainstream"))</f>
        <v/>
      </c>
      <c r="C111" s="1" t="inlineStr">
        <is>
          <t>Premium</t>
        </is>
      </c>
      <c r="D111" s="1" t="inlineStr">
        <is>
          <t>R7 OS 8GB Graphics Office</t>
        </is>
      </c>
      <c r="E111" s="1" t="inlineStr">
        <is>
          <t>Gaming</t>
        </is>
      </c>
      <c r="F111" s="1" t="inlineStr">
        <is>
          <t>Legion Slim 5</t>
        </is>
      </c>
      <c r="G111" s="1" t="inlineStr">
        <is>
          <t>Legion Slim 5 16APH8</t>
        </is>
      </c>
      <c r="H111" s="1" t="inlineStr">
        <is>
          <t>R7</t>
        </is>
      </c>
      <c r="I111" s="1" t="inlineStr">
        <is>
          <t>7XXXHS</t>
        </is>
      </c>
      <c r="J111" s="1" t="inlineStr">
        <is>
          <t>R7 7840HS</t>
        </is>
      </c>
      <c r="K111" s="1" t="inlineStr">
        <is>
          <t>16GB</t>
        </is>
      </c>
      <c r="L111" s="1" t="inlineStr">
        <is>
          <t>512GB SSD</t>
        </is>
      </c>
      <c r="M111" s="1" t="inlineStr">
        <is>
          <t>Windows 11</t>
        </is>
      </c>
      <c r="N111" s="1" t="inlineStr">
        <is>
          <t xml:space="preserve">OFFICE H&amp;S 2021  </t>
        </is>
      </c>
      <c r="O111" s="1" t="inlineStr">
        <is>
          <t>RTX 4060 8GB</t>
        </is>
      </c>
      <c r="P111" s="1" t="inlineStr">
        <is>
          <t>16_WQXGA_AG_350N_165_N_SRGB</t>
        </is>
      </c>
      <c r="Q111" s="1" t="inlineStr">
        <is>
          <t>1 Year Onsite + 1 year LUS</t>
        </is>
      </c>
      <c r="R111" s="1" t="inlineStr">
        <is>
          <t>Zero GTN</t>
        </is>
      </c>
      <c r="S111" s="1" t="n">
        <v>725</v>
      </c>
      <c r="T111" s="2">
        <f>U111*0.98*0.98</f>
        <v/>
      </c>
      <c r="U111" s="13" t="n">
        <v>110330.5084745763</v>
      </c>
      <c r="V111" s="13" t="n">
        <v>0</v>
      </c>
      <c r="W111" s="13" t="n">
        <v>5508</v>
      </c>
      <c r="X111" s="13" t="n">
        <v>14576.66101694914</v>
      </c>
      <c r="Y111" s="2">
        <f>(U111*0.98-S111-V111-W111-X111)*1.18/0.92</f>
        <v/>
      </c>
      <c r="Z111" s="1" t="n">
        <v>111990</v>
      </c>
      <c r="AA111" s="5" t="n"/>
      <c r="AB111" s="5" t="n"/>
      <c r="AC111" s="14" t="n">
        <v>111990</v>
      </c>
      <c r="AD111" s="5">
        <f>(Y111-AC111)/1.18*0.92</f>
        <v/>
      </c>
      <c r="AE111" s="5" t="n"/>
      <c r="AF111" s="5">
        <f>W111+X111</f>
        <v/>
      </c>
      <c r="AG111" s="5" t="n"/>
      <c r="AH111" s="13" t="n">
        <v>0</v>
      </c>
      <c r="AI111" s="13" t="n">
        <v>5508</v>
      </c>
      <c r="AJ111" s="5" t="n"/>
      <c r="AL111" s="5" t="n"/>
      <c r="AM111" s="5" t="n">
        <v>130686.152173913</v>
      </c>
      <c r="AN111" s="5">
        <f>Y111-AM111</f>
        <v/>
      </c>
      <c r="AO111" s="5" t="n"/>
      <c r="AP111" s="5">
        <f>U111-AL111</f>
        <v/>
      </c>
      <c r="AQ111" s="20" t="n">
        <v>0</v>
      </c>
      <c r="AR111" s="20" t="n">
        <v>5508</v>
      </c>
      <c r="AT111" s="3" t="n">
        <v>0</v>
      </c>
      <c r="AV111" s="5">
        <f>ROUNDUP((AT111/8)*80,0)</f>
        <v/>
      </c>
      <c r="AX111" s="38">
        <f>AV111*W111</f>
        <v/>
      </c>
      <c r="BA111" s="3" t="n">
        <v>0</v>
      </c>
      <c r="BB111" s="3" t="n">
        <v>0</v>
      </c>
      <c r="BC111" s="3" t="n">
        <v>0</v>
      </c>
      <c r="BD111" s="3">
        <f>BC111+BB111+BA111</f>
        <v/>
      </c>
      <c r="BE111" s="3" t="n">
        <v>170</v>
      </c>
      <c r="BF111" s="3" t="n">
        <v>0</v>
      </c>
      <c r="BH111" s="3">
        <f>ROUNDUP(BD111*1.85,0)</f>
        <v/>
      </c>
      <c r="BJ111" s="38">
        <f>BH111*V111</f>
        <v/>
      </c>
      <c r="BL111" s="3">
        <f>U111*1.18</f>
        <v/>
      </c>
    </row>
    <row r="112">
      <c r="A112" s="1" t="inlineStr">
        <is>
          <t>82WM00B5IN</t>
        </is>
      </c>
      <c r="B112" s="1">
        <f>IF(BL112&lt;40000,"Entry",IF(BL112&gt;65000,"Premium","Mainstream"))</f>
        <v/>
      </c>
      <c r="C112" s="1" t="inlineStr">
        <is>
          <t>Premium</t>
        </is>
      </c>
      <c r="D112" s="1" t="inlineStr">
        <is>
          <t>R7 OS 8GB Graphics Office</t>
        </is>
      </c>
      <c r="E112" s="1" t="inlineStr">
        <is>
          <t>Gaming</t>
        </is>
      </c>
      <c r="F112" s="1" t="inlineStr">
        <is>
          <t>Legion 5 Pro</t>
        </is>
      </c>
      <c r="G112" s="1" t="inlineStr">
        <is>
          <t>Legion 5 Pro 16ARX8</t>
        </is>
      </c>
      <c r="H112" s="1" t="inlineStr">
        <is>
          <t>R7</t>
        </is>
      </c>
      <c r="I112" s="1" t="inlineStr">
        <is>
          <t>7XXXHX</t>
        </is>
      </c>
      <c r="J112" s="1" t="inlineStr">
        <is>
          <t>R7-7745HX</t>
        </is>
      </c>
      <c r="K112" s="1" t="inlineStr">
        <is>
          <t>16GB</t>
        </is>
      </c>
      <c r="L112" s="1" t="inlineStr">
        <is>
          <t>1TB SSD</t>
        </is>
      </c>
      <c r="M112" s="1" t="inlineStr">
        <is>
          <t>Windows 11</t>
        </is>
      </c>
      <c r="N112" s="1" t="inlineStr">
        <is>
          <t>Office 2021</t>
        </is>
      </c>
      <c r="O112" s="1" t="inlineStr">
        <is>
          <t>RTX 4060 8GB</t>
        </is>
      </c>
      <c r="P112" s="1" t="inlineStr">
        <is>
          <t>16_WQXGA_AG_500N_240_HDR_SRGB</t>
        </is>
      </c>
      <c r="Q112" s="1" t="inlineStr">
        <is>
          <t>1 Yr Onsite + 1 Yr LUS</t>
        </is>
      </c>
      <c r="R112" s="1" t="inlineStr">
        <is>
          <t>Full GTN</t>
        </is>
      </c>
      <c r="S112" s="1" t="n">
        <v>725</v>
      </c>
      <c r="T112" s="2">
        <f>U112*0.98*0.965</f>
        <v/>
      </c>
      <c r="U112" s="13" t="n">
        <v>125907.4537750387</v>
      </c>
      <c r="V112" s="13" t="n">
        <v>0</v>
      </c>
      <c r="W112" s="13" t="n">
        <v>0</v>
      </c>
      <c r="X112" s="13" t="n"/>
      <c r="Y112" s="2">
        <f>(U112*0.88-S112-V112-W112-X112)*1.18/0.92</f>
        <v/>
      </c>
      <c r="Z112" s="1" t="n">
        <v>142190</v>
      </c>
      <c r="AA112" s="5" t="n"/>
      <c r="AB112" s="5" t="n"/>
      <c r="AC112" s="14" t="n">
        <v>142190</v>
      </c>
      <c r="AD112" s="5" t="n">
        <v>0</v>
      </c>
      <c r="AE112" s="5" t="n"/>
      <c r="AF112" s="5">
        <f>W112+X112</f>
        <v/>
      </c>
      <c r="AG112" s="5" t="n"/>
      <c r="AH112" s="13" t="n">
        <v>0</v>
      </c>
      <c r="AI112" s="13" t="n"/>
      <c r="AJ112" s="5" t="n"/>
      <c r="AL112" s="5" t="n"/>
      <c r="AM112" s="5" t="n">
        <v>141181.3043478263</v>
      </c>
      <c r="AN112" s="5">
        <f>Y112-AM112</f>
        <v/>
      </c>
      <c r="AO112" s="5" t="n"/>
      <c r="AP112" s="5">
        <f>U112-AL112</f>
        <v/>
      </c>
      <c r="AQ112" s="20" t="n">
        <v>0</v>
      </c>
      <c r="AR112" s="20" t="n"/>
      <c r="AT112" s="3" t="n">
        <v>4</v>
      </c>
      <c r="AV112" s="5">
        <f>ROUNDUP((AT112/8)*80,0)</f>
        <v/>
      </c>
      <c r="AX112" s="38">
        <f>AV112*W112</f>
        <v/>
      </c>
      <c r="BA112" s="3" t="n">
        <v>8</v>
      </c>
      <c r="BB112" s="3" t="n">
        <v>9</v>
      </c>
      <c r="BC112" s="3" t="n">
        <v>5</v>
      </c>
      <c r="BD112" s="3">
        <f>BC112+BB112+BA112</f>
        <v/>
      </c>
      <c r="BE112" s="3" t="n">
        <v>180</v>
      </c>
      <c r="BF112" s="3" t="n">
        <v>0</v>
      </c>
      <c r="BH112" s="3">
        <f>ROUNDUP(BD112*1.85,0)</f>
        <v/>
      </c>
      <c r="BJ112" s="38">
        <f>BH112*V112</f>
        <v/>
      </c>
      <c r="BL112" s="3">
        <f>U112*1.18</f>
        <v/>
      </c>
    </row>
    <row r="113">
      <c r="A113" s="1" t="inlineStr">
        <is>
          <t>82WK00LPIN</t>
        </is>
      </c>
      <c r="B113" s="1">
        <f>IF(BL113&lt;40000,"Entry",IF(BL113&gt;65000,"Premium","Mainstream"))</f>
        <v/>
      </c>
      <c r="C113" s="1" t="inlineStr">
        <is>
          <t>Premium</t>
        </is>
      </c>
      <c r="D113" s="1" t="inlineStr">
        <is>
          <t>i7 OS 8GB Graphics Office</t>
        </is>
      </c>
      <c r="E113" s="1" t="inlineStr">
        <is>
          <t>Gaming</t>
        </is>
      </c>
      <c r="F113" s="1" t="inlineStr">
        <is>
          <t>Legion 5 Pro</t>
        </is>
      </c>
      <c r="G113" s="1" t="inlineStr">
        <is>
          <t>Legion 5 Pro 16IRX8</t>
        </is>
      </c>
      <c r="H113" s="1" t="inlineStr">
        <is>
          <t>i7</t>
        </is>
      </c>
      <c r="I113" s="1" t="inlineStr">
        <is>
          <t>13th Gen</t>
        </is>
      </c>
      <c r="J113" s="1" t="inlineStr">
        <is>
          <t>i7-13700HX</t>
        </is>
      </c>
      <c r="K113" s="1" t="inlineStr">
        <is>
          <t>32GB</t>
        </is>
      </c>
      <c r="L113" s="1" t="inlineStr">
        <is>
          <t>1TB SSD</t>
        </is>
      </c>
      <c r="M113" s="1" t="inlineStr">
        <is>
          <t>Windows 11</t>
        </is>
      </c>
      <c r="N113" s="1" t="inlineStr">
        <is>
          <t>Office 2021</t>
        </is>
      </c>
      <c r="O113" s="1" t="inlineStr">
        <is>
          <t>RTX 4060 8GB</t>
        </is>
      </c>
      <c r="P113" s="1" t="inlineStr">
        <is>
          <t>16_WQXGA_AG_500N_240_HDR_SRGB</t>
        </is>
      </c>
      <c r="Q113" s="1" t="inlineStr">
        <is>
          <t>1 Yr Onsite + 1 Yr LUS</t>
        </is>
      </c>
      <c r="R113" s="1" t="inlineStr">
        <is>
          <t>Full GTN</t>
        </is>
      </c>
      <c r="S113" s="1" t="n">
        <v>725</v>
      </c>
      <c r="T113" s="2">
        <f>U113*0.98*0.965</f>
        <v/>
      </c>
      <c r="U113" s="13" t="n">
        <v>140799.5955315871</v>
      </c>
      <c r="V113" s="13" t="n">
        <v>0</v>
      </c>
      <c r="W113" s="13" t="n">
        <v>0</v>
      </c>
      <c r="X113" s="13" t="n"/>
      <c r="Y113" s="2">
        <f>(U113*0.88-S113-V113-W113-X113)*1.18/0.92</f>
        <v/>
      </c>
      <c r="Z113" s="1" t="n">
        <v>158990</v>
      </c>
      <c r="AA113" s="5" t="n"/>
      <c r="AB113" s="5" t="n"/>
      <c r="AC113" s="14" t="n">
        <v>0</v>
      </c>
      <c r="AD113" s="5" t="n">
        <v>0</v>
      </c>
      <c r="AE113" s="5" t="n"/>
      <c r="AF113" s="5">
        <f>W113+X113</f>
        <v/>
      </c>
      <c r="AG113" s="5" t="n"/>
      <c r="AH113" s="13" t="n">
        <v>0</v>
      </c>
      <c r="AI113" s="13" t="n"/>
      <c r="AJ113" s="5" t="n"/>
      <c r="AL113" s="5" t="n"/>
      <c r="AM113" s="5" t="n">
        <v>157990</v>
      </c>
      <c r="AN113" s="5">
        <f>Y113-AM113</f>
        <v/>
      </c>
      <c r="AO113" s="5" t="n"/>
      <c r="AP113" s="5">
        <f>U113-AL113</f>
        <v/>
      </c>
      <c r="AQ113" s="20" t="n">
        <v>0</v>
      </c>
      <c r="AR113" s="20" t="n"/>
      <c r="AT113" s="3" t="n">
        <v>0</v>
      </c>
      <c r="AV113" s="5">
        <f>ROUNDUP((AT113/8)*80,0)</f>
        <v/>
      </c>
      <c r="AX113" s="38">
        <f>AV113*W113</f>
        <v/>
      </c>
      <c r="BA113" s="3" t="n">
        <v>0</v>
      </c>
      <c r="BB113" s="3" t="n">
        <v>0</v>
      </c>
      <c r="BC113" s="3" t="n">
        <v>0</v>
      </c>
      <c r="BD113" s="3">
        <f>BC113+BB113+BA113</f>
        <v/>
      </c>
      <c r="BE113" s="3" t="n">
        <v>0</v>
      </c>
      <c r="BF113" s="3" t="n">
        <v>0</v>
      </c>
      <c r="BH113" s="3">
        <f>ROUNDUP(BD113*1.85,0)</f>
        <v/>
      </c>
      <c r="BJ113" s="38">
        <f>BH113*V113</f>
        <v/>
      </c>
      <c r="BL113" s="3">
        <f>U113*1.18</f>
        <v/>
      </c>
    </row>
    <row r="114">
      <c r="A114" s="1" t="inlineStr">
        <is>
          <t>82Y3006XIN</t>
        </is>
      </c>
      <c r="B114" s="1">
        <f>IF(BL114&lt;40000,"Entry",IF(BL114&gt;65000,"Premium","Mainstream"))</f>
        <v/>
      </c>
      <c r="C114" s="1" t="inlineStr">
        <is>
          <t>Premium</t>
        </is>
      </c>
      <c r="D114" s="1" t="inlineStr">
        <is>
          <t>i7 OS 8GB Graphics Office</t>
        </is>
      </c>
      <c r="E114" s="1" t="inlineStr">
        <is>
          <t>Gaming</t>
        </is>
      </c>
      <c r="F114" s="1" t="inlineStr">
        <is>
          <t>Legion S7</t>
        </is>
      </c>
      <c r="G114" s="1" t="inlineStr">
        <is>
          <t>Legion S7 16IRH8</t>
        </is>
      </c>
      <c r="H114" s="1" t="inlineStr">
        <is>
          <t>i7</t>
        </is>
      </c>
      <c r="I114" s="1" t="inlineStr">
        <is>
          <t>13th gen</t>
        </is>
      </c>
      <c r="J114" s="1" t="inlineStr">
        <is>
          <t>I7-13700H</t>
        </is>
      </c>
      <c r="K114" s="1" t="inlineStr">
        <is>
          <t>16GB</t>
        </is>
      </c>
      <c r="L114" s="1" t="inlineStr">
        <is>
          <t>1 TB SSD</t>
        </is>
      </c>
      <c r="M114" s="1" t="inlineStr">
        <is>
          <t>Windows 11</t>
        </is>
      </c>
      <c r="N114" s="1" t="inlineStr">
        <is>
          <t xml:space="preserve">OFFICE H&amp;S 2021  </t>
        </is>
      </c>
      <c r="O114" s="1" t="inlineStr">
        <is>
          <t>RTX 4060 8GB</t>
        </is>
      </c>
      <c r="P114" s="1" t="inlineStr">
        <is>
          <t>16_3.2K_AG_430N_165_P3</t>
        </is>
      </c>
      <c r="Q114" s="1" t="inlineStr">
        <is>
          <t>1 Year Onsite + 1 year LUS</t>
        </is>
      </c>
      <c r="R114" s="1" t="inlineStr">
        <is>
          <t>Zero GTN</t>
        </is>
      </c>
      <c r="S114" s="1" t="n">
        <v>725</v>
      </c>
      <c r="T114" s="2">
        <f>U114*0.98*0.98</f>
        <v/>
      </c>
      <c r="U114" s="13" t="n">
        <v>127110.1694915254</v>
      </c>
      <c r="V114" s="13" t="n">
        <v>0</v>
      </c>
      <c r="W114" s="13" t="n">
        <v>0</v>
      </c>
      <c r="X114" s="13" t="n"/>
      <c r="Y114" s="2">
        <f>(U114*0.98-S114-V114-W114-X114)*1.18/0.92</f>
        <v/>
      </c>
      <c r="Z114" s="1" t="n">
        <v>158990</v>
      </c>
      <c r="AA114" s="5" t="n"/>
      <c r="AB114" s="5" t="n"/>
      <c r="AC114" s="14" t="n">
        <v>0</v>
      </c>
      <c r="AD114" s="5" t="n">
        <v>0</v>
      </c>
      <c r="AE114" s="5" t="n"/>
      <c r="AF114" s="5">
        <f>W114+X114</f>
        <v/>
      </c>
      <c r="AG114" s="5" t="n"/>
      <c r="AH114" s="13" t="n">
        <v>0</v>
      </c>
      <c r="AI114" s="13" t="n"/>
      <c r="AJ114" s="5" t="n"/>
      <c r="AL114" s="5" t="n"/>
      <c r="AM114" s="5" t="n">
        <v>158842.0652173913</v>
      </c>
      <c r="AN114" s="5">
        <f>Y114-AM114</f>
        <v/>
      </c>
      <c r="AO114" s="5" t="n"/>
      <c r="AP114" s="5">
        <f>U114-AL114</f>
        <v/>
      </c>
      <c r="AQ114" s="20" t="n">
        <v>0</v>
      </c>
      <c r="AR114" s="20" t="n"/>
      <c r="AT114" s="3" t="n">
        <v>0</v>
      </c>
      <c r="AV114" s="5">
        <f>ROUNDUP((AT114/8)*80,0)</f>
        <v/>
      </c>
      <c r="AX114" s="38">
        <f>AV114*W114</f>
        <v/>
      </c>
      <c r="BA114" s="3" t="n">
        <v>0</v>
      </c>
      <c r="BB114" s="3" t="n">
        <v>0</v>
      </c>
      <c r="BC114" s="3" t="n">
        <v>2</v>
      </c>
      <c r="BD114" s="3">
        <f>BC114+BB114+BA114</f>
        <v/>
      </c>
      <c r="BE114" s="3" t="n">
        <v>3</v>
      </c>
      <c r="BF114" s="3" t="n">
        <v>0</v>
      </c>
      <c r="BH114" s="3">
        <f>ROUNDUP(BD114*1.85,0)</f>
        <v/>
      </c>
      <c r="BJ114" s="38">
        <f>BH114*V114</f>
        <v/>
      </c>
      <c r="BL114" s="3">
        <f>U114*1.18</f>
        <v/>
      </c>
    </row>
    <row r="115">
      <c r="A115" s="1" t="inlineStr">
        <is>
          <t>82Y3007QIN</t>
        </is>
      </c>
      <c r="B115" s="1">
        <f>IF(BL115&lt;40000,"Entry",IF(BL115&gt;65000,"Premium","Mainstream"))</f>
        <v/>
      </c>
      <c r="C115" s="1" t="inlineStr">
        <is>
          <t>Premium</t>
        </is>
      </c>
      <c r="D115" s="1" t="inlineStr">
        <is>
          <t>i9 OS 8GB Graphics Office</t>
        </is>
      </c>
      <c r="E115" s="1" t="inlineStr">
        <is>
          <t>Gaming</t>
        </is>
      </c>
      <c r="F115" s="1" t="inlineStr">
        <is>
          <t>Legion S7</t>
        </is>
      </c>
      <c r="G115" s="1" t="inlineStr">
        <is>
          <t>Legion S7 16IRH8</t>
        </is>
      </c>
      <c r="H115" s="1" t="inlineStr">
        <is>
          <t>i9</t>
        </is>
      </c>
      <c r="I115" s="1" t="inlineStr">
        <is>
          <t>13th Gen</t>
        </is>
      </c>
      <c r="J115" s="1" t="inlineStr">
        <is>
          <t>i9-13900H</t>
        </is>
      </c>
      <c r="K115" s="1" t="inlineStr">
        <is>
          <t>16GB</t>
        </is>
      </c>
      <c r="L115" s="1" t="inlineStr">
        <is>
          <t>1TB SSD</t>
        </is>
      </c>
      <c r="M115" s="1" t="inlineStr">
        <is>
          <t>Windows 11</t>
        </is>
      </c>
      <c r="N115" s="1" t="inlineStr">
        <is>
          <t>Office 2021</t>
        </is>
      </c>
      <c r="O115" s="1" t="inlineStr">
        <is>
          <t>RTX 4060 8GB</t>
        </is>
      </c>
      <c r="P115" s="1" t="inlineStr">
        <is>
          <t>16_WQXGA_AG_430N_240_HDR_SRGB</t>
        </is>
      </c>
      <c r="Q115" s="1" t="inlineStr">
        <is>
          <t>1 Yr Onsite + 1 Yr LUS</t>
        </is>
      </c>
      <c r="R115" s="1" t="inlineStr">
        <is>
          <t>Full GTN</t>
        </is>
      </c>
      <c r="S115" s="1" t="n">
        <v>725</v>
      </c>
      <c r="T115" s="2">
        <f>U115*0.98*0.965</f>
        <v/>
      </c>
      <c r="U115" s="13" t="n">
        <v>140969.0870570107</v>
      </c>
      <c r="V115" s="13" t="n">
        <v>0</v>
      </c>
      <c r="W115" s="13" t="n">
        <v>0</v>
      </c>
      <c r="X115" s="13" t="n"/>
      <c r="Y115" s="2">
        <f>(U115*0.88-S115-V115-W115-X115)*1.18/0.92</f>
        <v/>
      </c>
      <c r="Z115" s="1" t="n">
        <v>159190</v>
      </c>
      <c r="AA115" s="5" t="n"/>
      <c r="AB115" s="5" t="n"/>
      <c r="AC115" s="14" t="n">
        <v>159190</v>
      </c>
      <c r="AD115" s="5" t="n">
        <v>0</v>
      </c>
      <c r="AE115" s="5" t="n"/>
      <c r="AF115" s="5">
        <f>W115+X115</f>
        <v/>
      </c>
      <c r="AG115" s="5" t="n"/>
      <c r="AH115" s="13" t="n">
        <v>0</v>
      </c>
      <c r="AI115" s="13" t="n"/>
      <c r="AJ115" s="5" t="n"/>
      <c r="AL115" s="5" t="n"/>
      <c r="AM115" s="5" t="n">
        <v>158181.304347826</v>
      </c>
      <c r="AN115" s="5">
        <f>Y115-AM115</f>
        <v/>
      </c>
      <c r="AO115" s="5" t="n"/>
      <c r="AP115" s="5">
        <f>U115-AL115</f>
        <v/>
      </c>
      <c r="AQ115" s="20" t="n">
        <v>0</v>
      </c>
      <c r="AR115" s="20" t="n"/>
      <c r="AT115" s="3" t="n">
        <v>0</v>
      </c>
      <c r="AV115" s="5">
        <f>ROUNDUP((AT115/8)*80,0)</f>
        <v/>
      </c>
      <c r="AX115" s="38">
        <f>AV115*W115</f>
        <v/>
      </c>
      <c r="BA115" s="3" t="n">
        <v>0</v>
      </c>
      <c r="BB115" s="3" t="n">
        <v>0</v>
      </c>
      <c r="BC115" s="3" t="n">
        <v>0</v>
      </c>
      <c r="BD115" s="3">
        <f>BC115+BB115+BA115</f>
        <v/>
      </c>
      <c r="BE115" s="3" t="n">
        <v>11</v>
      </c>
      <c r="BF115" s="3" t="n">
        <v>67</v>
      </c>
      <c r="BH115" s="3">
        <f>ROUNDUP(BD115*1.85,0)</f>
        <v/>
      </c>
      <c r="BJ115" s="38">
        <f>BH115*V115</f>
        <v/>
      </c>
      <c r="BL115" s="3">
        <f>U115*1.18</f>
        <v/>
      </c>
    </row>
    <row r="116">
      <c r="A116" s="1" t="inlineStr">
        <is>
          <t>82WM00B7IN</t>
        </is>
      </c>
      <c r="B116" s="1">
        <f>IF(BL116&lt;40000,"Entry",IF(BL116&gt;65000,"Premium","Mainstream"))</f>
        <v/>
      </c>
      <c r="C116" s="1" t="inlineStr">
        <is>
          <t>Premium</t>
        </is>
      </c>
      <c r="D116" s="1" t="inlineStr">
        <is>
          <t>R7 OS 8GB Graphics Office</t>
        </is>
      </c>
      <c r="E116" s="1" t="inlineStr">
        <is>
          <t>Gaming</t>
        </is>
      </c>
      <c r="F116" s="1" t="inlineStr">
        <is>
          <t>Legion 5 Pro</t>
        </is>
      </c>
      <c r="G116" s="1" t="inlineStr">
        <is>
          <t>Legion 5 Pro 16ARX8</t>
        </is>
      </c>
      <c r="H116" s="1" t="inlineStr">
        <is>
          <t>R7</t>
        </is>
      </c>
      <c r="I116" s="1" t="inlineStr">
        <is>
          <t>7XXXHX</t>
        </is>
      </c>
      <c r="J116" s="1" t="inlineStr">
        <is>
          <t>R7-7745HX</t>
        </is>
      </c>
      <c r="K116" s="1" t="inlineStr">
        <is>
          <t>16GB</t>
        </is>
      </c>
      <c r="L116" s="1" t="inlineStr">
        <is>
          <t>1TB SSD</t>
        </is>
      </c>
      <c r="M116" s="1" t="inlineStr">
        <is>
          <t>Windows 11</t>
        </is>
      </c>
      <c r="N116" s="1" t="inlineStr">
        <is>
          <t>Office 2021</t>
        </is>
      </c>
      <c r="O116" s="1" t="inlineStr">
        <is>
          <t>RTX 4070 8GB</t>
        </is>
      </c>
      <c r="P116" s="1" t="inlineStr">
        <is>
          <t>16_WQXGA_AG_500N_240_HDR_SRGB</t>
        </is>
      </c>
      <c r="Q116" s="1" t="inlineStr">
        <is>
          <t>1 Yr Onsite + 1 Yr LUS</t>
        </is>
      </c>
      <c r="R116" s="1" t="inlineStr">
        <is>
          <t>Full GTN</t>
        </is>
      </c>
      <c r="S116" s="1" t="n">
        <v>725</v>
      </c>
      <c r="T116" s="2">
        <f>U116*0.98*0.965</f>
        <v/>
      </c>
      <c r="U116" s="13" t="n">
        <v>145398.9791987677</v>
      </c>
      <c r="V116" s="13" t="n">
        <v>0</v>
      </c>
      <c r="W116" s="13" t="n">
        <v>0</v>
      </c>
      <c r="X116" s="13" t="n"/>
      <c r="Y116" s="2">
        <f>(U116*0.88-S116-V116-W116-X116)*1.18/0.92</f>
        <v/>
      </c>
      <c r="Z116" s="1" t="n">
        <v>164190</v>
      </c>
      <c r="AA116" s="5" t="n"/>
      <c r="AB116" s="5" t="n"/>
      <c r="AC116" s="14" t="n">
        <v>164190</v>
      </c>
      <c r="AD116" s="5" t="n">
        <v>0</v>
      </c>
      <c r="AE116" s="5" t="n"/>
      <c r="AF116" s="5">
        <f>W116+X116</f>
        <v/>
      </c>
      <c r="AG116" s="5" t="n"/>
      <c r="AH116" s="13" t="n">
        <v>0</v>
      </c>
      <c r="AI116" s="13" t="n"/>
      <c r="AJ116" s="5" t="n"/>
      <c r="AL116" s="5" t="n"/>
      <c r="AM116" s="5" t="n">
        <v>163181.3043478265</v>
      </c>
      <c r="AN116" s="5">
        <f>Y116-AM116</f>
        <v/>
      </c>
      <c r="AO116" s="5" t="n"/>
      <c r="AP116" s="5">
        <f>U116-AL116</f>
        <v/>
      </c>
      <c r="AQ116" s="20" t="n">
        <v>0</v>
      </c>
      <c r="AR116" s="20" t="n"/>
      <c r="AT116" s="3" t="n">
        <v>5</v>
      </c>
      <c r="AV116" s="5">
        <f>ROUNDUP((AT116/8)*80,0)</f>
        <v/>
      </c>
      <c r="AX116" s="38">
        <f>AV116*W116</f>
        <v/>
      </c>
      <c r="BA116" s="3" t="n">
        <v>11</v>
      </c>
      <c r="BB116" s="3" t="n">
        <v>7</v>
      </c>
      <c r="BC116" s="3" t="n">
        <v>1</v>
      </c>
      <c r="BD116" s="3">
        <f>BC116+BB116+BA116</f>
        <v/>
      </c>
      <c r="BE116" s="3" t="n">
        <v>29</v>
      </c>
      <c r="BF116" s="3" t="n">
        <v>0</v>
      </c>
      <c r="BH116" s="3">
        <f>ROUNDUP(BD116*1.85,0)</f>
        <v/>
      </c>
      <c r="BJ116" s="38">
        <f>BH116*V116</f>
        <v/>
      </c>
      <c r="BL116" s="3">
        <f>U116*1.18</f>
        <v/>
      </c>
    </row>
    <row r="117">
      <c r="A117" s="1" t="inlineStr">
        <is>
          <t>82WK00LNIN</t>
        </is>
      </c>
      <c r="B117" s="1">
        <f>IF(BL117&lt;40000,"Entry",IF(BL117&gt;65000,"Premium","Mainstream"))</f>
        <v/>
      </c>
      <c r="C117" s="1" t="inlineStr">
        <is>
          <t>Premium</t>
        </is>
      </c>
      <c r="D117" s="1" t="inlineStr">
        <is>
          <t>i7 OS 8GB Graphics Office</t>
        </is>
      </c>
      <c r="E117" s="1" t="inlineStr">
        <is>
          <t>Gaming</t>
        </is>
      </c>
      <c r="F117" s="1" t="inlineStr">
        <is>
          <t>Legion 5 Pro</t>
        </is>
      </c>
      <c r="G117" s="1" t="inlineStr">
        <is>
          <t>Legion 5 Pro 16IRX8</t>
        </is>
      </c>
      <c r="H117" s="1" t="inlineStr">
        <is>
          <t>i7</t>
        </is>
      </c>
      <c r="I117" s="1" t="inlineStr">
        <is>
          <t>13th Gen</t>
        </is>
      </c>
      <c r="J117" s="1" t="inlineStr">
        <is>
          <t>i7-13700HX</t>
        </is>
      </c>
      <c r="K117" s="1" t="inlineStr">
        <is>
          <t>32GB</t>
        </is>
      </c>
      <c r="L117" s="1" t="inlineStr">
        <is>
          <t>1TB SSD</t>
        </is>
      </c>
      <c r="M117" s="1" t="inlineStr">
        <is>
          <t>Windows 11</t>
        </is>
      </c>
      <c r="N117" s="1" t="inlineStr">
        <is>
          <t>Office 2021</t>
        </is>
      </c>
      <c r="O117" s="1" t="inlineStr">
        <is>
          <t>RTX 4070 8GB</t>
        </is>
      </c>
      <c r="P117" s="1" t="inlineStr">
        <is>
          <t>16_WQXGA_AG_500N_240_HDR_SRGB</t>
        </is>
      </c>
      <c r="Q117" s="1" t="inlineStr">
        <is>
          <t>1 Yr Onsite + 1 Yr LUS</t>
        </is>
      </c>
      <c r="R117" s="1" t="inlineStr">
        <is>
          <t>Full GTN</t>
        </is>
      </c>
      <c r="S117" s="1" t="n">
        <v>725</v>
      </c>
      <c r="T117" s="2">
        <f>U117*0.98*0.965</f>
        <v/>
      </c>
      <c r="U117" s="13" t="n">
        <v>154258.7634822807</v>
      </c>
      <c r="V117" s="13" t="n">
        <v>0</v>
      </c>
      <c r="W117" s="13" t="n">
        <v>0</v>
      </c>
      <c r="X117" s="13" t="n"/>
      <c r="Y117" s="2">
        <f>(U117*0.88-S117-V117-W117-X117)*1.18/0.92</f>
        <v/>
      </c>
      <c r="Z117" s="1" t="n">
        <v>174190</v>
      </c>
      <c r="AA117" s="5" t="n"/>
      <c r="AB117" s="5" t="n"/>
      <c r="AC117" s="14" t="n">
        <v>174190</v>
      </c>
      <c r="AD117" s="5" t="n">
        <v>0</v>
      </c>
      <c r="AE117" s="5" t="n"/>
      <c r="AF117" s="5">
        <f>W117+X117</f>
        <v/>
      </c>
      <c r="AG117" s="5" t="n"/>
      <c r="AH117" s="13" t="n">
        <v>0</v>
      </c>
      <c r="AI117" s="13" t="n"/>
      <c r="AJ117" s="5" t="n"/>
      <c r="AL117" s="5" t="n"/>
      <c r="AM117" s="5" t="n">
        <v>173181.3043478264</v>
      </c>
      <c r="AN117" s="5">
        <f>Y117-AM117</f>
        <v/>
      </c>
      <c r="AO117" s="5" t="n"/>
      <c r="AP117" s="5">
        <f>U117-AL117</f>
        <v/>
      </c>
      <c r="AQ117" s="20" t="n">
        <v>0</v>
      </c>
      <c r="AR117" s="20" t="n"/>
      <c r="AT117" s="3" t="n">
        <v>0</v>
      </c>
      <c r="AV117" s="5">
        <f>ROUNDUP((AT117/8)*80,0)</f>
        <v/>
      </c>
      <c r="AX117" s="38">
        <f>AV117*W117</f>
        <v/>
      </c>
      <c r="BA117" s="3" t="n">
        <v>0</v>
      </c>
      <c r="BB117" s="3" t="n">
        <v>0</v>
      </c>
      <c r="BC117" s="3" t="n">
        <v>0</v>
      </c>
      <c r="BD117" s="3">
        <f>BC117+BB117+BA117</f>
        <v/>
      </c>
      <c r="BE117" s="3" t="n">
        <v>0</v>
      </c>
      <c r="BF117" s="3" t="n">
        <v>0</v>
      </c>
      <c r="BH117" s="3">
        <f>ROUNDUP(BD117*1.85,0)</f>
        <v/>
      </c>
      <c r="BJ117" s="38">
        <f>BH117*V117</f>
        <v/>
      </c>
      <c r="BL117" s="3">
        <f>U117*1.18</f>
        <v/>
      </c>
    </row>
    <row r="118">
      <c r="A118" s="1" t="inlineStr">
        <is>
          <t>82Y3003WIN</t>
        </is>
      </c>
      <c r="B118" s="1">
        <f>IF(BL118&lt;40000,"Entry",IF(BL118&gt;65000,"Premium","Mainstream"))</f>
        <v/>
      </c>
      <c r="C118" s="1" t="inlineStr">
        <is>
          <t>Premium</t>
        </is>
      </c>
      <c r="D118" s="1" t="inlineStr">
        <is>
          <t>i9 OS 8GB Graphics Office</t>
        </is>
      </c>
      <c r="E118" s="1" t="inlineStr">
        <is>
          <t>Gaming</t>
        </is>
      </c>
      <c r="F118" s="1" t="inlineStr">
        <is>
          <t>Legion S7</t>
        </is>
      </c>
      <c r="G118" s="1" t="inlineStr">
        <is>
          <t>Legion S7 16IRH8</t>
        </is>
      </c>
      <c r="H118" s="1" t="inlineStr">
        <is>
          <t>i9</t>
        </is>
      </c>
      <c r="I118" s="1" t="inlineStr">
        <is>
          <t>13th Gen</t>
        </is>
      </c>
      <c r="J118" s="1" t="inlineStr">
        <is>
          <t>i9-13900H</t>
        </is>
      </c>
      <c r="K118" s="1" t="inlineStr">
        <is>
          <t>32GB</t>
        </is>
      </c>
      <c r="L118" s="1" t="inlineStr">
        <is>
          <t>1TB SSD</t>
        </is>
      </c>
      <c r="M118" s="1" t="inlineStr">
        <is>
          <t>Windows 11</t>
        </is>
      </c>
      <c r="N118" s="1" t="inlineStr">
        <is>
          <t>Office 2021</t>
        </is>
      </c>
      <c r="O118" s="1" t="inlineStr">
        <is>
          <t>RTX 4070 8GB</t>
        </is>
      </c>
      <c r="P118" s="1" t="inlineStr">
        <is>
          <t>16_3.2K_AG_430N_165Hz</t>
        </is>
      </c>
      <c r="Q118" s="1" t="inlineStr">
        <is>
          <t>1 Yr Onsite + 1 Yr LUS</t>
        </is>
      </c>
      <c r="R118" s="1" t="inlineStr">
        <is>
          <t>Full GTN</t>
        </is>
      </c>
      <c r="S118" s="1" t="n">
        <v>725</v>
      </c>
      <c r="T118" s="2">
        <f>U118*0.98*0.965</f>
        <v/>
      </c>
      <c r="U118" s="13" t="n">
        <v>158688.6556240367</v>
      </c>
      <c r="V118" s="13" t="n">
        <v>0</v>
      </c>
      <c r="W118" s="13" t="n">
        <v>0</v>
      </c>
      <c r="X118" s="13" t="n"/>
      <c r="Y118" s="2">
        <f>(U118*0.88-S118-V118-W118-X118)*1.18/0.92</f>
        <v/>
      </c>
      <c r="Z118" s="1" t="n">
        <v>179190</v>
      </c>
      <c r="AA118" s="5" t="n"/>
      <c r="AB118" s="5" t="n"/>
      <c r="AC118" s="14" t="n">
        <v>179190</v>
      </c>
      <c r="AD118" s="5" t="n">
        <v>0</v>
      </c>
      <c r="AE118" s="5" t="n"/>
      <c r="AF118" s="5">
        <f>W118+X118</f>
        <v/>
      </c>
      <c r="AG118" s="5" t="n"/>
      <c r="AH118" s="13" t="n">
        <v>0</v>
      </c>
      <c r="AI118" s="13" t="n"/>
      <c r="AJ118" s="5" t="n"/>
      <c r="AL118" s="5" t="n"/>
      <c r="AM118" s="5" t="n">
        <v>178181.3043478258</v>
      </c>
      <c r="AN118" s="5">
        <f>Y118-AM118</f>
        <v/>
      </c>
      <c r="AO118" s="5" t="n"/>
      <c r="AP118" s="5">
        <f>U118-AL118</f>
        <v/>
      </c>
      <c r="AQ118" s="20" t="n">
        <v>0</v>
      </c>
      <c r="AR118" s="20" t="n"/>
      <c r="AT118" s="3" t="n">
        <v>0</v>
      </c>
      <c r="AV118" s="5">
        <f>ROUNDUP((AT118/8)*80,0)</f>
        <v/>
      </c>
      <c r="AX118" s="38">
        <f>AV118*W118</f>
        <v/>
      </c>
      <c r="BA118" s="3" t="n">
        <v>0</v>
      </c>
      <c r="BB118" s="3" t="n">
        <v>0</v>
      </c>
      <c r="BC118" s="3" t="n">
        <v>0</v>
      </c>
      <c r="BD118" s="3">
        <f>BC118+BB118+BA118</f>
        <v/>
      </c>
      <c r="BE118" s="3" t="n">
        <v>133</v>
      </c>
      <c r="BF118" s="3" t="n">
        <v>92</v>
      </c>
      <c r="BH118" s="3">
        <f>ROUNDUP(BD118*1.85,0)</f>
        <v/>
      </c>
      <c r="BJ118" s="38">
        <f>BH118*V118</f>
        <v/>
      </c>
      <c r="BL118" s="3">
        <f>U118*1.18</f>
        <v/>
      </c>
    </row>
    <row r="119">
      <c r="A119" s="1" t="inlineStr">
        <is>
          <t>82WQ007TIN</t>
        </is>
      </c>
      <c r="B119" s="1">
        <f>IF(BL119&lt;40000,"Entry",IF(BL119&gt;65000,"Premium","Mainstream"))</f>
        <v/>
      </c>
      <c r="C119" s="1" t="inlineStr">
        <is>
          <t>Premium</t>
        </is>
      </c>
      <c r="D119" s="1" t="inlineStr">
        <is>
          <t>i9 OS 12GB Graphics Office</t>
        </is>
      </c>
      <c r="E119" s="1" t="inlineStr">
        <is>
          <t>Gaming</t>
        </is>
      </c>
      <c r="F119" s="1" t="inlineStr">
        <is>
          <t>Legion Pro 7</t>
        </is>
      </c>
      <c r="G119" s="1" t="inlineStr">
        <is>
          <t>Legion Pro 7 16IRX8H</t>
        </is>
      </c>
      <c r="H119" s="1" t="inlineStr">
        <is>
          <t>i9</t>
        </is>
      </c>
      <c r="I119" s="1" t="inlineStr">
        <is>
          <t>13th Gen</t>
        </is>
      </c>
      <c r="J119" s="1" t="inlineStr">
        <is>
          <t>i9-13900HX</t>
        </is>
      </c>
      <c r="K119" s="1" t="inlineStr">
        <is>
          <t>32GB</t>
        </is>
      </c>
      <c r="L119" s="1" t="inlineStr">
        <is>
          <t>1TB SSD</t>
        </is>
      </c>
      <c r="M119" s="1" t="inlineStr">
        <is>
          <t>Windows 11</t>
        </is>
      </c>
      <c r="N119" s="1" t="inlineStr">
        <is>
          <t>Office 2021</t>
        </is>
      </c>
      <c r="O119" s="1" t="inlineStr">
        <is>
          <t>RTX 4080 12GB</t>
        </is>
      </c>
      <c r="P119" s="1" t="inlineStr">
        <is>
          <t>16_WQXGA_AG_500N_240Hz</t>
        </is>
      </c>
      <c r="Q119" s="1" t="inlineStr">
        <is>
          <t>1 Yr Onsite + 1 Yr LUS</t>
        </is>
      </c>
      <c r="R119" s="1" t="inlineStr">
        <is>
          <t>Full GTN</t>
        </is>
      </c>
      <c r="S119" s="1" t="n">
        <v>725</v>
      </c>
      <c r="T119" s="2">
        <f>U119*0.98*0.965</f>
        <v/>
      </c>
      <c r="U119" s="13" t="n">
        <v>265006.0670261937</v>
      </c>
      <c r="V119" s="13" t="n">
        <v>0</v>
      </c>
      <c r="W119" s="13" t="n">
        <v>0</v>
      </c>
      <c r="X119" s="13" t="n">
        <v>18081.35593220296</v>
      </c>
      <c r="Y119" s="2">
        <f>(U119*0.88-S119-V119-W119-X119)*1.18/0.92</f>
        <v/>
      </c>
      <c r="Z119" s="1" t="n">
        <v>274990</v>
      </c>
      <c r="AA119" s="5" t="n"/>
      <c r="AB119" s="5" t="n"/>
      <c r="AC119" s="14" t="n">
        <v>274990</v>
      </c>
      <c r="AD119" s="5">
        <f>(Y119-AC119)/1.18*0.92</f>
        <v/>
      </c>
      <c r="AE119" s="5" t="n"/>
      <c r="AF119" s="5">
        <f>W119+X119</f>
        <v/>
      </c>
      <c r="AG119" s="5" t="n"/>
      <c r="AH119" s="13" t="n">
        <v>0</v>
      </c>
      <c r="AI119" s="13" t="n"/>
      <c r="AJ119" s="5" t="n"/>
      <c r="AL119" s="5" t="n"/>
      <c r="AM119" s="5" t="n">
        <v>298181.3043478255</v>
      </c>
      <c r="AN119" s="5">
        <f>Y119-AM119</f>
        <v/>
      </c>
      <c r="AO119" s="5" t="n"/>
      <c r="AP119" s="5">
        <f>U119-AL119</f>
        <v/>
      </c>
      <c r="AQ119" s="20" t="n">
        <v>0</v>
      </c>
      <c r="AR119" s="20" t="n"/>
      <c r="AT119" s="3" t="n">
        <v>0</v>
      </c>
      <c r="AV119" s="5">
        <f>ROUNDUP((AT119/8)*80,0)</f>
        <v/>
      </c>
      <c r="AX119" s="38">
        <f>AV119*W119</f>
        <v/>
      </c>
      <c r="BA119" s="3" t="n">
        <v>3</v>
      </c>
      <c r="BB119" s="3" t="n">
        <v>2</v>
      </c>
      <c r="BC119" s="3" t="n">
        <v>4</v>
      </c>
      <c r="BD119" s="3">
        <f>BC119+BB119+BA119</f>
        <v/>
      </c>
      <c r="BE119" s="3" t="n">
        <v>10</v>
      </c>
      <c r="BF119" s="3" t="n">
        <v>10</v>
      </c>
      <c r="BH119" s="3">
        <f>ROUNDUP(BD119*1.85,0)</f>
        <v/>
      </c>
      <c r="BJ119" s="38">
        <f>BH119*V119</f>
        <v/>
      </c>
      <c r="BL119" s="3">
        <f>U119*1.18</f>
        <v/>
      </c>
    </row>
    <row r="120">
      <c r="A120" s="1" t="inlineStr">
        <is>
          <t>82WQ007UIN</t>
        </is>
      </c>
      <c r="B120" s="1">
        <f>IF(BL120&lt;40000,"Entry",IF(BL120&gt;65000,"Premium","Mainstream"))</f>
        <v/>
      </c>
      <c r="C120" s="1" t="inlineStr">
        <is>
          <t>Premium</t>
        </is>
      </c>
      <c r="D120" s="1" t="inlineStr">
        <is>
          <t>i9 OS 16GB Graphics Office</t>
        </is>
      </c>
      <c r="E120" s="1" t="inlineStr">
        <is>
          <t>Gaming</t>
        </is>
      </c>
      <c r="F120" s="1" t="inlineStr">
        <is>
          <t>Legion Pro 7</t>
        </is>
      </c>
      <c r="G120" s="1" t="inlineStr">
        <is>
          <t>Legion Pro 7 16IRX8H</t>
        </is>
      </c>
      <c r="H120" s="1" t="inlineStr">
        <is>
          <t>i9</t>
        </is>
      </c>
      <c r="I120" s="1" t="inlineStr">
        <is>
          <t>13th Gen</t>
        </is>
      </c>
      <c r="J120" s="1" t="inlineStr">
        <is>
          <t>i9-13900HX</t>
        </is>
      </c>
      <c r="K120" s="1" t="inlineStr">
        <is>
          <t>32GB</t>
        </is>
      </c>
      <c r="L120" s="1" t="inlineStr">
        <is>
          <t>1TB SSD</t>
        </is>
      </c>
      <c r="M120" s="1" t="inlineStr">
        <is>
          <t>Windows 11</t>
        </is>
      </c>
      <c r="N120" s="1" t="inlineStr">
        <is>
          <t>Office 2021</t>
        </is>
      </c>
      <c r="O120" s="1" t="inlineStr">
        <is>
          <t>RTX 4090 16GB</t>
        </is>
      </c>
      <c r="P120" s="1" t="inlineStr">
        <is>
          <t>16_WQXGA_AG_500N_240Hz</t>
        </is>
      </c>
      <c r="Q120" s="1" t="inlineStr">
        <is>
          <t>1 Yr Onsite + 1 Yr LUS</t>
        </is>
      </c>
      <c r="R120" s="1" t="inlineStr">
        <is>
          <t>Full GTN</t>
        </is>
      </c>
      <c r="S120" s="1" t="n">
        <v>725</v>
      </c>
      <c r="T120" s="2">
        <f>U120*0.98*0.965</f>
        <v/>
      </c>
      <c r="U120" s="13" t="n">
        <v>315506.8374422187</v>
      </c>
      <c r="V120" s="13" t="n">
        <v>0</v>
      </c>
      <c r="W120" s="13" t="n">
        <v>0</v>
      </c>
      <c r="X120" s="13" t="n"/>
      <c r="Y120" s="2">
        <f>(U120*0.88-S120-V120-W120-X120)*1.18/0.92</f>
        <v/>
      </c>
      <c r="Z120" s="1" t="n">
        <v>355990</v>
      </c>
      <c r="AA120" s="5" t="n"/>
      <c r="AB120" s="5" t="n"/>
      <c r="AC120" s="14" t="n">
        <v>355990</v>
      </c>
      <c r="AD120" s="5" t="n">
        <v>0</v>
      </c>
      <c r="AE120" s="5" t="n"/>
      <c r="AF120" s="5">
        <f>W120+X120</f>
        <v/>
      </c>
      <c r="AG120" s="5" t="n"/>
      <c r="AH120" s="13" t="n">
        <v>0</v>
      </c>
      <c r="AI120" s="13" t="n"/>
      <c r="AJ120" s="5" t="n"/>
      <c r="AL120" s="5" t="n"/>
      <c r="AM120" s="5" t="n">
        <v>355181.304347826</v>
      </c>
      <c r="AN120" s="5">
        <f>Y120-AM120</f>
        <v/>
      </c>
      <c r="AO120" s="5" t="n"/>
      <c r="AP120" s="5">
        <f>U120-AL120</f>
        <v/>
      </c>
      <c r="AQ120" s="20" t="n">
        <v>0</v>
      </c>
      <c r="AR120" s="20" t="n"/>
      <c r="AT120" s="3" t="n">
        <v>0</v>
      </c>
      <c r="AV120" s="5">
        <f>ROUNDUP((AT120/8)*80,0)</f>
        <v/>
      </c>
      <c r="AX120" s="38">
        <f>AV120*W120</f>
        <v/>
      </c>
      <c r="BA120" s="3" t="n">
        <v>0</v>
      </c>
      <c r="BB120" s="3" t="n">
        <v>0</v>
      </c>
      <c r="BC120" s="3" t="n">
        <v>0</v>
      </c>
      <c r="BD120" s="3">
        <f>BC120+BB120+BA120</f>
        <v/>
      </c>
      <c r="BE120" s="3" t="n">
        <v>3</v>
      </c>
      <c r="BF120" s="3" t="n">
        <v>6</v>
      </c>
      <c r="BH120" s="3">
        <f>ROUNDUP(BD120*1.85,0)</f>
        <v/>
      </c>
      <c r="BJ120" s="38">
        <f>BH120*V120</f>
        <v/>
      </c>
      <c r="BL120" s="3">
        <f>U120*1.18</f>
        <v/>
      </c>
    </row>
    <row r="121">
      <c r="A121" s="1" t="inlineStr">
        <is>
          <t>82WK00MWIN</t>
        </is>
      </c>
      <c r="B121" s="1">
        <f>IF(BL121&lt;40000,"Entry",IF(BL121&gt;65000,"Premium","Mainstream"))</f>
        <v/>
      </c>
      <c r="C121" s="1" t="inlineStr">
        <is>
          <t>Premium</t>
        </is>
      </c>
      <c r="D121" s="1" t="inlineStr">
        <is>
          <t>i7 OS 8GB Graphix Office</t>
        </is>
      </c>
      <c r="E121" s="1" t="inlineStr">
        <is>
          <t>Gaming</t>
        </is>
      </c>
      <c r="F121" s="1" t="inlineStr">
        <is>
          <t>Legion 5 Pro</t>
        </is>
      </c>
      <c r="G121" s="1" t="inlineStr">
        <is>
          <t>Legion 5 Pro 16IRX8</t>
        </is>
      </c>
      <c r="H121" s="1" t="inlineStr">
        <is>
          <t>i7</t>
        </is>
      </c>
      <c r="I121" s="1" t="inlineStr">
        <is>
          <t>13th Gen</t>
        </is>
      </c>
      <c r="J121" s="1" t="inlineStr">
        <is>
          <t>i7 13700HX</t>
        </is>
      </c>
      <c r="K121" s="1" t="inlineStr">
        <is>
          <t>16GB</t>
        </is>
      </c>
      <c r="L121" s="1" t="inlineStr">
        <is>
          <t>1TB SSD</t>
        </is>
      </c>
      <c r="M121" s="1" t="inlineStr">
        <is>
          <t>Windows 11</t>
        </is>
      </c>
      <c r="N121" s="1" t="inlineStr">
        <is>
          <t>OFFICE 2021</t>
        </is>
      </c>
      <c r="O121" s="1" t="inlineStr">
        <is>
          <t>RTX 4060 8GB</t>
        </is>
      </c>
      <c r="P121" s="1" t="inlineStr">
        <is>
          <t>16_WQXGA_AG_500N_240_HDR_SRGB</t>
        </is>
      </c>
      <c r="Q121" s="1" t="inlineStr">
        <is>
          <t>1 Yr Onsite + 1 Yr LUS</t>
        </is>
      </c>
      <c r="R121" s="1" t="inlineStr">
        <is>
          <t>Full GTN</t>
        </is>
      </c>
      <c r="S121" s="1" t="n">
        <v>725</v>
      </c>
      <c r="T121" s="2">
        <f>U121*0.98*0.965</f>
        <v/>
      </c>
      <c r="U121" s="13" t="n">
        <v>136539.1949152547</v>
      </c>
      <c r="V121" s="13" t="n">
        <v>0</v>
      </c>
      <c r="W121" s="13" t="n">
        <v>0</v>
      </c>
      <c r="X121" s="13" t="n"/>
      <c r="Y121" s="2">
        <f>(U121*0.88-S121-V121-W121-X121)*1.18/0.92</f>
        <v/>
      </c>
      <c r="Z121" s="1" t="n">
        <v>153190</v>
      </c>
      <c r="AA121" s="5" t="n"/>
      <c r="AB121" s="5" t="n"/>
      <c r="AC121" s="14" t="n">
        <v>0</v>
      </c>
      <c r="AD121" s="5" t="n">
        <v>0</v>
      </c>
      <c r="AE121" s="5" t="n"/>
      <c r="AF121" s="5">
        <f>W121+X121</f>
        <v/>
      </c>
      <c r="AG121" s="5" t="n"/>
      <c r="AH121" s="13" t="n">
        <v>0</v>
      </c>
      <c r="AI121" s="13" t="n"/>
      <c r="AJ121" s="5" t="n"/>
      <c r="AL121" s="5" t="n"/>
      <c r="AM121" s="5" t="n">
        <v>153181.3043478266</v>
      </c>
      <c r="AN121" s="5">
        <f>Y121-AM121</f>
        <v/>
      </c>
      <c r="AO121" s="5" t="n"/>
      <c r="AP121" s="5">
        <f>U121-AL121</f>
        <v/>
      </c>
      <c r="AQ121" s="20" t="n">
        <v>0</v>
      </c>
      <c r="AR121" s="20" t="n"/>
      <c r="AT121" s="3" t="n">
        <v>0</v>
      </c>
      <c r="AV121" s="5">
        <f>ROUNDUP((AT121/8)*80,0)</f>
        <v/>
      </c>
      <c r="AX121" s="38">
        <f>AV121*W121</f>
        <v/>
      </c>
      <c r="BA121" s="3" t="n">
        <v>1</v>
      </c>
      <c r="BB121" s="3" t="n">
        <v>0</v>
      </c>
      <c r="BC121" s="3" t="n">
        <v>0</v>
      </c>
      <c r="BD121" s="3">
        <f>BC121+BB121+BA121</f>
        <v/>
      </c>
      <c r="BE121" s="3" t="n">
        <v>1</v>
      </c>
      <c r="BF121" s="3" t="n">
        <v>9</v>
      </c>
      <c r="BH121" s="3">
        <f>ROUNDUP(BD121*1.85,0)</f>
        <v/>
      </c>
      <c r="BJ121" s="38">
        <f>BH121*V121</f>
        <v/>
      </c>
      <c r="BL121" s="3">
        <f>U121*1.18</f>
        <v/>
      </c>
    </row>
    <row r="122">
      <c r="A122" s="1" t="inlineStr">
        <is>
          <t>82SB00M6IN</t>
        </is>
      </c>
      <c r="B122" s="1">
        <f>IF(BL122&lt;40000,"Entry",IF(BL122&gt;65000,"Premium","Mainstream"))</f>
        <v/>
      </c>
      <c r="C122" s="1" t="inlineStr">
        <is>
          <t>Premium</t>
        </is>
      </c>
      <c r="D122" s="1" t="inlineStr">
        <is>
          <t>R5 OS 6GB Graphics Office</t>
        </is>
      </c>
      <c r="E122" s="1" t="inlineStr">
        <is>
          <t>Gaming</t>
        </is>
      </c>
      <c r="F122" s="1" t="inlineStr">
        <is>
          <t>IP Gaming 3</t>
        </is>
      </c>
      <c r="G122" s="1" t="inlineStr">
        <is>
          <t>IdeaPad Gaming 3 15ARH7</t>
        </is>
      </c>
      <c r="H122" s="1" t="inlineStr">
        <is>
          <t>R5</t>
        </is>
      </c>
      <c r="I122" s="1" t="inlineStr">
        <is>
          <t>7XXXHS</t>
        </is>
      </c>
      <c r="J122" s="1" t="inlineStr">
        <is>
          <t>R5 7535HS</t>
        </is>
      </c>
      <c r="K122" s="1" t="inlineStr">
        <is>
          <t>16GB</t>
        </is>
      </c>
      <c r="L122" s="1" t="inlineStr">
        <is>
          <t>512GB SSD</t>
        </is>
      </c>
      <c r="M122" s="1" t="inlineStr">
        <is>
          <t>Windows 11</t>
        </is>
      </c>
      <c r="N122" s="1" t="inlineStr">
        <is>
          <t>OFFICE 2021</t>
        </is>
      </c>
      <c r="O122" s="1" t="inlineStr">
        <is>
          <t>RTX 3050 6GB</t>
        </is>
      </c>
      <c r="P122" s="1" t="inlineStr">
        <is>
          <t>15.6FHD_AG_250N_120_N</t>
        </is>
      </c>
      <c r="Q122" s="1" t="inlineStr">
        <is>
          <t>1 Year onsite</t>
        </is>
      </c>
      <c r="R122" s="1" t="inlineStr">
        <is>
          <t>Zero GTN</t>
        </is>
      </c>
      <c r="S122" s="1" t="n">
        <v>0</v>
      </c>
      <c r="T122" s="2">
        <f>U122*0.98*0.98</f>
        <v/>
      </c>
      <c r="U122" s="13" t="n">
        <v>60493.22033898305</v>
      </c>
      <c r="V122" s="13" t="n">
        <v>0</v>
      </c>
      <c r="W122" s="13" t="n">
        <v>0</v>
      </c>
      <c r="X122" s="13" t="n"/>
      <c r="Y122" s="2">
        <f>(U122*0.98-S122-V122-W122-X122)*1.18/0.92</f>
        <v/>
      </c>
      <c r="Z122" s="1" t="n">
        <v>76190</v>
      </c>
      <c r="AA122" s="5" t="n"/>
      <c r="AB122" s="5" t="n"/>
      <c r="AC122" s="14" t="n">
        <v>76190</v>
      </c>
      <c r="AD122" s="5" t="n">
        <v>0</v>
      </c>
      <c r="AE122" s="5" t="n"/>
      <c r="AF122" s="5">
        <f>W122+X122</f>
        <v/>
      </c>
      <c r="AG122" s="5" t="n"/>
      <c r="AH122" s="13" t="n">
        <v>0</v>
      </c>
      <c r="AI122" s="13" t="n"/>
      <c r="AJ122" s="5" t="n"/>
      <c r="AL122" s="5" t="n"/>
      <c r="AM122" s="5" t="n">
        <v>76037.34782608696</v>
      </c>
      <c r="AN122" s="5">
        <f>Y122-AM122</f>
        <v/>
      </c>
      <c r="AO122" s="5" t="n"/>
      <c r="AP122" s="5">
        <f>U122-AL122</f>
        <v/>
      </c>
      <c r="AQ122" s="20" t="n">
        <v>0</v>
      </c>
      <c r="AR122" s="20" t="n"/>
      <c r="AT122" s="3" t="n">
        <v>0</v>
      </c>
      <c r="AV122" s="5">
        <f>ROUNDUP((AT122/8)*80,0)</f>
        <v/>
      </c>
      <c r="AX122" s="38">
        <f>AV122*W122</f>
        <v/>
      </c>
      <c r="BA122" s="3" t="n">
        <v>54</v>
      </c>
      <c r="BB122" s="3" t="n">
        <v>0</v>
      </c>
      <c r="BC122" s="3" t="n">
        <v>0</v>
      </c>
      <c r="BD122" s="3">
        <f>BC122+BB122+BA122</f>
        <v/>
      </c>
      <c r="BE122" s="3" t="n">
        <v>346</v>
      </c>
      <c r="BF122" s="3" t="n">
        <v>0</v>
      </c>
      <c r="BH122" s="3">
        <f>ROUNDUP(BD122*1.85,0)</f>
        <v/>
      </c>
      <c r="BJ122" s="38">
        <f>BH122*V122</f>
        <v/>
      </c>
      <c r="BL122" s="3">
        <f>U122*1.18</f>
        <v/>
      </c>
    </row>
    <row r="123">
      <c r="A123" s="1" t="inlineStr">
        <is>
          <t>82SB00QYIN</t>
        </is>
      </c>
      <c r="B123" s="1">
        <f>IF(BL123&lt;40000,"Entry",IF(BL123&gt;65000,"Premium","Mainstream"))</f>
        <v/>
      </c>
      <c r="C123" s="1" t="inlineStr">
        <is>
          <t>Premium</t>
        </is>
      </c>
      <c r="D123" s="1" t="inlineStr">
        <is>
          <t>R7 OS 6GB Graphics Office</t>
        </is>
      </c>
      <c r="E123" s="1" t="inlineStr">
        <is>
          <t>Gaming</t>
        </is>
      </c>
      <c r="F123" s="1" t="inlineStr">
        <is>
          <t>IP Gaming 3</t>
        </is>
      </c>
      <c r="G123" s="1" t="inlineStr">
        <is>
          <t>IdeaPad Gaming 3 15ARH7</t>
        </is>
      </c>
      <c r="H123" s="1" t="inlineStr">
        <is>
          <t>R7</t>
        </is>
      </c>
      <c r="I123" s="1" t="inlineStr">
        <is>
          <t>7XXXHS</t>
        </is>
      </c>
      <c r="J123" s="1" t="inlineStr">
        <is>
          <t>R7 7735HS</t>
        </is>
      </c>
      <c r="K123" s="1" t="inlineStr">
        <is>
          <t>16GB</t>
        </is>
      </c>
      <c r="L123" s="1" t="inlineStr">
        <is>
          <t>512GB SSD</t>
        </is>
      </c>
      <c r="M123" s="1" t="inlineStr">
        <is>
          <t>Windows 11</t>
        </is>
      </c>
      <c r="N123" s="1" t="inlineStr">
        <is>
          <t>OFFICE 2021</t>
        </is>
      </c>
      <c r="O123" s="1" t="inlineStr">
        <is>
          <t>RTX 3050 6GB</t>
        </is>
      </c>
      <c r="P123" s="1" t="inlineStr">
        <is>
          <t>15.6FHD_AG_250N_120_N</t>
        </is>
      </c>
      <c r="Q123" s="1" t="inlineStr">
        <is>
          <t>1 Year onsite</t>
        </is>
      </c>
      <c r="R123" s="1" t="inlineStr">
        <is>
          <t>Zero GTN</t>
        </is>
      </c>
      <c r="S123" s="1" t="n">
        <v>0</v>
      </c>
      <c r="T123" s="2">
        <f>U123*0.98*0.98</f>
        <v/>
      </c>
      <c r="U123" s="13" t="n">
        <v>65319.49152542373</v>
      </c>
      <c r="V123" s="13" t="n">
        <v>0</v>
      </c>
      <c r="W123" s="13" t="n">
        <v>0</v>
      </c>
      <c r="X123" s="13" t="n"/>
      <c r="Y123" s="2">
        <f>(U123*0.98-S123-V123-W123-X123)*1.18/0.92</f>
        <v/>
      </c>
      <c r="Z123" s="1" t="n">
        <v>82190</v>
      </c>
      <c r="AA123" s="5" t="n"/>
      <c r="AB123" s="5" t="n"/>
      <c r="AC123" s="14" t="n">
        <v>82190</v>
      </c>
      <c r="AD123" s="5" t="n">
        <v>0</v>
      </c>
      <c r="AE123" s="5" t="n"/>
      <c r="AF123" s="5">
        <f>W123+X123</f>
        <v/>
      </c>
      <c r="AG123" s="5" t="n"/>
      <c r="AH123" s="13" t="n">
        <v>0</v>
      </c>
      <c r="AI123" s="13" t="n"/>
      <c r="AJ123" s="5" t="n"/>
      <c r="AL123" s="5" t="n"/>
      <c r="AM123" s="5" t="n">
        <v>82103.76086956522</v>
      </c>
      <c r="AN123" s="5">
        <f>Y123-AM123</f>
        <v/>
      </c>
      <c r="AO123" s="5" t="n"/>
      <c r="AP123" s="5">
        <f>U123-AL123</f>
        <v/>
      </c>
      <c r="AQ123" s="20" t="n">
        <v>0</v>
      </c>
      <c r="AR123" s="20" t="n"/>
      <c r="AT123" s="3" t="n">
        <v>0</v>
      </c>
      <c r="AV123" s="5">
        <f>ROUNDUP((AT123/8)*80,0)</f>
        <v/>
      </c>
      <c r="AX123" s="38">
        <f>AV123*W123</f>
        <v/>
      </c>
      <c r="BA123" s="3" t="n">
        <v>54</v>
      </c>
      <c r="BB123" s="3" t="n">
        <v>0</v>
      </c>
      <c r="BC123" s="3" t="n">
        <v>0</v>
      </c>
      <c r="BD123" s="3">
        <f>BC123+BB123+BA123</f>
        <v/>
      </c>
      <c r="BE123" s="3" t="n">
        <v>346</v>
      </c>
      <c r="BF123" s="3" t="n">
        <v>0</v>
      </c>
      <c r="BH123" s="3">
        <f>ROUNDUP(BD123*1.85,0)</f>
        <v/>
      </c>
      <c r="BJ123" s="38">
        <f>BH123*V123</f>
        <v/>
      </c>
      <c r="BL123" s="3">
        <f>U123*1.18</f>
        <v/>
      </c>
    </row>
    <row r="124">
      <c r="A124" s="1" t="inlineStr">
        <is>
          <t>82XJ002LHA</t>
        </is>
      </c>
      <c r="B124" s="1">
        <f>IF(BL124&lt;40000,"Entry",IF(BL124&gt;65000,"Premium","Mainstream"))</f>
        <v/>
      </c>
      <c r="C124" s="1" t="inlineStr">
        <is>
          <t>Entry</t>
        </is>
      </c>
      <c r="D124" s="1" t="inlineStr">
        <is>
          <t>MTK Chrome OS</t>
        </is>
      </c>
      <c r="E124" s="1" t="inlineStr">
        <is>
          <t>Thin &amp; Light</t>
        </is>
      </c>
      <c r="F124" s="1" t="inlineStr">
        <is>
          <t>Slim 3 CB</t>
        </is>
      </c>
      <c r="G124" s="1" t="inlineStr">
        <is>
          <t>IP 3 CB 14M868</t>
        </is>
      </c>
      <c r="H124" s="1" t="inlineStr">
        <is>
          <t>MT</t>
        </is>
      </c>
      <c r="I124" s="1" t="n">
        <v>8186</v>
      </c>
      <c r="J124" s="1" t="inlineStr">
        <is>
          <t>MT8186_2.05G_8C</t>
        </is>
      </c>
      <c r="K124" s="1" t="inlineStr">
        <is>
          <t>4GB</t>
        </is>
      </c>
      <c r="L124" s="1" t="inlineStr">
        <is>
          <t>128GB</t>
        </is>
      </c>
      <c r="M124" s="1" t="inlineStr">
        <is>
          <t>Chrome OS</t>
        </is>
      </c>
      <c r="N124" s="1" t="inlineStr">
        <is>
          <t>No Office</t>
        </is>
      </c>
      <c r="O124" s="1" t="inlineStr">
        <is>
          <t>INTEGRATED_GRAPHICS</t>
        </is>
      </c>
      <c r="P124" s="1" t="inlineStr">
        <is>
          <t>14 HD 250 nits AG,non touch</t>
        </is>
      </c>
      <c r="Q124" s="1" t="inlineStr">
        <is>
          <t>1 Year Onsite</t>
        </is>
      </c>
      <c r="R124" s="1" t="inlineStr">
        <is>
          <t>Zero GTN</t>
        </is>
      </c>
      <c r="S124" s="1" t="n">
        <v>0</v>
      </c>
      <c r="T124" s="2" t="n">
        <v>16848</v>
      </c>
      <c r="U124" s="13" t="n">
        <v>17542.37288135593</v>
      </c>
      <c r="V124" s="13" t="n">
        <v>0</v>
      </c>
      <c r="W124" s="13" t="n">
        <v>0</v>
      </c>
      <c r="X124" s="13" t="n"/>
      <c r="Y124" s="2">
        <f>(U124*0.98-S124-V124-W124-X124)*1.18/0.92</f>
        <v/>
      </c>
      <c r="Z124" s="18">
        <f>AC124</f>
        <v/>
      </c>
      <c r="AA124" s="5" t="inlineStr">
        <is>
          <t>Ok</t>
        </is>
      </c>
      <c r="AB124" s="5" t="n"/>
      <c r="AC124" s="14" t="n">
        <v>21990</v>
      </c>
      <c r="AD124" s="5">
        <f>(Y124-AC124)/1.18*0.92</f>
        <v/>
      </c>
      <c r="AE124" s="5" t="n"/>
      <c r="AF124" s="5">
        <f>W124+X124</f>
        <v/>
      </c>
      <c r="AG124" s="5" t="n"/>
      <c r="AH124" s="13" t="n">
        <v>0</v>
      </c>
      <c r="AI124" s="13" t="n"/>
      <c r="AJ124" s="5" t="n"/>
      <c r="AL124" s="5" t="n"/>
      <c r="AM124" s="5" t="n">
        <v>22050</v>
      </c>
      <c r="AN124" s="5">
        <f>Y124-AM124</f>
        <v/>
      </c>
      <c r="AO124" s="5" t="n"/>
      <c r="AP124" s="5">
        <f>U124-AL124</f>
        <v/>
      </c>
      <c r="AQ124" s="20" t="n">
        <v>0</v>
      </c>
      <c r="AR124" s="20" t="n"/>
      <c r="AT124" s="3" t="n">
        <v>1</v>
      </c>
      <c r="AV124" s="5">
        <f>ROUNDUP((AT124/8)*80,0)</f>
        <v/>
      </c>
      <c r="AX124" s="38">
        <f>AV124*W124</f>
        <v/>
      </c>
      <c r="BA124" s="3" t="n">
        <v>250</v>
      </c>
      <c r="BB124" s="3" t="n">
        <v>0</v>
      </c>
      <c r="BC124" s="3" t="n">
        <v>0</v>
      </c>
      <c r="BD124" s="3">
        <f>BC124+BB124+BA124</f>
        <v/>
      </c>
      <c r="BE124" s="3" t="n">
        <v>0</v>
      </c>
      <c r="BF124" s="3" t="n">
        <v>0</v>
      </c>
      <c r="BH124" s="3">
        <f>ROUNDUP(BD124*1.85,0)</f>
        <v/>
      </c>
      <c r="BJ124" s="38">
        <f>BH124*V124</f>
        <v/>
      </c>
      <c r="BL124" s="3">
        <f>U124*1.18</f>
        <v/>
      </c>
    </row>
    <row r="125">
      <c r="A125" s="1" t="inlineStr">
        <is>
          <t>82XJ002RHA</t>
        </is>
      </c>
      <c r="B125" s="1">
        <f>IF(BL125&lt;40000,"Entry",IF(BL125&gt;65000,"Premium","Mainstream"))</f>
        <v/>
      </c>
      <c r="C125" s="1" t="inlineStr">
        <is>
          <t>Entry</t>
        </is>
      </c>
      <c r="D125" s="1" t="inlineStr">
        <is>
          <t>MTK Chrome OS</t>
        </is>
      </c>
      <c r="E125" s="1" t="inlineStr">
        <is>
          <t>Thin &amp; Light</t>
        </is>
      </c>
      <c r="F125" s="1" t="inlineStr">
        <is>
          <t>Slim 3 CB</t>
        </is>
      </c>
      <c r="G125" s="1" t="inlineStr">
        <is>
          <t>IP 3 CB 14M868</t>
        </is>
      </c>
      <c r="H125" s="1" t="inlineStr">
        <is>
          <t>MT</t>
        </is>
      </c>
      <c r="I125" s="1" t="n">
        <v>8186</v>
      </c>
      <c r="J125" s="1" t="inlineStr">
        <is>
          <t>MT8186_2.05G_8C</t>
        </is>
      </c>
      <c r="K125" s="1" t="inlineStr">
        <is>
          <t>8GB</t>
        </is>
      </c>
      <c r="L125" s="1" t="inlineStr">
        <is>
          <t>128GB</t>
        </is>
      </c>
      <c r="M125" s="1" t="inlineStr">
        <is>
          <t>Chrome OS</t>
        </is>
      </c>
      <c r="N125" s="1" t="inlineStr">
        <is>
          <t>No Office</t>
        </is>
      </c>
      <c r="O125" s="1" t="inlineStr">
        <is>
          <t>INTEGRATED_GRAPHICS</t>
        </is>
      </c>
      <c r="P125" s="1" t="inlineStr">
        <is>
          <t>14 HD 250 nits AG,non touch</t>
        </is>
      </c>
      <c r="Q125" s="1" t="inlineStr">
        <is>
          <t>1 Year Onsite</t>
        </is>
      </c>
      <c r="R125" s="1" t="inlineStr">
        <is>
          <t>Zero GTN</t>
        </is>
      </c>
      <c r="S125" s="1" t="n">
        <v>0</v>
      </c>
      <c r="T125" s="2" t="n">
        <v>18069</v>
      </c>
      <c r="U125" s="13" t="n">
        <v>18813.5593220339</v>
      </c>
      <c r="V125" s="13" t="n">
        <v>0</v>
      </c>
      <c r="W125" s="13" t="n">
        <v>0</v>
      </c>
      <c r="X125" s="13" t="n"/>
      <c r="Y125" s="2">
        <f>(U125*0.98-S125-V125-W125-X125)*1.18/0.92</f>
        <v/>
      </c>
      <c r="Z125" s="18">
        <f>AC125</f>
        <v/>
      </c>
      <c r="AA125" s="5" t="inlineStr">
        <is>
          <t>Ok</t>
        </is>
      </c>
      <c r="AB125" s="5" t="n"/>
      <c r="AC125" s="14" t="n">
        <v>23650</v>
      </c>
      <c r="AD125" s="5">
        <f>(Y125-AC125)/1.18*0.92</f>
        <v/>
      </c>
      <c r="AE125" s="5" t="n"/>
      <c r="AF125" s="5">
        <f>W125+X125</f>
        <v/>
      </c>
      <c r="AG125" s="5" t="n"/>
      <c r="AH125" s="13" t="n">
        <v>0</v>
      </c>
      <c r="AI125" s="13" t="n"/>
      <c r="AJ125" s="5" t="n"/>
      <c r="AL125" s="5" t="n"/>
      <c r="AM125" s="5" t="n">
        <v>23647.82608695652</v>
      </c>
      <c r="AN125" s="5">
        <f>Y125-AM125</f>
        <v/>
      </c>
      <c r="AO125" s="5" t="n"/>
      <c r="AP125" s="5">
        <f>U125-AL125</f>
        <v/>
      </c>
      <c r="AQ125" s="20" t="n">
        <v>0</v>
      </c>
      <c r="AR125" s="20" t="n"/>
      <c r="AT125" s="3" t="n">
        <v>10</v>
      </c>
      <c r="AV125" s="5">
        <f>ROUNDUP((AT125/8)*80,0)</f>
        <v/>
      </c>
      <c r="AX125" s="38">
        <f>AV125*W125</f>
        <v/>
      </c>
      <c r="BA125" s="3" t="n">
        <v>300</v>
      </c>
      <c r="BB125" s="3" t="n">
        <v>129</v>
      </c>
      <c r="BC125" s="3" t="n">
        <v>0</v>
      </c>
      <c r="BD125" s="3">
        <f>BC125+BB125+BA125</f>
        <v/>
      </c>
      <c r="BE125" s="3" t="n">
        <v>10</v>
      </c>
      <c r="BF125" s="3" t="n">
        <v>0</v>
      </c>
      <c r="BH125" s="3">
        <f>ROUNDUP(BD125*1.85,0)</f>
        <v/>
      </c>
      <c r="BJ125" s="38">
        <f>BH125*V125</f>
        <v/>
      </c>
      <c r="BL125" s="3">
        <f>U125*1.18</f>
        <v/>
      </c>
    </row>
    <row r="126">
      <c r="A126" s="1" t="inlineStr">
        <is>
          <t>83BN001PHA</t>
        </is>
      </c>
      <c r="B126" s="1">
        <f>IF(BL126&lt;40000,"Entry",IF(BL126&gt;65000,"Premium","Mainstream"))</f>
        <v/>
      </c>
      <c r="C126" s="1" t="inlineStr">
        <is>
          <t>Entry</t>
        </is>
      </c>
      <c r="D126" s="1" t="inlineStr">
        <is>
          <t>N100 Chrome OS</t>
        </is>
      </c>
      <c r="E126" s="1" t="inlineStr">
        <is>
          <t>Thin &amp; Light</t>
        </is>
      </c>
      <c r="F126" s="1" t="inlineStr">
        <is>
          <t>Slim 3 CB</t>
        </is>
      </c>
      <c r="G126" s="1" t="inlineStr">
        <is>
          <t>IP 3 CB 14IAN8</t>
        </is>
      </c>
      <c r="H126" s="1" t="inlineStr">
        <is>
          <t>N100</t>
        </is>
      </c>
      <c r="I126" s="1" t="inlineStr">
        <is>
          <t>N100</t>
        </is>
      </c>
      <c r="J126" s="1" t="inlineStr">
        <is>
          <t>N100_0.8G_4C_4T</t>
        </is>
      </c>
      <c r="K126" s="1" t="inlineStr">
        <is>
          <t>4GB</t>
        </is>
      </c>
      <c r="L126" s="1" t="inlineStr">
        <is>
          <t>128GB</t>
        </is>
      </c>
      <c r="M126" s="1" t="inlineStr">
        <is>
          <t>Chrome OS</t>
        </is>
      </c>
      <c r="N126" s="1" t="inlineStr">
        <is>
          <t>No Office</t>
        </is>
      </c>
      <c r="O126" s="1" t="inlineStr">
        <is>
          <t>INTEGRATED_GRAPHICS</t>
        </is>
      </c>
      <c r="P126" s="1" t="inlineStr">
        <is>
          <t>14 HD 250 nits AG,non touch</t>
        </is>
      </c>
      <c r="Q126" s="1" t="inlineStr">
        <is>
          <t>1 Year Onsite</t>
        </is>
      </c>
      <c r="R126" s="1" t="inlineStr">
        <is>
          <t>Zero GTN</t>
        </is>
      </c>
      <c r="S126" s="1" t="n">
        <v>0</v>
      </c>
      <c r="T126" s="2" t="n">
        <v>21528</v>
      </c>
      <c r="U126" s="13" t="n">
        <v>22415.25423728814</v>
      </c>
      <c r="V126" s="13" t="n">
        <v>0</v>
      </c>
      <c r="W126" s="13" t="n">
        <v>0</v>
      </c>
      <c r="X126" s="13" t="n"/>
      <c r="Y126" s="2">
        <f>(U126*0.98-S126-V126-W126-X126)*1.18/0.92</f>
        <v/>
      </c>
      <c r="Z126" s="18">
        <f>AC126</f>
        <v/>
      </c>
      <c r="AA126" s="5" t="inlineStr">
        <is>
          <t>Ok</t>
        </is>
      </c>
      <c r="AB126" s="5" t="n"/>
      <c r="AC126" s="14" t="n">
        <v>28190</v>
      </c>
      <c r="AD126" s="5">
        <f>(Y126-AC126)/1.18*0.92</f>
        <v/>
      </c>
      <c r="AE126" s="5" t="n"/>
      <c r="AF126" s="5">
        <f>W126+X126</f>
        <v/>
      </c>
      <c r="AG126" s="5" t="n"/>
      <c r="AH126" s="13" t="n">
        <v>0</v>
      </c>
      <c r="AI126" s="13" t="n"/>
      <c r="AJ126" s="5" t="n"/>
      <c r="AL126" s="5" t="n"/>
      <c r="AM126" s="5" t="n">
        <v>28175</v>
      </c>
      <c r="AN126" s="5">
        <f>Y126-AM126</f>
        <v/>
      </c>
      <c r="AO126" s="5" t="n"/>
      <c r="AP126" s="5">
        <f>U126-AL126</f>
        <v/>
      </c>
      <c r="AQ126" s="20" t="n">
        <v>0</v>
      </c>
      <c r="AR126" s="20" t="n"/>
      <c r="AT126" s="3" t="n">
        <v>0</v>
      </c>
      <c r="AV126" s="5">
        <f>ROUNDUP((AT126/8)*80,0)</f>
        <v/>
      </c>
      <c r="AX126" s="38">
        <f>AV126*W126</f>
        <v/>
      </c>
      <c r="BA126" s="3" t="n">
        <v>200</v>
      </c>
      <c r="BB126" s="3" t="n">
        <v>0</v>
      </c>
      <c r="BC126" s="3" t="n">
        <v>0</v>
      </c>
      <c r="BD126" s="3">
        <f>BC126+BB126+BA126</f>
        <v/>
      </c>
      <c r="BE126" s="3" t="n">
        <v>0</v>
      </c>
      <c r="BF126" s="3" t="n">
        <v>0</v>
      </c>
      <c r="BH126" s="3">
        <f>ROUNDUP(BD126*1.85,0)</f>
        <v/>
      </c>
      <c r="BJ126" s="38">
        <f>BH126*V126</f>
        <v/>
      </c>
      <c r="BL126" s="3">
        <f>U126*1.18</f>
        <v/>
      </c>
    </row>
    <row r="127">
      <c r="A127" s="1" t="inlineStr">
        <is>
          <t>82WU0095IN</t>
        </is>
      </c>
      <c r="B127" s="1">
        <f>IF(BL127&lt;40000,"Entry",IF(BL127&gt;65000,"Premium","Mainstream"))</f>
        <v/>
      </c>
      <c r="C127" s="1" t="inlineStr">
        <is>
          <t>Premium</t>
        </is>
      </c>
      <c r="D127" s="1" t="inlineStr">
        <is>
          <t>i5 OS Office</t>
        </is>
      </c>
      <c r="E127" s="1" t="inlineStr">
        <is>
          <t>Thin &amp; Light</t>
        </is>
      </c>
      <c r="F127" s="1" t="inlineStr">
        <is>
          <t>Yoga Slim 6</t>
        </is>
      </c>
      <c r="G127" s="1" t="inlineStr">
        <is>
          <t>Yoga Slim 6</t>
        </is>
      </c>
      <c r="H127" s="1" t="inlineStr">
        <is>
          <t>Ci5</t>
        </is>
      </c>
      <c r="I127" s="1" t="inlineStr">
        <is>
          <t>12th Gen</t>
        </is>
      </c>
      <c r="J127" s="1" t="inlineStr">
        <is>
          <t>i5-1240P</t>
        </is>
      </c>
      <c r="K127" s="1" t="inlineStr">
        <is>
          <t>16GB</t>
        </is>
      </c>
      <c r="L127" s="1" t="inlineStr">
        <is>
          <t>512GB SSD</t>
        </is>
      </c>
      <c r="M127" s="1" t="inlineStr">
        <is>
          <t>Win11</t>
        </is>
      </c>
      <c r="N127" s="1" t="inlineStr">
        <is>
          <t>Office 2021</t>
        </is>
      </c>
      <c r="O127" s="1" t="inlineStr">
        <is>
          <t>INTEGRATED_GRAPHICS</t>
        </is>
      </c>
      <c r="P127" s="1" t="inlineStr">
        <is>
          <t>14" 2.2K (2240x1400) IPS 300nits Anti-glare, 100% sRGB, 60Hz, Eyesafe®, Dolby® Vision™</t>
        </is>
      </c>
      <c r="Q127" s="1" t="inlineStr">
        <is>
          <t>1 Yr. Onsite</t>
        </is>
      </c>
      <c r="R127" s="1" t="inlineStr">
        <is>
          <t>Zero GTN</t>
        </is>
      </c>
      <c r="S127" s="1" t="n">
        <v>0</v>
      </c>
      <c r="T127" s="2">
        <f>U127*0.98*0.98</f>
        <v/>
      </c>
      <c r="U127" s="13" t="n">
        <v>51863.36907644412</v>
      </c>
      <c r="V127" s="13" t="n">
        <v>0</v>
      </c>
      <c r="W127" s="13" t="n"/>
      <c r="X127" s="13" t="n"/>
      <c r="Y127" s="2">
        <f>(U127*0.98-S127-V127-W127-X127)*1.18/0.92</f>
        <v/>
      </c>
      <c r="Z127" s="1" t="n">
        <v>65189.99999999998</v>
      </c>
      <c r="AA127" s="5" t="n"/>
      <c r="AB127" s="5" t="n"/>
      <c r="AC127" s="14" t="n">
        <v>65190</v>
      </c>
      <c r="AD127" s="5">
        <f>(Y127-AC127)/1.18*0.92</f>
        <v/>
      </c>
      <c r="AE127" s="5" t="n"/>
      <c r="AF127" s="5">
        <f>W127+X127</f>
        <v/>
      </c>
      <c r="AG127" s="5" t="n"/>
      <c r="AH127" s="13" t="n">
        <v>0</v>
      </c>
      <c r="AI127" s="13" t="n"/>
      <c r="AJ127" s="5" t="n"/>
      <c r="AL127" s="5" t="n"/>
      <c r="AM127" s="5" t="n">
        <v>65189.99999999998</v>
      </c>
      <c r="AN127" s="5">
        <f>Y127-AM127</f>
        <v/>
      </c>
      <c r="AO127" s="5" t="n"/>
      <c r="AP127" s="5">
        <f>U127-AL127</f>
        <v/>
      </c>
      <c r="AQ127" s="20" t="n">
        <v>0</v>
      </c>
      <c r="AR127" s="20" t="n"/>
      <c r="AT127" s="3" t="n">
        <v>85</v>
      </c>
      <c r="AV127" s="5">
        <f>ROUNDUP((AT127/8)*80,0)</f>
        <v/>
      </c>
      <c r="AX127" s="38">
        <f>AV127*W127</f>
        <v/>
      </c>
      <c r="BA127" s="3" t="n">
        <v>509</v>
      </c>
      <c r="BB127" s="3" t="n">
        <v>211</v>
      </c>
      <c r="BC127" s="3" t="n">
        <v>-103</v>
      </c>
      <c r="BD127" s="3">
        <f>BC127+BB127+BA127</f>
        <v/>
      </c>
      <c r="BE127" s="3" t="n">
        <v>92</v>
      </c>
      <c r="BF127" s="3" t="n">
        <v>0</v>
      </c>
      <c r="BH127" s="3">
        <f>ROUNDUP(BD127*1.85,0)</f>
        <v/>
      </c>
      <c r="BJ127" s="38">
        <f>BH127*V127</f>
        <v/>
      </c>
      <c r="BL127" s="3">
        <f>U127*1.18</f>
        <v/>
      </c>
    </row>
    <row r="128">
      <c r="A128" s="1" t="inlineStr">
        <is>
          <t>83BF0043IN</t>
        </is>
      </c>
      <c r="B128" s="1">
        <f>IF(BL128&lt;40000,"Entry",IF(BL128&gt;65000,"Premium","Mainstream"))</f>
        <v/>
      </c>
      <c r="C128" s="1" t="inlineStr">
        <is>
          <t>Premium</t>
        </is>
      </c>
      <c r="D128" s="1" t="inlineStr">
        <is>
          <t>i5 OS Office</t>
        </is>
      </c>
      <c r="E128" s="1" t="inlineStr">
        <is>
          <t>Thin &amp; Light</t>
        </is>
      </c>
      <c r="F128" s="1" t="inlineStr">
        <is>
          <t>Slim 5</t>
        </is>
      </c>
      <c r="G128" s="1" t="inlineStr">
        <is>
          <t>IPS5 14IAH8</t>
        </is>
      </c>
      <c r="H128" s="1" t="inlineStr">
        <is>
          <t>i5</t>
        </is>
      </c>
      <c r="I128" s="1" t="inlineStr">
        <is>
          <t>12th Gen</t>
        </is>
      </c>
      <c r="J128" s="1" t="inlineStr">
        <is>
          <t>i5-12450H</t>
        </is>
      </c>
      <c r="K128" s="1" t="inlineStr">
        <is>
          <t>16GB</t>
        </is>
      </c>
      <c r="L128" s="1" t="inlineStr">
        <is>
          <t>1TB SSD</t>
        </is>
      </c>
      <c r="M128" s="1" t="inlineStr">
        <is>
          <t>Windows 11</t>
        </is>
      </c>
      <c r="N128" s="1" t="inlineStr">
        <is>
          <t>OFFICE 2021</t>
        </is>
      </c>
      <c r="O128" s="1" t="inlineStr">
        <is>
          <t>INTEGRATED_GRAPHICS</t>
        </is>
      </c>
      <c r="P128" s="1" t="inlineStr">
        <is>
          <t>14_WUXGA_AG_300N_N</t>
        </is>
      </c>
      <c r="Q128" s="1" t="inlineStr">
        <is>
          <t>1 Yr Onsite + 1 Yr PC</t>
        </is>
      </c>
      <c r="R128" s="1" t="inlineStr">
        <is>
          <t>Zero GTN</t>
        </is>
      </c>
      <c r="S128" s="1" t="n">
        <v>0</v>
      </c>
      <c r="T128" s="2">
        <f>U128*0.98*0.98</f>
        <v/>
      </c>
      <c r="U128" s="13" t="n">
        <v>54090.97198201314</v>
      </c>
      <c r="V128" s="13" t="n">
        <v>1559.322033898296</v>
      </c>
      <c r="W128" s="13" t="n"/>
      <c r="X128" s="13" t="n"/>
      <c r="Y128" s="2">
        <f>(U128*0.98-S128-V128-W128-X128)*1.18/0.92</f>
        <v/>
      </c>
      <c r="Z128" s="2" t="n">
        <v>65990</v>
      </c>
      <c r="AA128" s="5" t="n"/>
      <c r="AB128" s="5" t="n"/>
      <c r="AC128" s="14" t="n">
        <v>65990</v>
      </c>
      <c r="AD128" s="5">
        <f>(Y128-AC128)/1.18*0.92</f>
        <v/>
      </c>
      <c r="AE128" s="5" t="n"/>
      <c r="AF128" s="5">
        <f>W128+X128</f>
        <v/>
      </c>
      <c r="AG128" s="5" t="n"/>
      <c r="AH128" s="13" t="n">
        <v>1559.322033898296</v>
      </c>
      <c r="AI128" s="13" t="n"/>
      <c r="AJ128" s="5" t="n"/>
      <c r="AL128" s="5" t="n"/>
      <c r="AM128" s="5" t="n">
        <v>62190</v>
      </c>
      <c r="AN128" s="5">
        <f>Y128-AM128</f>
        <v/>
      </c>
      <c r="AO128" s="5" t="n"/>
      <c r="AP128" s="5">
        <f>U128-AL128</f>
        <v/>
      </c>
      <c r="AQ128" s="20" t="n">
        <v>0</v>
      </c>
      <c r="AR128" s="20" t="n"/>
      <c r="AT128" s="3" t="n">
        <v>54</v>
      </c>
      <c r="AV128" s="5">
        <f>ROUNDUP((AT128/8)*80,0)</f>
        <v/>
      </c>
      <c r="AX128" s="38">
        <f>AV128*W128</f>
        <v/>
      </c>
      <c r="BA128" s="3" t="n">
        <v>50</v>
      </c>
      <c r="BB128" s="3" t="n">
        <v>75</v>
      </c>
      <c r="BC128" s="3" t="n">
        <v>422</v>
      </c>
      <c r="BD128" s="3">
        <f>BC128+BB128+BA128</f>
        <v/>
      </c>
      <c r="BE128" s="3" t="n">
        <v>1497</v>
      </c>
      <c r="BF128" s="3" t="n">
        <v>27</v>
      </c>
      <c r="BH128" s="3">
        <f>ROUNDUP(BD128*1.85,0)</f>
        <v/>
      </c>
      <c r="BJ128" s="38">
        <f>BH128*V128</f>
        <v/>
      </c>
      <c r="BL128" s="3">
        <f>U128*1.18</f>
        <v/>
      </c>
    </row>
    <row r="129">
      <c r="A129" s="1" t="inlineStr">
        <is>
          <t>82XE007EIN</t>
        </is>
      </c>
      <c r="B129" s="1">
        <f>IF(BL129&lt;40000,"Entry",IF(BL129&gt;65000,"Premium","Mainstream"))</f>
        <v/>
      </c>
      <c r="C129" s="1" t="inlineStr">
        <is>
          <t>Premium</t>
        </is>
      </c>
      <c r="D129" s="1" t="inlineStr">
        <is>
          <t>R7 OS Office</t>
        </is>
      </c>
      <c r="E129" s="1" t="inlineStr">
        <is>
          <t>Thin &amp; Light</t>
        </is>
      </c>
      <c r="F129" s="1" t="inlineStr">
        <is>
          <t>Slim 5</t>
        </is>
      </c>
      <c r="G129" s="1" t="inlineStr">
        <is>
          <t>IPS5 14ABR8</t>
        </is>
      </c>
      <c r="H129" s="1" t="inlineStr">
        <is>
          <t>R7</t>
        </is>
      </c>
      <c r="I129" s="1" t="inlineStr">
        <is>
          <t>7XXXU</t>
        </is>
      </c>
      <c r="J129" s="1" t="inlineStr">
        <is>
          <t>R7-7730U</t>
        </is>
      </c>
      <c r="K129" s="1" t="inlineStr">
        <is>
          <t>16GB</t>
        </is>
      </c>
      <c r="L129" s="1" t="inlineStr">
        <is>
          <t>1TB SSD</t>
        </is>
      </c>
      <c r="M129" s="1" t="inlineStr">
        <is>
          <t>Windows 11</t>
        </is>
      </c>
      <c r="N129" s="1" t="inlineStr">
        <is>
          <t>Office 2021</t>
        </is>
      </c>
      <c r="O129" s="1" t="inlineStr">
        <is>
          <t>INTEGRATED_GRAPHICS</t>
        </is>
      </c>
      <c r="P129" s="1" t="inlineStr">
        <is>
          <t>14_WUXGA_OLED_GL_400N</t>
        </is>
      </c>
      <c r="Q129" s="1" t="inlineStr">
        <is>
          <t>1 Yr Onsite + 1 Yr PC</t>
        </is>
      </c>
      <c r="R129" s="1" t="inlineStr">
        <is>
          <t>Full GTN</t>
        </is>
      </c>
      <c r="S129" s="1" t="n">
        <v>725</v>
      </c>
      <c r="T129" s="2">
        <f>U129*0.965*0.98</f>
        <v/>
      </c>
      <c r="U129" s="13" t="n">
        <v>62025</v>
      </c>
      <c r="V129" s="13" t="n">
        <v>0</v>
      </c>
      <c r="W129" s="13" t="n"/>
      <c r="X129" s="13" t="n"/>
      <c r="Y129" s="2">
        <f>(U129*0.88-S129-V129-W129-X129)*1.18/0.92</f>
        <v/>
      </c>
      <c r="Z129" s="1" t="n">
        <v>69190</v>
      </c>
      <c r="AA129" s="5" t="n"/>
      <c r="AB129" s="5" t="n"/>
      <c r="AC129" s="14" t="n">
        <v>69190</v>
      </c>
      <c r="AD129" s="5">
        <f>(Y129-AC129)/1.18*0.92</f>
        <v/>
      </c>
      <c r="AE129" s="5" t="n"/>
      <c r="AF129" s="5">
        <f>W129+X129</f>
        <v/>
      </c>
      <c r="AG129" s="5" t="n"/>
      <c r="AH129" s="13" t="n">
        <v>0</v>
      </c>
      <c r="AI129" s="13" t="n">
        <v>0</v>
      </c>
      <c r="AJ129" s="5" t="n"/>
      <c r="AL129" s="5" t="n"/>
      <c r="AM129" s="5" t="n">
        <v>0</v>
      </c>
      <c r="AN129" s="5">
        <f>Y129-AM129</f>
        <v/>
      </c>
      <c r="AO129" s="5" t="n"/>
      <c r="AP129" s="5">
        <f>U129-AL129</f>
        <v/>
      </c>
      <c r="AQ129" s="20" t="n">
        <v>0</v>
      </c>
      <c r="AR129" s="20" t="n">
        <v>2338.983050847462</v>
      </c>
      <c r="AT129" s="3" t="n">
        <v>2</v>
      </c>
      <c r="AV129" s="5">
        <f>ROUNDUP((AT129/8)*80,0)</f>
        <v/>
      </c>
      <c r="AX129" s="38">
        <f>AV129*W129</f>
        <v/>
      </c>
      <c r="BA129" s="3" t="n">
        <v>6</v>
      </c>
      <c r="BB129" s="3" t="n">
        <v>10</v>
      </c>
      <c r="BC129" s="3" t="n">
        <v>22</v>
      </c>
      <c r="BD129" s="3">
        <f>BC129+BB129+BA129</f>
        <v/>
      </c>
      <c r="BE129" s="3" t="n">
        <v>142</v>
      </c>
      <c r="BF129" s="3" t="n">
        <v>0</v>
      </c>
      <c r="BH129" s="3">
        <f>ROUNDUP(BD129*1.85,0)</f>
        <v/>
      </c>
      <c r="BJ129" s="38">
        <f>BH129*V129</f>
        <v/>
      </c>
      <c r="BL129" s="3">
        <f>U129*1.18</f>
        <v/>
      </c>
    </row>
    <row r="130">
      <c r="A130" s="4" t="inlineStr">
        <is>
          <t>82XD003MIN</t>
        </is>
      </c>
      <c r="B130" s="1">
        <f>IF(BL130&lt;40000,"Entry",IF(BL130&gt;65000,"Premium","Mainstream"))</f>
        <v/>
      </c>
      <c r="C130" s="1" t="inlineStr">
        <is>
          <t>Premium</t>
        </is>
      </c>
      <c r="D130" s="1" t="inlineStr">
        <is>
          <t>i5 OS Office</t>
        </is>
      </c>
      <c r="E130" s="1" t="inlineStr">
        <is>
          <t>Thin &amp; Light</t>
        </is>
      </c>
      <c r="F130" s="1" t="inlineStr">
        <is>
          <t>Slim 5</t>
        </is>
      </c>
      <c r="G130" s="1" t="inlineStr">
        <is>
          <t>IPS5 14IRL8</t>
        </is>
      </c>
      <c r="H130" s="1" t="inlineStr">
        <is>
          <t>i5</t>
        </is>
      </c>
      <c r="I130" s="1" t="inlineStr">
        <is>
          <t>13th Gen</t>
        </is>
      </c>
      <c r="J130" s="1" t="inlineStr">
        <is>
          <t>i5 13420H</t>
        </is>
      </c>
      <c r="K130" s="1" t="inlineStr">
        <is>
          <t>16GB</t>
        </is>
      </c>
      <c r="L130" s="4" t="inlineStr">
        <is>
          <t>512GB SSD</t>
        </is>
      </c>
      <c r="M130" s="1" t="inlineStr">
        <is>
          <t>Windows 11</t>
        </is>
      </c>
      <c r="N130" s="1" t="inlineStr">
        <is>
          <t>Office 2021</t>
        </is>
      </c>
      <c r="O130" s="1" t="inlineStr">
        <is>
          <t>INTEGRATED_GRAPHICS</t>
        </is>
      </c>
      <c r="P130" s="1" t="inlineStr">
        <is>
          <t>14_WUXGA_AG_300N_N</t>
        </is>
      </c>
      <c r="Q130" s="1" t="inlineStr">
        <is>
          <t>1 Yr Onsite + 1 Yr PC</t>
        </is>
      </c>
      <c r="R130" s="1" t="inlineStr">
        <is>
          <t>Zero GTN</t>
        </is>
      </c>
      <c r="S130" s="1" t="n">
        <v>0</v>
      </c>
      <c r="T130" s="2">
        <f>U130*0.98*0.98</f>
        <v/>
      </c>
      <c r="U130" s="13" t="n">
        <v>56478</v>
      </c>
      <c r="V130" s="13" t="n">
        <v>1559</v>
      </c>
      <c r="W130" s="13" t="n"/>
      <c r="X130" s="13" t="n"/>
      <c r="Y130" s="2">
        <f>(U130*0.98-S130-V130-W130-X130)*1.18/0.92</f>
        <v/>
      </c>
      <c r="Z130" s="1" t="n">
        <v>68990</v>
      </c>
      <c r="AA130" s="5" t="n"/>
      <c r="AB130" s="5" t="n"/>
      <c r="AC130" s="14" t="n">
        <v>68990</v>
      </c>
      <c r="AD130" s="5">
        <f>(Y130-AC130)/1.18*0.92</f>
        <v/>
      </c>
      <c r="AE130" s="5" t="n"/>
      <c r="AF130" s="5">
        <f>W130+X130</f>
        <v/>
      </c>
      <c r="AG130" s="5" t="n"/>
      <c r="AH130" s="13" t="n">
        <v>1559</v>
      </c>
      <c r="AI130" s="13" t="n"/>
      <c r="AJ130" s="5" t="n"/>
      <c r="AL130" s="5" t="n"/>
      <c r="AM130" s="5" t="n">
        <v>69190</v>
      </c>
      <c r="AN130" s="5">
        <f>Y130-AM130</f>
        <v/>
      </c>
      <c r="AO130" s="5" t="n"/>
      <c r="AP130" s="5">
        <f>U130-AL130</f>
        <v/>
      </c>
      <c r="AQ130" s="20" t="n">
        <v>0</v>
      </c>
      <c r="AR130" s="20" t="n"/>
      <c r="AT130" s="3" t="n">
        <v>0</v>
      </c>
      <c r="AV130" s="5">
        <f>ROUNDUP((AT130/8)*80,0)</f>
        <v/>
      </c>
      <c r="AX130" s="38">
        <f>AV130*W130</f>
        <v/>
      </c>
      <c r="BA130" s="3" t="n">
        <v>0</v>
      </c>
      <c r="BB130" s="3" t="n">
        <v>0</v>
      </c>
      <c r="BC130" s="3" t="n">
        <v>0</v>
      </c>
      <c r="BD130" s="3">
        <f>BC130+BB130+BA130</f>
        <v/>
      </c>
      <c r="BE130" s="3" t="n">
        <v>1043</v>
      </c>
      <c r="BF130" s="3" t="n">
        <v>28</v>
      </c>
      <c r="BH130" s="3">
        <f>ROUNDUP(BD130*1.85,0)</f>
        <v/>
      </c>
      <c r="BJ130" s="38">
        <f>BH130*V130</f>
        <v/>
      </c>
      <c r="BL130" s="3">
        <f>U130*1.18</f>
        <v/>
      </c>
    </row>
    <row r="131">
      <c r="A131" s="4" t="inlineStr">
        <is>
          <t>82XD003NIN</t>
        </is>
      </c>
      <c r="B131" s="1">
        <f>IF(BL131&lt;40000,"Entry",IF(BL131&gt;65000,"Premium","Mainstream"))</f>
        <v/>
      </c>
      <c r="C131" s="1" t="inlineStr">
        <is>
          <t>Premium</t>
        </is>
      </c>
      <c r="D131" s="1" t="inlineStr">
        <is>
          <t>i5 OS Office</t>
        </is>
      </c>
      <c r="E131" s="4" t="inlineStr">
        <is>
          <t>Thin &amp; Light</t>
        </is>
      </c>
      <c r="F131" s="4" t="inlineStr">
        <is>
          <t>Slim 5</t>
        </is>
      </c>
      <c r="G131" s="4" t="inlineStr">
        <is>
          <t>IPS5 14IRL8</t>
        </is>
      </c>
      <c r="H131" s="4" t="inlineStr">
        <is>
          <t>i5</t>
        </is>
      </c>
      <c r="I131" s="4" t="inlineStr">
        <is>
          <t>13th gen</t>
        </is>
      </c>
      <c r="J131" s="4" t="inlineStr">
        <is>
          <t>i5-13420H</t>
        </is>
      </c>
      <c r="K131" s="4" t="inlineStr">
        <is>
          <t>16GB</t>
        </is>
      </c>
      <c r="L131" s="4" t="inlineStr">
        <is>
          <t>512GB SSD</t>
        </is>
      </c>
      <c r="M131" s="4" t="inlineStr">
        <is>
          <t>Windows 11</t>
        </is>
      </c>
      <c r="N131" s="4" t="inlineStr">
        <is>
          <t>Office 2021</t>
        </is>
      </c>
      <c r="O131" s="4" t="inlineStr">
        <is>
          <t>INTEGRATED_GRAPHICS</t>
        </is>
      </c>
      <c r="P131" s="4" t="inlineStr">
        <is>
          <t>14_WUXGA_AG_300N_N</t>
        </is>
      </c>
      <c r="Q131" s="4" t="inlineStr">
        <is>
          <t>1 Yr Onsite + 1 Yr PC</t>
        </is>
      </c>
      <c r="R131" s="4" t="inlineStr">
        <is>
          <t>Zero GTN</t>
        </is>
      </c>
      <c r="S131" s="4" t="n">
        <v>0</v>
      </c>
      <c r="T131" s="18">
        <f>U131*0.98*0.98</f>
        <v/>
      </c>
      <c r="U131" s="12" t="n">
        <v>56478</v>
      </c>
      <c r="V131" s="14" t="n">
        <v>1559</v>
      </c>
      <c r="W131" s="13" t="n"/>
      <c r="X131" s="13" t="n"/>
      <c r="Y131" s="2">
        <f>(U131*0.98-S131-V131-W131-X131)*1.18/0.92</f>
        <v/>
      </c>
      <c r="Z131" s="1" t="n">
        <v>68990</v>
      </c>
      <c r="AA131" s="5" t="n"/>
      <c r="AB131" s="5" t="n"/>
      <c r="AC131" s="14" t="n">
        <v>68990</v>
      </c>
      <c r="AD131" s="5">
        <f>(Y131-AC131)/1.18*0.92</f>
        <v/>
      </c>
      <c r="AF131" s="5">
        <f>W131+X131</f>
        <v/>
      </c>
      <c r="AH131" s="14" t="n">
        <v>1559</v>
      </c>
      <c r="AI131" s="13" t="n"/>
      <c r="AL131" s="5" t="n"/>
      <c r="AM131" s="5" t="n">
        <v>69202.91304347826</v>
      </c>
      <c r="AN131" s="5">
        <f>Y131-AM131</f>
        <v/>
      </c>
      <c r="AO131" s="5" t="n"/>
      <c r="AP131" s="5">
        <f>U131-AL131</f>
        <v/>
      </c>
      <c r="AQ131" s="19" t="n">
        <v>0</v>
      </c>
      <c r="AR131" s="19" t="n"/>
      <c r="AT131" s="3" t="n">
        <v>8</v>
      </c>
      <c r="AV131" s="5">
        <f>ROUNDUP((AT131/8)*80,0)</f>
        <v/>
      </c>
      <c r="AX131" s="38">
        <f>AV131*W131</f>
        <v/>
      </c>
      <c r="BA131" s="3" t="n">
        <v>104</v>
      </c>
      <c r="BB131" s="3" t="n">
        <v>37</v>
      </c>
      <c r="BC131" s="3" t="n">
        <v>49</v>
      </c>
      <c r="BD131" s="3">
        <f>BC131+BB131+BA131</f>
        <v/>
      </c>
      <c r="BE131" s="3" t="n">
        <v>21</v>
      </c>
      <c r="BF131" s="3" t="n">
        <v>0</v>
      </c>
      <c r="BH131" s="3">
        <f>ROUNDUP(BD131*1.85,0)</f>
        <v/>
      </c>
      <c r="BJ131" s="38">
        <f>BH131*V131</f>
        <v/>
      </c>
      <c r="BL131" s="3">
        <f>U131*1.18</f>
        <v/>
      </c>
    </row>
    <row r="132">
      <c r="A132" s="1" t="inlineStr">
        <is>
          <t>82XF003GIN</t>
        </is>
      </c>
      <c r="B132" s="1">
        <f>IF(BL132&lt;40000,"Entry",IF(BL132&gt;65000,"Premium","Mainstream"))</f>
        <v/>
      </c>
      <c r="C132" s="1" t="inlineStr">
        <is>
          <t>Premium</t>
        </is>
      </c>
      <c r="D132" s="1" t="inlineStr">
        <is>
          <t>i5 OS Office</t>
        </is>
      </c>
      <c r="E132" s="1" t="inlineStr">
        <is>
          <t>Thin &amp; Light</t>
        </is>
      </c>
      <c r="F132" s="1" t="inlineStr">
        <is>
          <t>Slim 5</t>
        </is>
      </c>
      <c r="G132" s="1" t="inlineStr">
        <is>
          <t>IPS5 16IRL8</t>
        </is>
      </c>
      <c r="H132" s="1" t="inlineStr">
        <is>
          <t>i5</t>
        </is>
      </c>
      <c r="I132" s="1" t="inlineStr">
        <is>
          <t>13th gen</t>
        </is>
      </c>
      <c r="J132" s="1" t="inlineStr">
        <is>
          <t>i5-13500H</t>
        </is>
      </c>
      <c r="K132" s="1" t="inlineStr">
        <is>
          <t>16GB</t>
        </is>
      </c>
      <c r="L132" s="1" t="inlineStr">
        <is>
          <t>512GB SSD</t>
        </is>
      </c>
      <c r="M132" s="1" t="inlineStr">
        <is>
          <t>Windows 11</t>
        </is>
      </c>
      <c r="N132" s="1" t="inlineStr">
        <is>
          <t>Office 2021</t>
        </is>
      </c>
      <c r="O132" s="1" t="inlineStr">
        <is>
          <t>INTEGRATED_GRAPHICS</t>
        </is>
      </c>
      <c r="P132" s="1" t="inlineStr">
        <is>
          <t>16_WUXGA_AG_300N_N</t>
        </is>
      </c>
      <c r="Q132" s="1" t="inlineStr">
        <is>
          <t>1 Yr Onsite + 1 Yr PC</t>
        </is>
      </c>
      <c r="R132" s="39" t="inlineStr">
        <is>
          <t>Full GTN</t>
        </is>
      </c>
      <c r="S132" s="1" t="n">
        <v>0</v>
      </c>
      <c r="T132" s="2">
        <f>U132*0.965*0.98</f>
        <v/>
      </c>
      <c r="U132" s="13" t="n">
        <v>65554</v>
      </c>
      <c r="V132" s="13" t="n">
        <v>1559</v>
      </c>
      <c r="W132" s="13" t="n"/>
      <c r="X132" s="13" t="n"/>
      <c r="Y132" s="2">
        <f>(U132*0.88-S132-V132-W132-X132)*1.18/0.92</f>
        <v/>
      </c>
      <c r="Z132" s="1" t="n">
        <v>71990</v>
      </c>
      <c r="AA132" s="5" t="n"/>
      <c r="AB132" s="5" t="n"/>
      <c r="AC132" s="14" t="n">
        <v>71990</v>
      </c>
      <c r="AD132" s="5">
        <f>(Y132-AC132)/1.18*0.92</f>
        <v/>
      </c>
      <c r="AE132" s="5" t="n"/>
      <c r="AF132" s="5">
        <f>W132+X132</f>
        <v/>
      </c>
      <c r="AG132" s="5" t="n"/>
      <c r="AH132" s="13" t="n">
        <v>1559</v>
      </c>
      <c r="AI132" s="13" t="n"/>
      <c r="AJ132" s="5" t="n"/>
      <c r="AL132" s="5" t="n"/>
      <c r="AM132" s="5" t="n">
        <v>68189.99999999999</v>
      </c>
      <c r="AN132" s="5">
        <f>Y132-AM132</f>
        <v/>
      </c>
      <c r="AO132" s="5" t="n"/>
      <c r="AP132" s="5">
        <f>U132-AL132</f>
        <v/>
      </c>
      <c r="AQ132" s="20" t="n">
        <v>0</v>
      </c>
      <c r="AR132" s="20" t="n"/>
      <c r="AT132" s="3" t="n">
        <v>8</v>
      </c>
      <c r="AV132" s="5">
        <f>ROUNDUP((AT132/8)*80,0)</f>
        <v/>
      </c>
      <c r="AX132" s="38">
        <f>AV132*W132</f>
        <v/>
      </c>
      <c r="BA132" s="3" t="n">
        <v>680</v>
      </c>
      <c r="BB132" s="3" t="n">
        <v>71</v>
      </c>
      <c r="BC132" s="3" t="n">
        <v>117</v>
      </c>
      <c r="BD132" s="3">
        <f>BC132+BB132+BA132</f>
        <v/>
      </c>
      <c r="BE132" s="3" t="n">
        <v>325</v>
      </c>
      <c r="BF132" s="3" t="n">
        <v>0</v>
      </c>
      <c r="BH132" s="3">
        <f>ROUNDUP(BD132*1.85,0)</f>
        <v/>
      </c>
      <c r="BJ132" s="38">
        <f>BH132*V132</f>
        <v/>
      </c>
      <c r="BL132" s="3">
        <f>U132*1.18</f>
        <v/>
      </c>
    </row>
    <row r="133">
      <c r="A133" s="1" t="inlineStr">
        <is>
          <t>82XF003CIN</t>
        </is>
      </c>
      <c r="B133" s="1">
        <f>IF(BL133&lt;40000,"Entry",IF(BL133&gt;65000,"Premium","Mainstream"))</f>
        <v/>
      </c>
      <c r="C133" s="1" t="inlineStr">
        <is>
          <t>Premium</t>
        </is>
      </c>
      <c r="D133" s="1" t="inlineStr">
        <is>
          <t>i5 OS Office</t>
        </is>
      </c>
      <c r="E133" s="1" t="inlineStr">
        <is>
          <t>Thin &amp; Light</t>
        </is>
      </c>
      <c r="F133" s="1" t="inlineStr">
        <is>
          <t>Slim 5</t>
        </is>
      </c>
      <c r="G133" s="1" t="inlineStr">
        <is>
          <t>IPS5 16IRL8</t>
        </is>
      </c>
      <c r="H133" s="1" t="inlineStr">
        <is>
          <t>i5</t>
        </is>
      </c>
      <c r="I133" s="1" t="inlineStr">
        <is>
          <t>13th gen</t>
        </is>
      </c>
      <c r="J133" s="1" t="inlineStr">
        <is>
          <t>i5-13500H</t>
        </is>
      </c>
      <c r="K133" s="1" t="inlineStr">
        <is>
          <t>16GB</t>
        </is>
      </c>
      <c r="L133" s="1" t="inlineStr">
        <is>
          <t>512GB SSD</t>
        </is>
      </c>
      <c r="M133" s="1" t="inlineStr">
        <is>
          <t>Windows 11</t>
        </is>
      </c>
      <c r="N133" s="1" t="inlineStr">
        <is>
          <t>Office 2021</t>
        </is>
      </c>
      <c r="O133" s="1" t="inlineStr">
        <is>
          <t>INTEGRATED_GRAPHICS</t>
        </is>
      </c>
      <c r="P133" s="1" t="inlineStr">
        <is>
          <t>16_WUXGA_AG_300N_N</t>
        </is>
      </c>
      <c r="Q133" s="1" t="inlineStr">
        <is>
          <t>1 Yr Onsite + 1 Yr PC</t>
        </is>
      </c>
      <c r="R133" s="39" t="inlineStr">
        <is>
          <t>Full GTN</t>
        </is>
      </c>
      <c r="S133" s="1" t="n">
        <v>725</v>
      </c>
      <c r="T133" s="2">
        <f>U133*0.965*0.98</f>
        <v/>
      </c>
      <c r="U133" s="13" t="n">
        <v>64605.45069337441</v>
      </c>
      <c r="V133" s="13" t="n"/>
      <c r="W133" s="13" t="n"/>
      <c r="X133" s="13" t="n"/>
      <c r="Y133" s="2">
        <f>(U133*0.88-S133-V133-W133-X133)*1.18/0.92</f>
        <v/>
      </c>
      <c r="Z133" s="1" t="n">
        <v>71990</v>
      </c>
      <c r="AA133" s="5" t="n"/>
      <c r="AB133" s="5" t="n"/>
      <c r="AC133" s="14" t="n">
        <v>71990</v>
      </c>
      <c r="AD133" s="5">
        <f>(Y133-AC133)/1.18*0.92</f>
        <v/>
      </c>
      <c r="AE133" s="5" t="n"/>
      <c r="AF133" s="5">
        <f>W133+X133</f>
        <v/>
      </c>
      <c r="AG133" s="5" t="n"/>
      <c r="AH133" s="13" t="n">
        <v>1559</v>
      </c>
      <c r="AI133" s="13" t="n"/>
      <c r="AJ133" s="5" t="n"/>
      <c r="AL133" s="5" t="n"/>
      <c r="AM133" s="5" t="n">
        <v>68189.99999999999</v>
      </c>
      <c r="AN133" s="5">
        <f>Y133-AM133</f>
        <v/>
      </c>
      <c r="AO133" s="5" t="n"/>
      <c r="AP133" s="5">
        <f>U133-AL133</f>
        <v/>
      </c>
      <c r="AQ133" s="20" t="n">
        <v>0</v>
      </c>
      <c r="AR133" s="20" t="n"/>
      <c r="AT133" s="3" t="n">
        <v>8</v>
      </c>
      <c r="AV133" s="5">
        <f>ROUNDUP((AT133/8)*80,0)</f>
        <v/>
      </c>
      <c r="AX133" s="38">
        <f>AV133*W133</f>
        <v/>
      </c>
      <c r="BA133" s="3" t="n">
        <v>680</v>
      </c>
      <c r="BB133" s="3" t="n">
        <v>71</v>
      </c>
      <c r="BC133" s="3" t="n">
        <v>117</v>
      </c>
      <c r="BD133" s="3">
        <f>BC133+BB133+BA133</f>
        <v/>
      </c>
      <c r="BE133" s="3" t="n">
        <v>325</v>
      </c>
      <c r="BF133" s="3" t="n">
        <v>0</v>
      </c>
      <c r="BH133" s="3">
        <f>ROUNDUP(BD133*1.85,0)</f>
        <v/>
      </c>
      <c r="BJ133" s="38">
        <f>BH133*V133</f>
        <v/>
      </c>
      <c r="BL133" s="3">
        <f>U133*1.18</f>
        <v/>
      </c>
    </row>
    <row r="134">
      <c r="A134" s="1" t="inlineStr">
        <is>
          <t>82XD005RIN</t>
        </is>
      </c>
      <c r="B134" s="1">
        <f>IF(BL134&lt;40000,"Entry",IF(BL134&gt;65000,"Premium","Mainstream"))</f>
        <v/>
      </c>
      <c r="C134" s="1" t="inlineStr">
        <is>
          <t>Premium</t>
        </is>
      </c>
      <c r="D134" s="1" t="inlineStr">
        <is>
          <t>i5 OS Office</t>
        </is>
      </c>
      <c r="E134" s="1" t="inlineStr">
        <is>
          <t>Thin &amp; Light</t>
        </is>
      </c>
      <c r="F134" s="1" t="inlineStr">
        <is>
          <t>Slim 5</t>
        </is>
      </c>
      <c r="G134" s="1" t="inlineStr">
        <is>
          <t>IPS5 14IRL8</t>
        </is>
      </c>
      <c r="H134" s="1" t="inlineStr">
        <is>
          <t>i5</t>
        </is>
      </c>
      <c r="I134" s="1" t="inlineStr">
        <is>
          <t>13th Gen</t>
        </is>
      </c>
      <c r="J134" s="1" t="inlineStr">
        <is>
          <t>i5-13420H</t>
        </is>
      </c>
      <c r="K134" s="1" t="inlineStr">
        <is>
          <t>16GB</t>
        </is>
      </c>
      <c r="L134" s="1" t="inlineStr">
        <is>
          <t>512GB SSD</t>
        </is>
      </c>
      <c r="M134" s="1" t="inlineStr">
        <is>
          <t>Windows 11</t>
        </is>
      </c>
      <c r="N134" s="1" t="inlineStr">
        <is>
          <t>OFFICE 2021</t>
        </is>
      </c>
      <c r="O134" s="1" t="inlineStr">
        <is>
          <t>INTEGRATED_GRAPHICS</t>
        </is>
      </c>
      <c r="P134" s="1" t="inlineStr">
        <is>
          <t>14_WUXGA_OLED_GL_400N</t>
        </is>
      </c>
      <c r="Q134" s="1" t="inlineStr">
        <is>
          <t>1 Yr Onsite + 1 Yr PC</t>
        </is>
      </c>
      <c r="R134" s="1" t="inlineStr">
        <is>
          <t>Zero GTN</t>
        </is>
      </c>
      <c r="S134" s="1" t="n">
        <v>0</v>
      </c>
      <c r="T134" s="2">
        <f>U134*0.98*0.98</f>
        <v/>
      </c>
      <c r="U134" s="13" t="n">
        <v>58864.40677966102</v>
      </c>
      <c r="V134" s="13" t="n">
        <v>1559</v>
      </c>
      <c r="W134" s="13" t="n"/>
      <c r="X134" s="13" t="n"/>
      <c r="Y134" s="2">
        <f>(U134*0.98-S134-V134-W134-X134)*1.18/0.92</f>
        <v/>
      </c>
      <c r="Z134" s="18" t="n">
        <v>71990</v>
      </c>
      <c r="AA134" s="5" t="n"/>
      <c r="AB134" s="5" t="n"/>
      <c r="AC134" s="14" t="n">
        <v>71990</v>
      </c>
      <c r="AD134" s="5">
        <f>(Y134-AC134)/1.18*0.92</f>
        <v/>
      </c>
      <c r="AE134" s="5" t="n"/>
      <c r="AF134" s="5">
        <f>W134+X134</f>
        <v/>
      </c>
      <c r="AG134" s="5" t="n"/>
      <c r="AH134" s="13" t="n">
        <v>1559</v>
      </c>
      <c r="AI134" s="13" t="n"/>
      <c r="AJ134" s="5" t="n"/>
      <c r="AL134" s="5" t="n"/>
      <c r="AM134" s="5" t="n">
        <v>72202.5652173913</v>
      </c>
      <c r="AN134" s="5">
        <f>Y134-AM134</f>
        <v/>
      </c>
      <c r="AO134" s="5" t="n"/>
      <c r="AP134" s="5">
        <f>U134-AL134</f>
        <v/>
      </c>
      <c r="AQ134" s="20" t="n">
        <v>0</v>
      </c>
      <c r="AR134" s="20" t="n"/>
      <c r="AT134" s="3" t="n">
        <v>3</v>
      </c>
      <c r="AV134" s="5">
        <f>ROUNDUP((AT134/8)*80,0)</f>
        <v/>
      </c>
      <c r="AX134" s="38">
        <f>AV134*W134</f>
        <v/>
      </c>
      <c r="BA134" s="3" t="n">
        <v>0</v>
      </c>
      <c r="BB134" s="3" t="n">
        <v>0</v>
      </c>
      <c r="BC134" s="3" t="n">
        <v>3</v>
      </c>
      <c r="BD134" s="3">
        <f>BC134+BB134+BA134</f>
        <v/>
      </c>
      <c r="BE134" s="3" t="n">
        <v>464</v>
      </c>
      <c r="BF134" s="3" t="n">
        <v>0</v>
      </c>
      <c r="BH134" s="3">
        <f>ROUNDUP(BD134*1.85,0)</f>
        <v/>
      </c>
      <c r="BJ134" s="38">
        <f>BH134*V134</f>
        <v/>
      </c>
      <c r="BL134" s="3">
        <f>U134*1.18</f>
        <v/>
      </c>
    </row>
    <row r="135">
      <c r="A135" s="4" t="inlineStr">
        <is>
          <t>82XD006GIN</t>
        </is>
      </c>
      <c r="B135" s="1">
        <f>IF(BL135&lt;40000,"Entry",IF(BL135&gt;65000,"Premium","Mainstream"))</f>
        <v/>
      </c>
      <c r="C135" s="1" t="inlineStr">
        <is>
          <t>Premium</t>
        </is>
      </c>
      <c r="D135" s="1" t="inlineStr">
        <is>
          <t>i5 OS Office</t>
        </is>
      </c>
      <c r="E135" s="1" t="inlineStr">
        <is>
          <t>Thin &amp; Light</t>
        </is>
      </c>
      <c r="F135" s="1" t="inlineStr">
        <is>
          <t>Slim 5</t>
        </is>
      </c>
      <c r="G135" s="1" t="inlineStr">
        <is>
          <t>IPS5 14IRL8</t>
        </is>
      </c>
      <c r="H135" s="1" t="inlineStr">
        <is>
          <t>i5</t>
        </is>
      </c>
      <c r="I135" s="1" t="inlineStr">
        <is>
          <t>13th gen</t>
        </is>
      </c>
      <c r="J135" s="1" t="inlineStr">
        <is>
          <t>i5 13420H</t>
        </is>
      </c>
      <c r="K135" s="1" t="inlineStr">
        <is>
          <t>16GB</t>
        </is>
      </c>
      <c r="L135" s="1" t="inlineStr">
        <is>
          <t>1TB SSD</t>
        </is>
      </c>
      <c r="M135" s="1" t="inlineStr">
        <is>
          <t>Windows 11</t>
        </is>
      </c>
      <c r="N135" s="1" t="inlineStr">
        <is>
          <t>Office 2021</t>
        </is>
      </c>
      <c r="O135" s="1" t="inlineStr">
        <is>
          <t>INTEGRATED_GRAPHICS</t>
        </is>
      </c>
      <c r="P135" s="1" t="inlineStr">
        <is>
          <t>14_WUXGA_OLED_GL_400N</t>
        </is>
      </c>
      <c r="Q135" s="1" t="inlineStr">
        <is>
          <t>1 Yr Onsite + 1 Yr PC</t>
        </is>
      </c>
      <c r="R135" s="1" t="inlineStr">
        <is>
          <t>Zero GTN</t>
        </is>
      </c>
      <c r="S135" s="1" t="n">
        <v>0</v>
      </c>
      <c r="T135" s="2">
        <f>U135*0.98*0.98</f>
        <v/>
      </c>
      <c r="U135" s="13" t="n">
        <v>60455.5517122103</v>
      </c>
      <c r="V135" s="13" t="n">
        <v>1559</v>
      </c>
      <c r="W135" s="13" t="n"/>
      <c r="X135" s="13" t="n"/>
      <c r="Y135" s="2">
        <f>(U135*0.98-S135-V135-W135-X135)*1.18/0.92</f>
        <v/>
      </c>
      <c r="Z135" s="2" t="n">
        <v>73990</v>
      </c>
      <c r="AA135" s="5" t="n"/>
      <c r="AB135" s="5" t="n"/>
      <c r="AC135" s="14" t="n">
        <v>73990</v>
      </c>
      <c r="AD135" s="5">
        <f>(Y135-AC135)/1.18*0.92</f>
        <v/>
      </c>
      <c r="AE135" s="5" t="n"/>
      <c r="AF135" s="5">
        <f>W135+X135</f>
        <v/>
      </c>
      <c r="AG135" s="5" t="n"/>
      <c r="AH135" s="13" t="n">
        <v>1559</v>
      </c>
      <c r="AI135" s="13" t="n"/>
      <c r="AJ135" s="5" t="n"/>
      <c r="AL135" s="5" t="n"/>
      <c r="AM135" s="5" t="n">
        <v>74190</v>
      </c>
      <c r="AN135" s="5">
        <f>Y135-AM135</f>
        <v/>
      </c>
      <c r="AO135" s="5" t="n"/>
      <c r="AP135" s="5">
        <f>U135-AL135</f>
        <v/>
      </c>
      <c r="AQ135" s="20" t="n">
        <v>0</v>
      </c>
      <c r="AR135" s="20" t="n"/>
      <c r="AT135" s="3" t="n">
        <v>8</v>
      </c>
      <c r="AV135" s="5">
        <f>ROUNDUP((AT135/8)*80,0)</f>
        <v/>
      </c>
      <c r="AX135" s="38">
        <f>AV135*W135</f>
        <v/>
      </c>
      <c r="BA135" s="3" t="n">
        <v>48</v>
      </c>
      <c r="BB135" s="3" t="n">
        <v>0</v>
      </c>
      <c r="BC135" s="3" t="n">
        <v>44</v>
      </c>
      <c r="BD135" s="3">
        <f>BC135+BB135+BA135</f>
        <v/>
      </c>
      <c r="BE135" s="3" t="n">
        <v>328</v>
      </c>
      <c r="BF135" s="3" t="n">
        <v>18</v>
      </c>
      <c r="BH135" s="3">
        <f>ROUNDUP(BD135*1.85,0)</f>
        <v/>
      </c>
      <c r="BJ135" s="38">
        <f>BH135*V135</f>
        <v/>
      </c>
      <c r="BL135" s="3">
        <f>U135*1.18</f>
        <v/>
      </c>
    </row>
    <row r="136">
      <c r="A136" s="4" t="inlineStr">
        <is>
          <t>82XF0077IN</t>
        </is>
      </c>
      <c r="B136" s="1">
        <f>IF(BL136&lt;40000,"Entry",IF(BL136&gt;65000,"Premium","Mainstream"))</f>
        <v/>
      </c>
      <c r="C136" s="1" t="inlineStr">
        <is>
          <t>Premium</t>
        </is>
      </c>
      <c r="D136" s="1" t="inlineStr">
        <is>
          <t>i5 OS Office</t>
        </is>
      </c>
      <c r="E136" s="1" t="inlineStr">
        <is>
          <t>Thin &amp; Light</t>
        </is>
      </c>
      <c r="F136" s="1" t="inlineStr">
        <is>
          <t>Slim 5</t>
        </is>
      </c>
      <c r="G136" s="1" t="inlineStr">
        <is>
          <t>IPS5 16IRL8</t>
        </is>
      </c>
      <c r="H136" s="1" t="inlineStr">
        <is>
          <t>i5</t>
        </is>
      </c>
      <c r="I136" s="1" t="inlineStr">
        <is>
          <t>13th gen</t>
        </is>
      </c>
      <c r="J136" s="1" t="inlineStr">
        <is>
          <t>i5 13500H</t>
        </is>
      </c>
      <c r="K136" s="1" t="inlineStr">
        <is>
          <t>16GB</t>
        </is>
      </c>
      <c r="L136" s="1" t="inlineStr">
        <is>
          <t>1TB SSD</t>
        </is>
      </c>
      <c r="M136" s="1" t="inlineStr">
        <is>
          <t>Windows 11</t>
        </is>
      </c>
      <c r="N136" s="1" t="inlineStr">
        <is>
          <t>Office 2021</t>
        </is>
      </c>
      <c r="O136" s="1" t="inlineStr">
        <is>
          <t>INTEGRATED_GRAPHICS</t>
        </is>
      </c>
      <c r="P136" s="1" t="inlineStr">
        <is>
          <t>16" 2.5K WQXGA IPS 350nits Anti-glare</t>
        </is>
      </c>
      <c r="Q136" s="1" t="inlineStr">
        <is>
          <t>1 Yr Onsite + 1 Yr PC</t>
        </is>
      </c>
      <c r="R136" s="1" t="inlineStr">
        <is>
          <t>Full GTN</t>
        </is>
      </c>
      <c r="S136" s="1" t="n">
        <v>725</v>
      </c>
      <c r="T136" s="2">
        <f>U136*0.965*0.98</f>
        <v/>
      </c>
      <c r="U136" s="13" t="n">
        <v>70807.2996918336</v>
      </c>
      <c r="V136" s="13" t="n">
        <v>1559</v>
      </c>
      <c r="W136" s="13" t="n"/>
      <c r="X136" s="13" t="n"/>
      <c r="Y136" s="2">
        <f>(U136*0.88-S136-V136-W136-X136)*1.18/0.92</f>
        <v/>
      </c>
      <c r="Z136" s="1" t="n">
        <v>76990</v>
      </c>
      <c r="AA136" s="5" t="n"/>
      <c r="AB136" s="5" t="n"/>
      <c r="AC136" s="14" t="n">
        <v>76990</v>
      </c>
      <c r="AD136" s="5">
        <f>(Y136-AC136)/1.18*0.92</f>
        <v/>
      </c>
      <c r="AE136" s="5" t="n"/>
      <c r="AF136" s="5">
        <f>W136+X136</f>
        <v/>
      </c>
      <c r="AG136" s="5" t="n"/>
      <c r="AH136" s="13" t="n">
        <v>1559</v>
      </c>
      <c r="AI136" s="13" t="n"/>
      <c r="AJ136" s="5" t="n"/>
      <c r="AL136" s="5" t="n"/>
      <c r="AM136" s="5" t="n">
        <v>73189.54347826085</v>
      </c>
      <c r="AN136" s="5">
        <f>Y136-AM136</f>
        <v/>
      </c>
      <c r="AO136" s="5" t="n"/>
      <c r="AP136" s="5">
        <f>U136-AL136</f>
        <v/>
      </c>
      <c r="AQ136" s="20" t="n">
        <v>0</v>
      </c>
      <c r="AR136" s="20" t="n"/>
      <c r="AT136" s="3" t="n">
        <v>2</v>
      </c>
      <c r="AV136" s="5">
        <f>ROUNDUP((AT136/8)*80,0)</f>
        <v/>
      </c>
      <c r="AX136" s="38">
        <f>AV136*W136</f>
        <v/>
      </c>
      <c r="BA136" s="3" t="n">
        <v>36</v>
      </c>
      <c r="BB136" s="3" t="n">
        <v>20</v>
      </c>
      <c r="BC136" s="3" t="n">
        <v>0</v>
      </c>
      <c r="BD136" s="3">
        <f>BC136+BB136+BA136</f>
        <v/>
      </c>
      <c r="BE136" s="3" t="n">
        <v>1679</v>
      </c>
      <c r="BF136" s="3" t="n">
        <v>60</v>
      </c>
      <c r="BH136" s="3">
        <f>ROUNDUP(BD136*1.85,0)</f>
        <v/>
      </c>
      <c r="BJ136" s="38">
        <f>BH136*V136</f>
        <v/>
      </c>
      <c r="BL136" s="3">
        <f>U136*1.18</f>
        <v/>
      </c>
    </row>
    <row r="137">
      <c r="A137" s="1" t="inlineStr">
        <is>
          <t>83DC0042IN</t>
        </is>
      </c>
      <c r="B137" s="1">
        <f>IF(BL137&lt;40000,"Entry",IF(BL137&gt;65000,"Premium","Mainstream"))</f>
        <v/>
      </c>
      <c r="C137" s="1" t="inlineStr">
        <is>
          <t>Premium</t>
        </is>
      </c>
      <c r="D137" s="1" t="inlineStr">
        <is>
          <t>CORE_ULT5_125H</t>
        </is>
      </c>
      <c r="E137" s="1" t="inlineStr">
        <is>
          <t>Thin &amp; Light</t>
        </is>
      </c>
      <c r="F137" s="1" t="inlineStr">
        <is>
          <t>Slim 5</t>
        </is>
      </c>
      <c r="G137" s="1" t="inlineStr">
        <is>
          <t>Slim 5</t>
        </is>
      </c>
      <c r="H137" s="1" t="inlineStr">
        <is>
          <t>CORE_ULT5_125H</t>
        </is>
      </c>
      <c r="I137" s="1" t="inlineStr">
        <is>
          <t>Ultra</t>
        </is>
      </c>
      <c r="J137" s="1" t="inlineStr">
        <is>
          <t>CORE_ULT5_125H</t>
        </is>
      </c>
      <c r="K137" s="1" t="inlineStr">
        <is>
          <t>16GB</t>
        </is>
      </c>
      <c r="L137" s="1" t="inlineStr">
        <is>
          <t>1TB SSD</t>
        </is>
      </c>
      <c r="M137" s="1" t="inlineStr">
        <is>
          <t>Win11</t>
        </is>
      </c>
      <c r="N137" s="1" t="inlineStr">
        <is>
          <t>Office 2021</t>
        </is>
      </c>
      <c r="O137" s="1" t="inlineStr">
        <is>
          <t>Intel Arc Graphics</t>
        </is>
      </c>
      <c r="P137" s="1" t="inlineStr">
        <is>
          <t>16_WUXGA_AG_300N_N</t>
        </is>
      </c>
      <c r="Q137" s="1" t="inlineStr">
        <is>
          <t>1 Yr Onsite + 1 Yr PC</t>
        </is>
      </c>
      <c r="R137" s="1" t="inlineStr">
        <is>
          <t>Full GTN</t>
        </is>
      </c>
      <c r="S137" s="1" t="n">
        <v>0</v>
      </c>
      <c r="T137" s="18">
        <f>U137*0.98*0.965</f>
        <v/>
      </c>
      <c r="U137" s="12" t="n">
        <v>73527</v>
      </c>
      <c r="V137" s="13" t="n">
        <v>2338.675254237278</v>
      </c>
      <c r="W137" s="14" t="n"/>
      <c r="X137" s="14" t="n"/>
      <c r="Y137" s="2">
        <f>(U137*0.88-S137-V137-W137-X137)*1.18/0.92</f>
        <v/>
      </c>
      <c r="Z137" s="1" t="n">
        <v>79990</v>
      </c>
      <c r="AA137" s="5" t="n"/>
      <c r="AB137" s="5" t="n"/>
      <c r="AC137" s="14" t="n">
        <v>79990</v>
      </c>
      <c r="AD137" s="5">
        <f>(Y137-AC137)/1.18*0.92</f>
        <v/>
      </c>
      <c r="AF137" s="5">
        <f>W137+X137</f>
        <v/>
      </c>
      <c r="AH137" s="13" t="n">
        <v>2338.675254237278</v>
      </c>
      <c r="AI137" s="14" t="n"/>
      <c r="AL137" s="5" t="n"/>
      <c r="AM137" s="5" t="n">
        <v>75989.43478260869</v>
      </c>
      <c r="AN137" s="5">
        <f>Y137-AM137</f>
        <v/>
      </c>
      <c r="AO137" s="5" t="n"/>
      <c r="AP137" s="5">
        <f>U137-AL137</f>
        <v/>
      </c>
      <c r="AQ137" s="22" t="n"/>
      <c r="AR137" s="22" t="n"/>
      <c r="AT137" s="3" t="n">
        <v>27</v>
      </c>
      <c r="AV137" s="5">
        <f>ROUNDUP((AT137/8)*80,0)</f>
        <v/>
      </c>
      <c r="AX137" s="38">
        <f>AV137*W137</f>
        <v/>
      </c>
      <c r="BA137" s="3" t="n">
        <v>0</v>
      </c>
      <c r="BB137" s="3" t="n">
        <v>276</v>
      </c>
      <c r="BC137" s="3" t="n">
        <v>22</v>
      </c>
      <c r="BD137" s="3">
        <f>BC137+BB137+BA137</f>
        <v/>
      </c>
      <c r="BE137" s="3" t="n">
        <v>0</v>
      </c>
      <c r="BF137" s="3" t="n">
        <v>1</v>
      </c>
      <c r="BH137" s="3">
        <f>ROUNDUP(BD137*1.85,0)</f>
        <v/>
      </c>
      <c r="BJ137" s="38">
        <f>BH137*V137</f>
        <v/>
      </c>
      <c r="BL137" s="3">
        <f>U137*1.18</f>
        <v/>
      </c>
    </row>
    <row r="138">
      <c r="A138" s="1" t="inlineStr">
        <is>
          <t>83DC0003IN</t>
        </is>
      </c>
      <c r="B138" s="1">
        <f>IF(BL138&lt;40000,"Entry",IF(BL138&gt;65000,"Premium","Mainstream"))</f>
        <v/>
      </c>
      <c r="C138" s="1" t="inlineStr">
        <is>
          <t>Premium</t>
        </is>
      </c>
      <c r="D138" s="1" t="inlineStr">
        <is>
          <t>CORE_ULT5_125H</t>
        </is>
      </c>
      <c r="E138" s="1" t="inlineStr">
        <is>
          <t>Thin &amp; Light</t>
        </is>
      </c>
      <c r="F138" s="1" t="inlineStr">
        <is>
          <t>Slim 5</t>
        </is>
      </c>
      <c r="G138" s="1" t="inlineStr">
        <is>
          <t>Slim 5</t>
        </is>
      </c>
      <c r="H138" s="1" t="inlineStr">
        <is>
          <t>CORE_ULT5_125H</t>
        </is>
      </c>
      <c r="I138" s="1" t="inlineStr">
        <is>
          <t>Ultra</t>
        </is>
      </c>
      <c r="J138" s="1" t="inlineStr">
        <is>
          <t>CORE_ULT5_125H</t>
        </is>
      </c>
      <c r="K138" s="1" t="inlineStr">
        <is>
          <t>16GB</t>
        </is>
      </c>
      <c r="L138" s="1" t="inlineStr">
        <is>
          <t>1TB SSD</t>
        </is>
      </c>
      <c r="M138" s="1" t="inlineStr">
        <is>
          <t>Win11</t>
        </is>
      </c>
      <c r="N138" s="1" t="inlineStr">
        <is>
          <t>Office 2021</t>
        </is>
      </c>
      <c r="O138" s="1" t="inlineStr">
        <is>
          <t>Intel Arc Graphics</t>
        </is>
      </c>
      <c r="P138" s="1" t="inlineStr">
        <is>
          <t>16_WUXGA_AG_300N_N</t>
        </is>
      </c>
      <c r="Q138" s="1" t="inlineStr">
        <is>
          <t>1 Yr Onsite + 1 Yr PC</t>
        </is>
      </c>
      <c r="R138" s="1" t="inlineStr">
        <is>
          <t>Full GTN</t>
        </is>
      </c>
      <c r="S138" s="1" t="n">
        <v>725</v>
      </c>
      <c r="T138" s="18">
        <f>U138*0.98*0.965</f>
        <v/>
      </c>
      <c r="U138" s="12" t="n">
        <v>74351.21340523873</v>
      </c>
      <c r="V138" s="13" t="n">
        <v>2338.98305084735</v>
      </c>
      <c r="W138" s="14" t="n"/>
      <c r="X138" s="14" t="n"/>
      <c r="Y138" s="2">
        <f>(U138*0.88-S138-V138-W138-X138)*1.18/0.92</f>
        <v/>
      </c>
      <c r="Z138" s="1" t="n">
        <v>79990</v>
      </c>
      <c r="AA138" s="5" t="n"/>
      <c r="AB138" s="5" t="n"/>
      <c r="AC138" s="14" t="n">
        <v>79990</v>
      </c>
      <c r="AD138" s="5">
        <f>(Y138-AC138)/1.18*0.92</f>
        <v/>
      </c>
      <c r="AF138" s="5">
        <f>W138+X138</f>
        <v/>
      </c>
      <c r="AH138" s="13" t="n">
        <v>2338.98305084735</v>
      </c>
      <c r="AI138" s="14" t="n"/>
      <c r="AL138" s="5" t="n"/>
      <c r="AM138" s="5" t="n">
        <v>75990</v>
      </c>
      <c r="AN138" s="5">
        <f>Y138-AM138</f>
        <v/>
      </c>
      <c r="AO138" s="5" t="n"/>
      <c r="AP138" s="5">
        <f>U138-AL138</f>
        <v/>
      </c>
      <c r="AQ138" s="22" t="n"/>
      <c r="AR138" s="22" t="n"/>
      <c r="AT138" s="3" t="n">
        <v>0</v>
      </c>
      <c r="AV138" s="5">
        <f>ROUNDUP((AT138/8)*80,0)</f>
        <v/>
      </c>
      <c r="AX138" s="38">
        <f>AV138*W138</f>
        <v/>
      </c>
      <c r="BA138" s="3" t="n">
        <v>0</v>
      </c>
      <c r="BB138" s="3" t="n">
        <v>0</v>
      </c>
      <c r="BC138" s="3" t="n">
        <v>48</v>
      </c>
      <c r="BD138" s="3">
        <f>BC138+BB138+BA138</f>
        <v/>
      </c>
      <c r="BE138" s="3" t="n">
        <v>571</v>
      </c>
      <c r="BF138" s="3" t="n">
        <v>0</v>
      </c>
      <c r="BH138" s="3">
        <f>ROUNDUP(BD138*1.85,0)</f>
        <v/>
      </c>
      <c r="BJ138" s="38">
        <f>BH138*V138</f>
        <v/>
      </c>
      <c r="BL138" s="3">
        <f>U138*1.18</f>
        <v/>
      </c>
    </row>
    <row r="139">
      <c r="A139" s="1" t="inlineStr">
        <is>
          <t>83DA0049IN</t>
        </is>
      </c>
      <c r="B139" s="1">
        <f>IF(BL139&lt;40000,"Entry",IF(BL139&gt;65000,"Premium","Mainstream"))</f>
        <v/>
      </c>
      <c r="C139" s="1" t="inlineStr">
        <is>
          <t>Premium</t>
        </is>
      </c>
      <c r="D139" s="1" t="inlineStr">
        <is>
          <t>CORE_ULT5_125H</t>
        </is>
      </c>
      <c r="E139" s="1" t="inlineStr">
        <is>
          <t>Thin &amp; Light</t>
        </is>
      </c>
      <c r="F139" s="1" t="inlineStr">
        <is>
          <t>Slim 5</t>
        </is>
      </c>
      <c r="G139" s="1" t="inlineStr">
        <is>
          <t>Slim 5</t>
        </is>
      </c>
      <c r="H139" s="1" t="inlineStr">
        <is>
          <t>CORE_ULT5_125H</t>
        </is>
      </c>
      <c r="I139" s="1" t="inlineStr">
        <is>
          <t>Ultra</t>
        </is>
      </c>
      <c r="J139" s="1" t="inlineStr">
        <is>
          <t>CORE_ULT5_125H</t>
        </is>
      </c>
      <c r="K139" s="1" t="inlineStr">
        <is>
          <t>16GB</t>
        </is>
      </c>
      <c r="L139" s="1" t="inlineStr">
        <is>
          <t>1TB SSD</t>
        </is>
      </c>
      <c r="M139" s="1" t="inlineStr">
        <is>
          <t>Win11</t>
        </is>
      </c>
      <c r="N139" s="1" t="inlineStr">
        <is>
          <t>Office 2021</t>
        </is>
      </c>
      <c r="O139" s="1" t="inlineStr">
        <is>
          <t>Intel Arc Graphics</t>
        </is>
      </c>
      <c r="P139" s="1" t="inlineStr">
        <is>
          <t>14_WUXGA_OLED_400N_N</t>
        </is>
      </c>
      <c r="Q139" s="1" t="inlineStr">
        <is>
          <t>1 Yr Onsite + 1 Yr PC</t>
        </is>
      </c>
      <c r="R139" s="1" t="inlineStr">
        <is>
          <t>Zero GTN</t>
        </is>
      </c>
      <c r="S139" s="1" t="n">
        <v>0</v>
      </c>
      <c r="T139" s="2">
        <f>U139*0.98*0.98</f>
        <v/>
      </c>
      <c r="U139" s="12" t="n">
        <v>67615.7039086821</v>
      </c>
      <c r="V139" s="14" t="n">
        <v>2339</v>
      </c>
      <c r="W139" s="14" t="n"/>
      <c r="X139" s="14" t="n"/>
      <c r="Y139" s="2">
        <f>(U139*0.98-S139-V139-W139-X139)*1.18/0.92</f>
        <v/>
      </c>
      <c r="Z139" s="1" t="n">
        <v>81990</v>
      </c>
      <c r="AA139" s="5" t="n"/>
      <c r="AB139" s="5" t="n"/>
      <c r="AC139" s="14" t="n">
        <v>81990</v>
      </c>
      <c r="AD139" s="5">
        <f>(Y139-AC139)/1.18*0.92</f>
        <v/>
      </c>
      <c r="AE139" s="5" t="n"/>
      <c r="AF139" s="5">
        <f>W139+X139</f>
        <v/>
      </c>
      <c r="AG139" s="5" t="n"/>
      <c r="AH139" s="14" t="n">
        <v>2339</v>
      </c>
      <c r="AI139" s="14" t="n"/>
      <c r="AJ139" s="5" t="n"/>
      <c r="AL139" s="5" t="n"/>
      <c r="AM139" s="5" t="n">
        <v>76989.84391304347</v>
      </c>
      <c r="AN139" s="5">
        <f>Y139-AM139</f>
        <v/>
      </c>
      <c r="AO139" s="5" t="n"/>
      <c r="AP139" s="5">
        <f>U139-AL139</f>
        <v/>
      </c>
      <c r="AQ139" s="22" t="n"/>
      <c r="AR139" s="22" t="n"/>
      <c r="AT139" s="3" t="n">
        <v>39</v>
      </c>
      <c r="AV139" s="5">
        <f>ROUNDUP((AT139/8)*80,0)</f>
        <v/>
      </c>
      <c r="AX139" s="38">
        <f>AV139*W139</f>
        <v/>
      </c>
      <c r="BA139" s="3" t="n">
        <v>0</v>
      </c>
      <c r="BB139" s="3" t="n">
        <v>175</v>
      </c>
      <c r="BC139" s="3" t="n">
        <v>23</v>
      </c>
      <c r="BD139" s="3">
        <f>BC139+BB139+BA139</f>
        <v/>
      </c>
      <c r="BE139" s="3" t="n">
        <v>1</v>
      </c>
      <c r="BF139" s="3" t="n">
        <v>0</v>
      </c>
      <c r="BH139" s="3">
        <f>ROUNDUP(BD139*1.85,0)</f>
        <v/>
      </c>
      <c r="BJ139" s="38">
        <f>BH139*V139</f>
        <v/>
      </c>
      <c r="BL139" s="3">
        <f>U139*1.18</f>
        <v/>
      </c>
    </row>
    <row r="140">
      <c r="A140" s="1" t="inlineStr">
        <is>
          <t>83DA003GIN</t>
        </is>
      </c>
      <c r="B140" s="1">
        <f>IF(BL140&lt;40000,"Entry",IF(BL140&gt;65000,"Premium","Mainstream"))</f>
        <v/>
      </c>
      <c r="C140" s="1" t="inlineStr">
        <is>
          <t>Premium</t>
        </is>
      </c>
      <c r="D140" s="1" t="inlineStr">
        <is>
          <t>CORE_ULT5_125H</t>
        </is>
      </c>
      <c r="E140" s="1" t="inlineStr">
        <is>
          <t>Thin &amp; Light</t>
        </is>
      </c>
      <c r="F140" s="1" t="inlineStr">
        <is>
          <t>Slim 5</t>
        </is>
      </c>
      <c r="G140" s="1" t="inlineStr">
        <is>
          <t>Slim 5</t>
        </is>
      </c>
      <c r="H140" s="1" t="inlineStr">
        <is>
          <t>CORE_ULT5_125H</t>
        </is>
      </c>
      <c r="I140" s="1" t="inlineStr">
        <is>
          <t>Ultra</t>
        </is>
      </c>
      <c r="J140" s="1" t="inlineStr">
        <is>
          <t>CORE_ULT5_125H</t>
        </is>
      </c>
      <c r="K140" s="1" t="inlineStr">
        <is>
          <t>16GB</t>
        </is>
      </c>
      <c r="L140" s="1" t="inlineStr">
        <is>
          <t>1TB SSD</t>
        </is>
      </c>
      <c r="M140" s="1" t="inlineStr">
        <is>
          <t>Win11</t>
        </is>
      </c>
      <c r="N140" s="1" t="inlineStr">
        <is>
          <t>Office 2021</t>
        </is>
      </c>
      <c r="O140" s="1" t="inlineStr">
        <is>
          <t>Intel Arc Graphics</t>
        </is>
      </c>
      <c r="P140" s="1" t="inlineStr">
        <is>
          <t>14_WUXGA_OLED_400N_N</t>
        </is>
      </c>
      <c r="Q140" s="1" t="inlineStr">
        <is>
          <t>1 Yr Onsite + 1 Yr PC</t>
        </is>
      </c>
      <c r="R140" s="1" t="inlineStr">
        <is>
          <t>Zero GTN</t>
        </is>
      </c>
      <c r="S140" s="1" t="n">
        <v>0</v>
      </c>
      <c r="T140" s="2">
        <f>U140*0.98*0.98</f>
        <v/>
      </c>
      <c r="U140" s="12" t="n">
        <v>67615.72120373572</v>
      </c>
      <c r="V140" s="14" t="n">
        <v>2339</v>
      </c>
      <c r="W140" s="14" t="n"/>
      <c r="X140" s="14" t="n"/>
      <c r="Y140" s="2">
        <f>(U140*0.98-S140-V140-W140-X140)*1.18/0.92</f>
        <v/>
      </c>
      <c r="Z140" s="1" t="n">
        <v>81990</v>
      </c>
      <c r="AA140" s="5" t="n"/>
      <c r="AB140" s="5" t="n"/>
      <c r="AC140" s="14" t="n">
        <v>81990</v>
      </c>
      <c r="AD140" s="5">
        <f>(Y140-AC140)/1.18*0.92</f>
        <v/>
      </c>
      <c r="AE140" s="5" t="n"/>
      <c r="AF140" s="5">
        <f>W140+X140</f>
        <v/>
      </c>
      <c r="AG140" s="5" t="n"/>
      <c r="AH140" s="14" t="n">
        <v>2339</v>
      </c>
      <c r="AI140" s="14" t="n"/>
      <c r="AJ140" s="5" t="n"/>
      <c r="AL140" s="5" t="n"/>
      <c r="AM140" s="5" t="n">
        <v>76989.84391304347</v>
      </c>
      <c r="AN140" s="5">
        <f>Y140-AM140</f>
        <v/>
      </c>
      <c r="AO140" s="5" t="n"/>
      <c r="AP140" s="5">
        <f>U140-AL140</f>
        <v/>
      </c>
      <c r="AQ140" s="22" t="n"/>
      <c r="AR140" s="22" t="n"/>
      <c r="AT140" s="3" t="n">
        <v>0</v>
      </c>
      <c r="AV140" s="5">
        <f>ROUNDUP((AT140/8)*80,0)</f>
        <v/>
      </c>
      <c r="AX140" s="38">
        <f>AV140*W140</f>
        <v/>
      </c>
      <c r="BA140" s="3" t="n">
        <v>0</v>
      </c>
      <c r="BB140" s="3" t="n">
        <v>0</v>
      </c>
      <c r="BC140" s="3" t="n">
        <v>50</v>
      </c>
      <c r="BD140" s="3">
        <f>BC140+BB140+BA140</f>
        <v/>
      </c>
      <c r="BE140" s="3" t="n">
        <v>429</v>
      </c>
      <c r="BF140" s="3" t="n">
        <v>0</v>
      </c>
      <c r="BH140" s="3">
        <f>ROUNDUP(BD140*1.85,0)</f>
        <v/>
      </c>
      <c r="BJ140" s="38">
        <f>BH140*V140</f>
        <v/>
      </c>
      <c r="BL140" s="3">
        <f>U140*1.18</f>
        <v/>
      </c>
    </row>
    <row r="141">
      <c r="A141" s="1" t="inlineStr">
        <is>
          <t>83E00006IN</t>
        </is>
      </c>
      <c r="B141" s="1">
        <f>IF(BL141&lt;40000,"Entry",IF(BL141&gt;65000,"Premium","Mainstream"))</f>
        <v/>
      </c>
      <c r="C141" s="1" t="inlineStr">
        <is>
          <t>Premium</t>
        </is>
      </c>
      <c r="D141" s="1" t="inlineStr">
        <is>
          <t>i5 OS Office</t>
        </is>
      </c>
      <c r="E141" s="1" t="inlineStr">
        <is>
          <t>Thin &amp; Light</t>
        </is>
      </c>
      <c r="F141" s="1" t="inlineStr">
        <is>
          <t>Yoga Slim 6</t>
        </is>
      </c>
      <c r="G141" s="1" t="inlineStr">
        <is>
          <t>YGS6 14IRH8</t>
        </is>
      </c>
      <c r="H141" s="1" t="inlineStr">
        <is>
          <t>i5</t>
        </is>
      </c>
      <c r="I141" s="1" t="inlineStr">
        <is>
          <t>13th Gen</t>
        </is>
      </c>
      <c r="J141" s="1" t="inlineStr">
        <is>
          <t>i5-13500H</t>
        </is>
      </c>
      <c r="K141" s="1" t="inlineStr">
        <is>
          <t>16GB</t>
        </is>
      </c>
      <c r="L141" s="1" t="inlineStr">
        <is>
          <t>512GB SSD</t>
        </is>
      </c>
      <c r="M141" s="1" t="inlineStr">
        <is>
          <t>Windows 11</t>
        </is>
      </c>
      <c r="N141" s="1" t="inlineStr">
        <is>
          <t>OFFICE 2021</t>
        </is>
      </c>
      <c r="O141" s="1" t="inlineStr">
        <is>
          <t>INTEGRATED_GRAPHICS</t>
        </is>
      </c>
      <c r="P141" s="1" t="inlineStr">
        <is>
          <t>14_WUXGA_OLED_GL_400N</t>
        </is>
      </c>
      <c r="Q141" s="1" t="inlineStr">
        <is>
          <t>1 Yr Onsite + 1 Yr PC</t>
        </is>
      </c>
      <c r="R141" s="1" t="inlineStr">
        <is>
          <t>Full GTN</t>
        </is>
      </c>
      <c r="S141" s="1" t="n">
        <v>0</v>
      </c>
      <c r="T141" s="2">
        <f>U141*0.965*0.98</f>
        <v/>
      </c>
      <c r="U141" s="13" t="n">
        <v>75299</v>
      </c>
      <c r="V141" s="13" t="n">
        <v>2339</v>
      </c>
      <c r="W141" s="13" t="n"/>
      <c r="X141" s="13" t="n"/>
      <c r="Y141" s="2">
        <f>(U141*0.88-S141-V141-W141-X141)*1.18/0.92</f>
        <v/>
      </c>
      <c r="Z141" s="2" t="n">
        <v>81990</v>
      </c>
      <c r="AA141" s="5" t="n"/>
      <c r="AB141" s="5" t="n"/>
      <c r="AC141" s="14" t="n">
        <v>81990</v>
      </c>
      <c r="AD141" s="5">
        <f>(Y141-AC141)/1.18*0.92</f>
        <v/>
      </c>
      <c r="AE141" s="5" t="n"/>
      <c r="AF141" s="5">
        <f>W141+X141</f>
        <v/>
      </c>
      <c r="AG141" s="5" t="n"/>
      <c r="AH141" s="13" t="n">
        <v>2339</v>
      </c>
      <c r="AI141" s="13" t="n"/>
      <c r="AJ141" s="5" t="n"/>
      <c r="AL141" s="5" t="n"/>
      <c r="AM141" s="5" t="n">
        <v>80181.39130434781</v>
      </c>
      <c r="AN141" s="5">
        <f>Y141-AM141</f>
        <v/>
      </c>
      <c r="AO141" s="5" t="n"/>
      <c r="AP141" s="5">
        <f>U141-AL141</f>
        <v/>
      </c>
      <c r="AQ141" s="20" t="n">
        <v>0</v>
      </c>
      <c r="AR141" s="20" t="n"/>
      <c r="AT141" s="3" t="n">
        <v>4</v>
      </c>
      <c r="AV141" s="5">
        <f>ROUNDUP((AT141/8)*80,0)</f>
        <v/>
      </c>
      <c r="AX141" s="38">
        <f>AV141*W141</f>
        <v/>
      </c>
      <c r="BA141" s="3" t="n">
        <v>16</v>
      </c>
      <c r="BB141" s="3" t="n">
        <v>43</v>
      </c>
      <c r="BC141" s="3" t="n">
        <v>94</v>
      </c>
      <c r="BD141" s="3">
        <f>BC141+BB141+BA141</f>
        <v/>
      </c>
      <c r="BE141" s="3" t="n">
        <v>51</v>
      </c>
      <c r="BF141" s="3" t="n">
        <v>0</v>
      </c>
      <c r="BH141" s="3">
        <f>ROUNDUP(BD141*1.85,0)</f>
        <v/>
      </c>
      <c r="BJ141" s="38">
        <f>BH141*V141</f>
        <v/>
      </c>
      <c r="BL141" s="3">
        <f>U141*1.18</f>
        <v/>
      </c>
    </row>
    <row r="142">
      <c r="A142" s="1" t="inlineStr">
        <is>
          <t>82XF003JIN</t>
        </is>
      </c>
      <c r="B142" s="1">
        <f>IF(BL142&lt;40000,"Entry",IF(BL142&gt;65000,"Premium","Mainstream"))</f>
        <v/>
      </c>
      <c r="C142" s="1" t="inlineStr">
        <is>
          <t>Premium</t>
        </is>
      </c>
      <c r="D142" s="1" t="inlineStr">
        <is>
          <t>i7 OS Office</t>
        </is>
      </c>
      <c r="E142" s="1" t="inlineStr">
        <is>
          <t>Thin &amp; Light</t>
        </is>
      </c>
      <c r="F142" s="1" t="inlineStr">
        <is>
          <t>Slim 5</t>
        </is>
      </c>
      <c r="G142" s="1" t="inlineStr">
        <is>
          <t>IPS5 16IRL8</t>
        </is>
      </c>
      <c r="H142" s="1" t="inlineStr">
        <is>
          <t>i7</t>
        </is>
      </c>
      <c r="I142" s="1" t="inlineStr">
        <is>
          <t>13th gen</t>
        </is>
      </c>
      <c r="J142" s="1" t="inlineStr">
        <is>
          <t>i7-13700H</t>
        </is>
      </c>
      <c r="K142" s="1" t="inlineStr">
        <is>
          <t>16GB</t>
        </is>
      </c>
      <c r="L142" s="1" t="inlineStr">
        <is>
          <t>512GB SSD</t>
        </is>
      </c>
      <c r="M142" s="1" t="inlineStr">
        <is>
          <t>Windows 11</t>
        </is>
      </c>
      <c r="N142" s="1" t="inlineStr">
        <is>
          <t>Office 2021</t>
        </is>
      </c>
      <c r="O142" s="1" t="inlineStr">
        <is>
          <t>INTEGRATED_GRAPHICS</t>
        </is>
      </c>
      <c r="P142" s="1" t="inlineStr">
        <is>
          <t>16_WUXGA_AG_300N_N</t>
        </is>
      </c>
      <c r="Q142" s="1" t="inlineStr">
        <is>
          <t>1 Yr Onsite + 1 Yr PC</t>
        </is>
      </c>
      <c r="R142" s="1" t="inlineStr">
        <is>
          <t>Full GTN</t>
        </is>
      </c>
      <c r="S142" s="1" t="n">
        <v>0</v>
      </c>
      <c r="T142" s="2">
        <f>U142*0.965*0.98</f>
        <v/>
      </c>
      <c r="U142" s="13" t="n">
        <v>76355.93220338984</v>
      </c>
      <c r="V142" s="13" t="n">
        <v>0</v>
      </c>
      <c r="W142" s="13" t="n"/>
      <c r="X142" s="13" t="n"/>
      <c r="Y142" s="2">
        <f>(U142*0.88-S142-V142-W142-X142)*1.18/0.92</f>
        <v/>
      </c>
      <c r="Z142" s="1" t="n">
        <v>86190</v>
      </c>
      <c r="AA142" s="5" t="n"/>
      <c r="AB142" s="5" t="n"/>
      <c r="AC142" s="14" t="n">
        <v>86190</v>
      </c>
      <c r="AD142" s="5">
        <f>(Y142-AC142)/1.18*0.92</f>
        <v/>
      </c>
      <c r="AE142" s="5" t="n"/>
      <c r="AF142" s="5">
        <f>W142+X142</f>
        <v/>
      </c>
      <c r="AG142" s="5" t="n"/>
      <c r="AH142" s="13" t="n">
        <v>0</v>
      </c>
      <c r="AI142" s="13" t="n"/>
      <c r="AJ142" s="5" t="n"/>
      <c r="AL142" s="5" t="n"/>
      <c r="AM142" s="5" t="n">
        <v>86182.60869565218</v>
      </c>
      <c r="AN142" s="5">
        <f>Y142-AM142</f>
        <v/>
      </c>
      <c r="AO142" s="5" t="n"/>
      <c r="AP142" s="5">
        <f>U142-AL142</f>
        <v/>
      </c>
      <c r="AQ142" s="20" t="n">
        <v>0</v>
      </c>
      <c r="AR142" s="20" t="n"/>
      <c r="AT142" s="3" t="n">
        <v>3</v>
      </c>
      <c r="AV142" s="5">
        <f>ROUNDUP((AT142/8)*80,0)</f>
        <v/>
      </c>
      <c r="AX142" s="38">
        <f>AV142*W142</f>
        <v/>
      </c>
      <c r="BA142" s="3" t="n">
        <v>0</v>
      </c>
      <c r="BB142" s="3" t="n">
        <v>0</v>
      </c>
      <c r="BC142" s="3" t="n">
        <v>2</v>
      </c>
      <c r="BD142" s="3">
        <f>BC142+BB142+BA142</f>
        <v/>
      </c>
      <c r="BE142" s="3" t="n">
        <v>309</v>
      </c>
      <c r="BF142" s="3" t="n">
        <v>6</v>
      </c>
      <c r="BH142" s="3">
        <f>ROUNDUP(BD142*1.85,0)</f>
        <v/>
      </c>
      <c r="BJ142" s="38">
        <f>BH142*V142</f>
        <v/>
      </c>
      <c r="BL142" s="3">
        <f>U142*1.18</f>
        <v/>
      </c>
    </row>
    <row r="143">
      <c r="A143" s="1" t="inlineStr">
        <is>
          <t>82R7006EIN</t>
        </is>
      </c>
      <c r="B143" s="1">
        <f>IF(BL143&lt;40000,"Entry",IF(BL143&gt;65000,"Premium","Mainstream"))</f>
        <v/>
      </c>
      <c r="C143" s="1" t="inlineStr">
        <is>
          <t>Premium</t>
        </is>
      </c>
      <c r="D143" s="1" t="inlineStr">
        <is>
          <t>i3 OS Office</t>
        </is>
      </c>
      <c r="E143" s="1" t="inlineStr">
        <is>
          <t>Convertible</t>
        </is>
      </c>
      <c r="F143" s="1" t="inlineStr">
        <is>
          <t>Flex 5</t>
        </is>
      </c>
      <c r="G143" s="1" t="inlineStr">
        <is>
          <t>IdeaPad Flex 5 14IAU7</t>
        </is>
      </c>
      <c r="H143" s="1" t="inlineStr">
        <is>
          <t>i3</t>
        </is>
      </c>
      <c r="I143" s="1" t="inlineStr">
        <is>
          <t>12th Gen</t>
        </is>
      </c>
      <c r="J143" s="1" t="inlineStr">
        <is>
          <t>i3-1215U</t>
        </is>
      </c>
      <c r="K143" s="1" t="inlineStr">
        <is>
          <t>8GB</t>
        </is>
      </c>
      <c r="L143" s="1" t="inlineStr">
        <is>
          <t>512GB SSD</t>
        </is>
      </c>
      <c r="M143" s="1" t="inlineStr">
        <is>
          <t>Win11</t>
        </is>
      </c>
      <c r="N143" s="1" t="inlineStr">
        <is>
          <t>Office 2021</t>
        </is>
      </c>
      <c r="O143" s="1" t="inlineStr">
        <is>
          <t>INTEGRATED_GRAPHICS</t>
        </is>
      </c>
      <c r="P143" s="1" t="inlineStr">
        <is>
          <t>14_WUXGA_GL_300N_MT_N_G</t>
        </is>
      </c>
      <c r="Q143" s="1" t="inlineStr">
        <is>
          <t>1 Yr Onsite + 1 Yr PC + 1 Yr ADP</t>
        </is>
      </c>
      <c r="R143" s="1" t="inlineStr">
        <is>
          <t>Full GTN</t>
        </is>
      </c>
      <c r="S143" s="1" t="n">
        <v>725</v>
      </c>
      <c r="T143" s="2">
        <f>U143*0.98*0.965</f>
        <v/>
      </c>
      <c r="U143" s="13" t="n">
        <v>51315.77426810477</v>
      </c>
      <c r="V143" s="13" t="n">
        <v>0</v>
      </c>
      <c r="W143" s="13" t="n"/>
      <c r="X143" s="13" t="n"/>
      <c r="Y143" s="2">
        <f>(U143*0.89-S143-V143-W143-X143)*1.18/0.92</f>
        <v/>
      </c>
      <c r="Z143" s="2" t="n">
        <v>56989.99999999999</v>
      </c>
      <c r="AA143" s="5" t="n"/>
      <c r="AB143" s="5" t="n"/>
      <c r="AC143" s="14" t="n">
        <v>0</v>
      </c>
      <c r="AD143" s="5">
        <f>(Y143-AC143)/1.18*0.92</f>
        <v/>
      </c>
      <c r="AE143" s="5" t="n"/>
      <c r="AF143" s="5">
        <f>W143+X143</f>
        <v/>
      </c>
      <c r="AG143" s="5" t="n"/>
      <c r="AH143" s="13" t="n">
        <v>0</v>
      </c>
      <c r="AI143" s="13" t="n"/>
      <c r="AJ143" s="5" t="n"/>
      <c r="AL143" s="5" t="n"/>
      <c r="AM143" s="5" t="n">
        <v>56989.99999999999</v>
      </c>
      <c r="AN143" s="5">
        <f>Y143-AM143</f>
        <v/>
      </c>
      <c r="AO143" s="5" t="n"/>
      <c r="AP143" s="5" t="n"/>
      <c r="AQ143" s="20" t="n">
        <v>0</v>
      </c>
      <c r="AR143" s="20" t="n"/>
      <c r="AT143" s="3" t="n">
        <v>0</v>
      </c>
      <c r="AV143" s="5">
        <f>ROUNDUP((AT143/8)*80,0)</f>
        <v/>
      </c>
      <c r="AX143" s="38">
        <f>AV143*W143</f>
        <v/>
      </c>
      <c r="BA143" s="3" t="n">
        <v>0</v>
      </c>
      <c r="BB143" s="3" t="n">
        <v>0</v>
      </c>
      <c r="BC143" s="3" t="n">
        <v>0</v>
      </c>
      <c r="BD143" s="3">
        <f>BC143+BB143+BA143</f>
        <v/>
      </c>
      <c r="BE143" s="3" t="n">
        <v>1</v>
      </c>
      <c r="BF143" s="3" t="n">
        <v>0</v>
      </c>
      <c r="BH143" s="3">
        <f>ROUNDUP(BD143*1.85,0)</f>
        <v/>
      </c>
      <c r="BJ143" s="38">
        <f>BH143*V143</f>
        <v/>
      </c>
      <c r="BL143" s="3">
        <f>U143*1.18</f>
        <v/>
      </c>
    </row>
    <row r="144">
      <c r="A144" s="1" t="inlineStr">
        <is>
          <t>82R700ASIN</t>
        </is>
      </c>
      <c r="B144" s="1">
        <f>IF(BL144&lt;40000,"Entry",IF(BL144&gt;65000,"Premium","Mainstream"))</f>
        <v/>
      </c>
      <c r="C144" s="1" t="inlineStr">
        <is>
          <t>Premium</t>
        </is>
      </c>
      <c r="D144" s="1" t="inlineStr">
        <is>
          <t>i3 OS Office</t>
        </is>
      </c>
      <c r="E144" s="1" t="inlineStr">
        <is>
          <t>Convertible</t>
        </is>
      </c>
      <c r="F144" s="1" t="inlineStr">
        <is>
          <t>Flex 5</t>
        </is>
      </c>
      <c r="G144" s="1" t="inlineStr">
        <is>
          <t>IdeaPad Flex 5 14IAU7</t>
        </is>
      </c>
      <c r="H144" s="1" t="inlineStr">
        <is>
          <t>i3</t>
        </is>
      </c>
      <c r="I144" s="1" t="inlineStr">
        <is>
          <t>12th Gen</t>
        </is>
      </c>
      <c r="J144" s="1" t="inlineStr">
        <is>
          <t>i3-1215U</t>
        </is>
      </c>
      <c r="K144" s="1" t="inlineStr">
        <is>
          <t>8GB</t>
        </is>
      </c>
      <c r="L144" s="1" t="inlineStr">
        <is>
          <t>512GB SSD</t>
        </is>
      </c>
      <c r="M144" s="1" t="inlineStr">
        <is>
          <t>Win11</t>
        </is>
      </c>
      <c r="N144" s="1" t="inlineStr">
        <is>
          <t>Office 2021</t>
        </is>
      </c>
      <c r="O144" s="1" t="inlineStr">
        <is>
          <t>INTEGRATED_GRAPHICS</t>
        </is>
      </c>
      <c r="P144" s="1" t="inlineStr">
        <is>
          <t>14_WUXGA_GL_300N_MT_N_G</t>
        </is>
      </c>
      <c r="Q144" s="1" t="inlineStr">
        <is>
          <t>1 Yr Onsite + 1 Yr PC + 1 Yr ADP</t>
        </is>
      </c>
      <c r="R144" s="1" t="inlineStr">
        <is>
          <t>Full GTN</t>
        </is>
      </c>
      <c r="S144" s="1" t="n">
        <v>725</v>
      </c>
      <c r="T144" s="2">
        <f>U144*0.98*0.965</f>
        <v/>
      </c>
      <c r="U144" s="13" t="n">
        <v>51315.77426810478</v>
      </c>
      <c r="V144" s="13" t="n">
        <v>0</v>
      </c>
      <c r="W144" s="13" t="n"/>
      <c r="X144" s="13" t="n"/>
      <c r="Y144" s="2">
        <f>(U144*0.89-S144-V144-W144-X144)*1.18/0.92</f>
        <v/>
      </c>
      <c r="Z144" s="2" t="n">
        <v>56990</v>
      </c>
      <c r="AA144" s="5" t="n"/>
      <c r="AB144" s="5" t="n"/>
      <c r="AC144" s="14" t="n">
        <v>0</v>
      </c>
      <c r="AD144" s="5">
        <f>(Y144-AC144)/1.18*0.92</f>
        <v/>
      </c>
      <c r="AE144" s="5" t="n"/>
      <c r="AF144" s="5">
        <f>W144+X144</f>
        <v/>
      </c>
      <c r="AG144" s="5" t="n"/>
      <c r="AH144" s="13" t="n">
        <v>0</v>
      </c>
      <c r="AI144" s="13" t="n"/>
      <c r="AJ144" s="5" t="n"/>
      <c r="AL144" s="5" t="n"/>
      <c r="AM144" s="5" t="n">
        <v>56990</v>
      </c>
      <c r="AN144" s="5">
        <f>Y144-AM144</f>
        <v/>
      </c>
      <c r="AO144" s="5" t="n"/>
      <c r="AP144" s="5" t="n"/>
      <c r="AQ144" s="20" t="n">
        <v>0</v>
      </c>
      <c r="AR144" s="20" t="n"/>
      <c r="AT144" s="3" t="n">
        <v>0</v>
      </c>
      <c r="AV144" s="5">
        <f>ROUNDUP((AT144/8)*80,0)</f>
        <v/>
      </c>
      <c r="AX144" s="38">
        <f>AV144*W144</f>
        <v/>
      </c>
      <c r="BA144" s="3" t="n">
        <v>0</v>
      </c>
      <c r="BB144" s="3" t="n">
        <v>0</v>
      </c>
      <c r="BC144" s="3" t="n">
        <v>0</v>
      </c>
      <c r="BD144" s="3">
        <f>BC144+BB144+BA144</f>
        <v/>
      </c>
      <c r="BE144" s="3" t="n">
        <v>0</v>
      </c>
      <c r="BF144" s="3" t="n">
        <v>0</v>
      </c>
      <c r="BH144" s="3">
        <f>ROUNDUP(BD144*1.85,0)</f>
        <v/>
      </c>
      <c r="BJ144" s="38">
        <f>BH144*V144</f>
        <v/>
      </c>
      <c r="BL144" s="3">
        <f>U144*1.18</f>
        <v/>
      </c>
    </row>
    <row r="145">
      <c r="A145" s="1" t="inlineStr">
        <is>
          <t>82HU00PQIN</t>
        </is>
      </c>
      <c r="B145" s="1">
        <f>IF(BL145&lt;40000,"Entry",IF(BL145&gt;65000,"Premium","Mainstream"))</f>
        <v/>
      </c>
      <c r="C145" s="1" t="inlineStr">
        <is>
          <t>Premium</t>
        </is>
      </c>
      <c r="D145" s="1" t="inlineStr">
        <is>
          <t>R5 OS Office</t>
        </is>
      </c>
      <c r="E145" s="1" t="inlineStr">
        <is>
          <t>Convertible</t>
        </is>
      </c>
      <c r="F145" s="1" t="inlineStr">
        <is>
          <t>Flex 5</t>
        </is>
      </c>
      <c r="G145" s="1" t="inlineStr">
        <is>
          <t>Flex 5 14ALC05</t>
        </is>
      </c>
      <c r="H145" s="1" t="inlineStr">
        <is>
          <t>R5</t>
        </is>
      </c>
      <c r="I145" s="1" t="inlineStr">
        <is>
          <t>5XXXU</t>
        </is>
      </c>
      <c r="J145" s="1" t="inlineStr">
        <is>
          <t>R5-5500U</t>
        </is>
      </c>
      <c r="K145" s="1" t="inlineStr">
        <is>
          <t>8GB</t>
        </is>
      </c>
      <c r="L145" s="1" t="inlineStr">
        <is>
          <t>512GB SSD</t>
        </is>
      </c>
      <c r="M145" s="1" t="inlineStr">
        <is>
          <t>Win11</t>
        </is>
      </c>
      <c r="N145" s="1" t="inlineStr">
        <is>
          <t>Office 2021</t>
        </is>
      </c>
      <c r="O145" s="1" t="inlineStr">
        <is>
          <t>INTEGRATED_GRAPHICS</t>
        </is>
      </c>
      <c r="P145" s="1" t="inlineStr">
        <is>
          <t>14.0FHD_GL_250N_MT_N_G</t>
        </is>
      </c>
      <c r="Q145" s="1" t="inlineStr">
        <is>
          <t>1 Yr Onsite + 1 Yr PC + 1 Yr ADP</t>
        </is>
      </c>
      <c r="R145" s="1" t="inlineStr">
        <is>
          <t>Full GTN</t>
        </is>
      </c>
      <c r="S145" s="1" t="n">
        <v>725</v>
      </c>
      <c r="T145" s="2">
        <f>U145*0.98*0.965</f>
        <v/>
      </c>
      <c r="U145" s="13" t="n">
        <v>53381.35593220339</v>
      </c>
      <c r="V145" s="13" t="n">
        <v>0</v>
      </c>
      <c r="W145" s="13" t="n"/>
      <c r="X145" s="13" t="n"/>
      <c r="Y145" s="2">
        <f>(U145*0.89-S145-V145-W145-X145)*1.18/0.92</f>
        <v/>
      </c>
      <c r="Z145" s="2" t="n">
        <v>59321.41304347826</v>
      </c>
      <c r="AA145" s="5" t="n"/>
      <c r="AB145" s="5" t="n"/>
      <c r="AC145" s="14" t="n">
        <v>0</v>
      </c>
      <c r="AD145" s="5">
        <f>(Y145-AC145)/1.18*0.92</f>
        <v/>
      </c>
      <c r="AE145" s="5" t="n"/>
      <c r="AF145" s="5">
        <f>W145+X145</f>
        <v/>
      </c>
      <c r="AG145" s="5" t="n"/>
      <c r="AH145" s="13" t="n">
        <v>0</v>
      </c>
      <c r="AI145" s="13" t="n"/>
      <c r="AJ145" s="5" t="n"/>
      <c r="AL145" s="5" t="n"/>
      <c r="AM145" s="5" t="n">
        <v>59321.41304347826</v>
      </c>
      <c r="AN145" s="5">
        <f>Y145-AM145</f>
        <v/>
      </c>
      <c r="AO145" s="5" t="n"/>
      <c r="AP145" s="5" t="n"/>
      <c r="AQ145" s="20" t="n">
        <v>0</v>
      </c>
      <c r="AR145" s="20" t="n"/>
      <c r="AT145" s="3" t="n">
        <v>1</v>
      </c>
      <c r="AV145" s="5">
        <f>ROUNDUP((AT145/8)*80,0)</f>
        <v/>
      </c>
      <c r="AX145" s="38">
        <f>AV145*W145</f>
        <v/>
      </c>
      <c r="BA145" s="3" t="n">
        <v>-1</v>
      </c>
      <c r="BB145" s="3" t="n">
        <v>0</v>
      </c>
      <c r="BC145" s="3" t="n">
        <v>0</v>
      </c>
      <c r="BD145" s="3">
        <f>BC145+BB145+BA145</f>
        <v/>
      </c>
      <c r="BE145" s="3" t="n">
        <v>1</v>
      </c>
      <c r="BF145" s="3" t="n">
        <v>0</v>
      </c>
      <c r="BH145" s="3">
        <f>ROUNDUP(BD145*1.85,0)</f>
        <v/>
      </c>
      <c r="BJ145" s="38">
        <f>BH145*V145</f>
        <v/>
      </c>
      <c r="BL145" s="3">
        <f>U145*1.18</f>
        <v/>
      </c>
    </row>
    <row r="146">
      <c r="A146" s="1" t="inlineStr">
        <is>
          <t>82R9006DIN</t>
        </is>
      </c>
      <c r="B146" s="1">
        <f>IF(BL146&lt;40000,"Entry",IF(BL146&gt;65000,"Premium","Mainstream"))</f>
        <v/>
      </c>
      <c r="C146" s="1" t="inlineStr">
        <is>
          <t>Premium</t>
        </is>
      </c>
      <c r="D146" s="1" t="inlineStr">
        <is>
          <t>R5 OS Office</t>
        </is>
      </c>
      <c r="E146" s="1" t="inlineStr">
        <is>
          <t>Convertible</t>
        </is>
      </c>
      <c r="F146" s="1" t="inlineStr">
        <is>
          <t>Flex 5</t>
        </is>
      </c>
      <c r="G146" s="1" t="inlineStr">
        <is>
          <t>IdeaPad Flex 5 14ALC7</t>
        </is>
      </c>
      <c r="H146" s="1" t="inlineStr">
        <is>
          <t>R5</t>
        </is>
      </c>
      <c r="I146" s="1" t="inlineStr">
        <is>
          <t>5XXXU</t>
        </is>
      </c>
      <c r="J146" s="1" t="inlineStr">
        <is>
          <t>R5-5500U</t>
        </is>
      </c>
      <c r="K146" s="1" t="inlineStr">
        <is>
          <t>16GB</t>
        </is>
      </c>
      <c r="L146" s="1" t="inlineStr">
        <is>
          <t>512GB SSD</t>
        </is>
      </c>
      <c r="M146" s="1" t="inlineStr">
        <is>
          <t>Win11</t>
        </is>
      </c>
      <c r="N146" s="1" t="inlineStr">
        <is>
          <t>Office 2021</t>
        </is>
      </c>
      <c r="O146" s="1" t="inlineStr">
        <is>
          <t>INTEGRATED_GRAPHICS</t>
        </is>
      </c>
      <c r="P146" s="1" t="inlineStr">
        <is>
          <t>14_WUXGA_GL_300N_MT_N_G</t>
        </is>
      </c>
      <c r="Q146" s="1" t="inlineStr">
        <is>
          <t>1 Yr Onsite + 1 Yr PC + 1 Yr ADP</t>
        </is>
      </c>
      <c r="R146" s="1" t="inlineStr">
        <is>
          <t>Full GTN</t>
        </is>
      </c>
      <c r="S146" s="1" t="n">
        <v>725</v>
      </c>
      <c r="T146" s="2">
        <f>U146*0.98*0.965</f>
        <v/>
      </c>
      <c r="U146" s="13" t="n">
        <v>58211.69491525424</v>
      </c>
      <c r="V146" s="13" t="n">
        <v>610.7830508474581</v>
      </c>
      <c r="W146" s="13" t="n"/>
      <c r="X146" s="13" t="n"/>
      <c r="Y146" s="2">
        <f>(U146*0.88-S146-V146-W146-X146)*1.18/0.92</f>
        <v/>
      </c>
      <c r="Z146" s="2" t="n">
        <v>63990.00000000001</v>
      </c>
      <c r="AA146" s="5" t="n"/>
      <c r="AB146" s="5" t="n"/>
      <c r="AC146" s="14" t="n">
        <v>0</v>
      </c>
      <c r="AD146" s="5">
        <f>(Y146-AC146)/1.18*0.92</f>
        <v/>
      </c>
      <c r="AE146" s="5" t="n"/>
      <c r="AF146" s="5">
        <f>W146+X146</f>
        <v/>
      </c>
      <c r="AG146" s="5" t="n"/>
      <c r="AH146" s="13" t="n">
        <v>610.7830508474581</v>
      </c>
      <c r="AI146" s="13" t="n"/>
      <c r="AJ146" s="5" t="n"/>
      <c r="AL146" s="5" t="n"/>
      <c r="AM146" s="5" t="n">
        <v>63990.00000000001</v>
      </c>
      <c r="AN146" s="5">
        <f>Y146-AM146</f>
        <v/>
      </c>
      <c r="AO146" s="5" t="n"/>
      <c r="AP146" s="5" t="n"/>
      <c r="AQ146" s="20" t="n">
        <v>610.7830508474581</v>
      </c>
      <c r="AR146" s="20" t="n"/>
      <c r="AT146" s="3" t="n">
        <v>0</v>
      </c>
      <c r="AV146" s="5">
        <f>ROUNDUP((AT146/8)*80,0)</f>
        <v/>
      </c>
      <c r="AX146" s="38">
        <f>AV146*W146</f>
        <v/>
      </c>
      <c r="BA146" s="3" t="n">
        <v>0</v>
      </c>
      <c r="BB146" s="3" t="n">
        <v>0</v>
      </c>
      <c r="BC146" s="3" t="n">
        <v>0</v>
      </c>
      <c r="BD146" s="3">
        <f>BC146+BB146+BA146</f>
        <v/>
      </c>
      <c r="BE146" s="3" t="n">
        <v>4</v>
      </c>
      <c r="BF146" s="3" t="n">
        <v>0</v>
      </c>
      <c r="BH146" s="3">
        <f>ROUNDUP(BD146*1.85,0)</f>
        <v/>
      </c>
      <c r="BJ146" s="38">
        <f>BH146*V146</f>
        <v/>
      </c>
      <c r="BL146" s="3">
        <f>U146*1.18</f>
        <v/>
      </c>
    </row>
    <row r="147">
      <c r="A147" s="1" t="inlineStr">
        <is>
          <t>82R9006PIN</t>
        </is>
      </c>
      <c r="B147" s="1">
        <f>IF(BL147&lt;40000,"Entry",IF(BL147&gt;65000,"Premium","Mainstream"))</f>
        <v/>
      </c>
      <c r="C147" s="1" t="inlineStr">
        <is>
          <t>Premium</t>
        </is>
      </c>
      <c r="D147" s="1" t="inlineStr">
        <is>
          <t>R5 OS Office</t>
        </is>
      </c>
      <c r="E147" s="1" t="inlineStr">
        <is>
          <t>Convertible</t>
        </is>
      </c>
      <c r="F147" s="1" t="inlineStr">
        <is>
          <t>Flex 5</t>
        </is>
      </c>
      <c r="G147" s="1" t="inlineStr">
        <is>
          <t>IdeaPad Flex 5 14ALC7</t>
        </is>
      </c>
      <c r="H147" s="1" t="inlineStr">
        <is>
          <t>R5</t>
        </is>
      </c>
      <c r="I147" s="1" t="inlineStr">
        <is>
          <t>5XXXU</t>
        </is>
      </c>
      <c r="J147" s="1" t="inlineStr">
        <is>
          <t>R5-5500U</t>
        </is>
      </c>
      <c r="K147" s="1" t="inlineStr">
        <is>
          <t>16GB</t>
        </is>
      </c>
      <c r="L147" s="1" t="inlineStr">
        <is>
          <t>512GB SSD</t>
        </is>
      </c>
      <c r="M147" s="1" t="inlineStr">
        <is>
          <t>Win11</t>
        </is>
      </c>
      <c r="N147" s="1" t="inlineStr">
        <is>
          <t>Office 2021</t>
        </is>
      </c>
      <c r="O147" s="1" t="inlineStr">
        <is>
          <t>INTEGRATED_GRAPHICS</t>
        </is>
      </c>
      <c r="P147" s="1" t="inlineStr">
        <is>
          <t>14_WUXGA_GL_300N_MT_N_G</t>
        </is>
      </c>
      <c r="Q147" s="1" t="inlineStr">
        <is>
          <t>1 Yr Onsite + 1 Yr PC + 1 Yr ADP</t>
        </is>
      </c>
      <c r="R147" s="1" t="inlineStr">
        <is>
          <t>Full GTN</t>
        </is>
      </c>
      <c r="S147" s="1" t="n">
        <v>725</v>
      </c>
      <c r="T147" s="2">
        <f>U147*0.98*0.965</f>
        <v/>
      </c>
      <c r="U147" s="13" t="n">
        <v>61601.99999999999</v>
      </c>
      <c r="V147" s="13" t="n">
        <v>3594.251525423715</v>
      </c>
      <c r="W147" s="13" t="n"/>
      <c r="X147" s="13" t="n"/>
      <c r="Y147" s="2">
        <f>(U147*0.88-S147-V147-W147-X147)*1.18/0.92</f>
        <v/>
      </c>
      <c r="Z147" s="2" t="n">
        <v>64990</v>
      </c>
      <c r="AA147" s="5" t="n"/>
      <c r="AB147" s="5" t="n"/>
      <c r="AC147" s="14" t="n">
        <v>0</v>
      </c>
      <c r="AD147" s="5">
        <f>(Y147-AC147)/1.18*0.92</f>
        <v/>
      </c>
      <c r="AE147" s="5" t="n"/>
      <c r="AF147" s="5">
        <f>W147+X147</f>
        <v/>
      </c>
      <c r="AG147" s="5" t="n"/>
      <c r="AH147" s="13" t="n">
        <v>3594.251525423715</v>
      </c>
      <c r="AI147" s="13" t="n"/>
      <c r="AJ147" s="5" t="n"/>
      <c r="AL147" s="5" t="n"/>
      <c r="AM147" s="5" t="n">
        <v>63990.00000000001</v>
      </c>
      <c r="AN147" s="5">
        <f>Y147-AM147</f>
        <v/>
      </c>
      <c r="AO147" s="5" t="n"/>
      <c r="AP147" s="5" t="n"/>
      <c r="AQ147" s="20" t="n">
        <v>3594.251525423715</v>
      </c>
      <c r="AR147" s="20" t="n"/>
      <c r="AT147" s="3" t="n">
        <v>0</v>
      </c>
      <c r="AV147" s="5">
        <f>ROUNDUP((AT147/8)*80,0)</f>
        <v/>
      </c>
      <c r="AX147" s="38">
        <f>AV147*W147</f>
        <v/>
      </c>
      <c r="BA147" s="3" t="n">
        <v>0</v>
      </c>
      <c r="BB147" s="3" t="n">
        <v>0</v>
      </c>
      <c r="BC147" s="3" t="n">
        <v>0</v>
      </c>
      <c r="BD147" s="3">
        <f>BC147+BB147+BA147</f>
        <v/>
      </c>
      <c r="BE147" s="3" t="n">
        <v>4</v>
      </c>
      <c r="BF147" s="3" t="n">
        <v>0</v>
      </c>
      <c r="BH147" s="3">
        <f>ROUNDUP(BD147*1.85,0)</f>
        <v/>
      </c>
      <c r="BJ147" s="38">
        <f>BH147*V147</f>
        <v/>
      </c>
      <c r="BL147" s="3">
        <f>U147*1.18</f>
        <v/>
      </c>
    </row>
    <row r="148">
      <c r="A148" s="1" t="inlineStr">
        <is>
          <t>82R9008GIN</t>
        </is>
      </c>
      <c r="B148" s="1">
        <f>IF(BL148&lt;40000,"Entry",IF(BL148&gt;65000,"Premium","Mainstream"))</f>
        <v/>
      </c>
      <c r="C148" s="1" t="inlineStr">
        <is>
          <t>Premium</t>
        </is>
      </c>
      <c r="D148" s="1" t="inlineStr">
        <is>
          <t>R5 OS Office</t>
        </is>
      </c>
      <c r="E148" s="1" t="inlineStr">
        <is>
          <t>Convertible</t>
        </is>
      </c>
      <c r="F148" s="1" t="inlineStr">
        <is>
          <t>Flex 5</t>
        </is>
      </c>
      <c r="G148" s="1" t="inlineStr">
        <is>
          <t>IdeaPad Flex 5 14ALC7</t>
        </is>
      </c>
      <c r="H148" s="1" t="inlineStr">
        <is>
          <t>R5</t>
        </is>
      </c>
      <c r="I148" s="1" t="inlineStr">
        <is>
          <t>5XXXU</t>
        </is>
      </c>
      <c r="J148" s="1" t="inlineStr">
        <is>
          <t>R5-5500U</t>
        </is>
      </c>
      <c r="K148" s="1" t="inlineStr">
        <is>
          <t>16GB</t>
        </is>
      </c>
      <c r="L148" s="1" t="inlineStr">
        <is>
          <t>512GB SSD</t>
        </is>
      </c>
      <c r="M148" s="1" t="inlineStr">
        <is>
          <t>Win11</t>
        </is>
      </c>
      <c r="N148" s="1" t="inlineStr">
        <is>
          <t>Office 2021</t>
        </is>
      </c>
      <c r="O148" s="1" t="inlineStr">
        <is>
          <t>INTEGRATED_GRAPHICS</t>
        </is>
      </c>
      <c r="P148" s="1" t="inlineStr">
        <is>
          <t>14_WUXGA_GL_300N_MT_N_G</t>
        </is>
      </c>
      <c r="Q148" s="1" t="inlineStr">
        <is>
          <t>1 Yr Onsite + 1 Yr PC + 1 Yr ADP</t>
        </is>
      </c>
      <c r="R148" s="1" t="inlineStr">
        <is>
          <t>Full GTN</t>
        </is>
      </c>
      <c r="S148" s="1" t="n">
        <v>725</v>
      </c>
      <c r="T148" s="2">
        <f>U148*0.98*0.965</f>
        <v/>
      </c>
      <c r="U148" s="13" t="n">
        <v>58212.69491525424</v>
      </c>
      <c r="V148" s="13" t="n">
        <v>0</v>
      </c>
      <c r="W148" s="13" t="n"/>
      <c r="X148" s="13" t="n"/>
      <c r="Y148" s="2">
        <f>(U148*0.88-S148-V148-W148-X148)*1.18/0.92</f>
        <v/>
      </c>
      <c r="Z148" s="2" t="n">
        <v>64990</v>
      </c>
      <c r="AA148" s="5" t="n"/>
      <c r="AB148" s="5" t="n"/>
      <c r="AC148" s="14" t="n">
        <v>0</v>
      </c>
      <c r="AD148" s="5">
        <f>(Y148-AC148)/1.18*0.92</f>
        <v/>
      </c>
      <c r="AE148" s="5" t="n"/>
      <c r="AF148" s="5">
        <f>W148+X148</f>
        <v/>
      </c>
      <c r="AG148" s="5" t="n"/>
      <c r="AH148" s="13" t="n">
        <v>0</v>
      </c>
      <c r="AI148" s="13" t="n"/>
      <c r="AJ148" s="5" t="n"/>
      <c r="AL148" s="5" t="n"/>
      <c r="AM148" s="5" t="n">
        <v>64774.52434782608</v>
      </c>
      <c r="AN148" s="5">
        <f>Y148-AM148</f>
        <v/>
      </c>
      <c r="AO148" s="5" t="n"/>
      <c r="AP148" s="5" t="n"/>
      <c r="AQ148" s="20" t="n">
        <v>0</v>
      </c>
      <c r="AR148" s="20" t="n"/>
      <c r="AT148" s="3" t="n">
        <v>0</v>
      </c>
      <c r="AV148" s="5">
        <f>ROUNDUP((AT148/8)*80,0)</f>
        <v/>
      </c>
      <c r="AX148" s="38">
        <f>AV148*W148</f>
        <v/>
      </c>
      <c r="BA148" s="3" t="n">
        <v>0</v>
      </c>
      <c r="BB148" s="3" t="n">
        <v>0</v>
      </c>
      <c r="BC148" s="3" t="n">
        <v>-1</v>
      </c>
      <c r="BD148" s="3">
        <f>BC148+BB148+BA148</f>
        <v/>
      </c>
      <c r="BE148" s="3" t="n">
        <v>1</v>
      </c>
      <c r="BF148" s="3" t="n">
        <v>0</v>
      </c>
      <c r="BH148" s="3">
        <f>ROUNDUP(BD148*1.85,0)</f>
        <v/>
      </c>
      <c r="BJ148" s="38">
        <f>BH148*V148</f>
        <v/>
      </c>
      <c r="BL148" s="3">
        <f>U148*1.18</f>
        <v/>
      </c>
    </row>
    <row r="149">
      <c r="A149" s="1" t="inlineStr">
        <is>
          <t>82R90068IN</t>
        </is>
      </c>
      <c r="B149" s="1">
        <f>IF(BL149&lt;40000,"Entry",IF(BL149&gt;65000,"Premium","Mainstream"))</f>
        <v/>
      </c>
      <c r="C149" s="1" t="inlineStr">
        <is>
          <t>Premium</t>
        </is>
      </c>
      <c r="D149" s="1" t="inlineStr">
        <is>
          <t>R7 OS Office</t>
        </is>
      </c>
      <c r="E149" s="1" t="inlineStr">
        <is>
          <t>Convertible</t>
        </is>
      </c>
      <c r="F149" s="1" t="inlineStr">
        <is>
          <t>Flex 5</t>
        </is>
      </c>
      <c r="G149" s="1" t="inlineStr">
        <is>
          <t>IdeaPad Flex 5 14ALC7</t>
        </is>
      </c>
      <c r="H149" s="1" t="inlineStr">
        <is>
          <t>R7</t>
        </is>
      </c>
      <c r="I149" s="1" t="inlineStr">
        <is>
          <t>5XXXU</t>
        </is>
      </c>
      <c r="J149" s="1" t="inlineStr">
        <is>
          <t>Ryzen 7 5700U</t>
        </is>
      </c>
      <c r="K149" s="1" t="inlineStr">
        <is>
          <t>16GB</t>
        </is>
      </c>
      <c r="L149" s="1" t="inlineStr">
        <is>
          <t>512GB SSD</t>
        </is>
      </c>
      <c r="M149" s="1" t="inlineStr">
        <is>
          <t>Win11</t>
        </is>
      </c>
      <c r="N149" s="1" t="inlineStr">
        <is>
          <t>Office 2021</t>
        </is>
      </c>
      <c r="O149" s="1" t="inlineStr">
        <is>
          <t>INTEGRATED_GRAPHICS</t>
        </is>
      </c>
      <c r="P149" s="1" t="inlineStr">
        <is>
          <t>14_WUXGA_GL_300N_MT_N_G</t>
        </is>
      </c>
      <c r="Q149" s="1" t="inlineStr">
        <is>
          <t>1 Yr Onsite + 1 Yr PC + 1 Yr ADP</t>
        </is>
      </c>
      <c r="R149" s="1" t="inlineStr">
        <is>
          <t>Full GTN</t>
        </is>
      </c>
      <c r="S149" s="1" t="n">
        <v>725</v>
      </c>
      <c r="T149" s="2">
        <f>U149*0.98*0.965</f>
        <v/>
      </c>
      <c r="U149" s="13" t="n">
        <v>66686.44067796611</v>
      </c>
      <c r="V149" s="13" t="n">
        <v>1051.61016949152</v>
      </c>
      <c r="W149" s="13" t="n"/>
      <c r="X149" s="13" t="n"/>
      <c r="Y149" s="2">
        <f>(U149*0.88-S149-V149-W149-X149)*1.18/0.92</f>
        <v/>
      </c>
      <c r="Z149" s="2" t="n">
        <v>72990</v>
      </c>
      <c r="AA149" s="5" t="n"/>
      <c r="AB149" s="5" t="n"/>
      <c r="AC149" s="14" t="n">
        <v>0</v>
      </c>
      <c r="AD149" s="5">
        <f>(Y149-AC149)/1.18*0.92</f>
        <v/>
      </c>
      <c r="AE149" s="5" t="n"/>
      <c r="AF149" s="5">
        <f>W149+X149</f>
        <v/>
      </c>
      <c r="AG149" s="5" t="n"/>
      <c r="AH149" s="13" t="n">
        <v>1051.61016949152</v>
      </c>
      <c r="AI149" s="13" t="n"/>
      <c r="AJ149" s="5" t="n"/>
      <c r="AL149" s="5" t="n"/>
      <c r="AM149" s="5" t="n">
        <v>72990</v>
      </c>
      <c r="AN149" s="5">
        <f>Y149-AM149</f>
        <v/>
      </c>
      <c r="AO149" s="5" t="n"/>
      <c r="AP149" s="5" t="n"/>
      <c r="AQ149" s="20" t="n">
        <v>1051.61016949152</v>
      </c>
      <c r="AR149" s="20" t="n"/>
      <c r="AT149" s="3" t="n">
        <v>0</v>
      </c>
      <c r="AV149" s="5">
        <f>ROUNDUP((AT149/8)*80,0)</f>
        <v/>
      </c>
      <c r="AX149" s="38">
        <f>AV149*W149</f>
        <v/>
      </c>
      <c r="BA149" s="3" t="n">
        <v>0</v>
      </c>
      <c r="BB149" s="3" t="n">
        <v>0</v>
      </c>
      <c r="BC149" s="3" t="n">
        <v>0</v>
      </c>
      <c r="BD149" s="3">
        <f>BC149+BB149+BA149</f>
        <v/>
      </c>
      <c r="BE149" s="3" t="n">
        <v>1</v>
      </c>
      <c r="BF149" s="3" t="n">
        <v>2</v>
      </c>
      <c r="BH149" s="3">
        <f>ROUNDUP(BD149*1.85,0)</f>
        <v/>
      </c>
      <c r="BJ149" s="38">
        <f>BH149*V149</f>
        <v/>
      </c>
      <c r="BL149" s="3">
        <f>U149*1.18</f>
        <v/>
      </c>
    </row>
    <row r="150">
      <c r="A150" s="1" t="inlineStr">
        <is>
          <t>82UD0068IN</t>
        </is>
      </c>
      <c r="B150" s="1">
        <f>IF(BL150&lt;40000,"Entry",IF(BL150&gt;65000,"Premium","Mainstream"))</f>
        <v/>
      </c>
      <c r="C150" s="1" t="inlineStr">
        <is>
          <t>Premium</t>
        </is>
      </c>
      <c r="D150" s="1" t="inlineStr">
        <is>
          <t>R7 OS Office</t>
        </is>
      </c>
      <c r="E150" s="1" t="inlineStr">
        <is>
          <t>Convertible</t>
        </is>
      </c>
      <c r="F150" s="1" t="inlineStr">
        <is>
          <t>Yoga 6</t>
        </is>
      </c>
      <c r="G150" s="1" t="inlineStr">
        <is>
          <t>Yoga 6 13ALC7</t>
        </is>
      </c>
      <c r="H150" s="1" t="inlineStr">
        <is>
          <t>R7</t>
        </is>
      </c>
      <c r="I150" s="1" t="inlineStr">
        <is>
          <t>5XXXU</t>
        </is>
      </c>
      <c r="J150" s="1" t="inlineStr">
        <is>
          <t>Ryzen 7 5700U</t>
        </is>
      </c>
      <c r="K150" s="1" t="inlineStr">
        <is>
          <t>16GB</t>
        </is>
      </c>
      <c r="L150" s="1" t="inlineStr">
        <is>
          <t>512GB SSD</t>
        </is>
      </c>
      <c r="M150" s="1" t="inlineStr">
        <is>
          <t>Win11</t>
        </is>
      </c>
      <c r="N150" s="1" t="inlineStr">
        <is>
          <t>Office 2021</t>
        </is>
      </c>
      <c r="O150" s="1" t="inlineStr">
        <is>
          <t>INTEGRATED_GRAPHICS</t>
        </is>
      </c>
      <c r="P150" s="1" t="inlineStr">
        <is>
          <t>13.3_WUXGA_GL_300N_MT_N_SRGB</t>
        </is>
      </c>
      <c r="Q150" s="1" t="inlineStr">
        <is>
          <t>3 Yr Warranty + 3 Yr PC + 1 Yr ADP</t>
        </is>
      </c>
      <c r="R150" s="1" t="inlineStr">
        <is>
          <t>Full GTN</t>
        </is>
      </c>
      <c r="S150" s="1" t="n">
        <v>1881</v>
      </c>
      <c r="T150" s="2">
        <f>U150*0.98*0.965</f>
        <v/>
      </c>
      <c r="U150" s="13" t="n">
        <v>75415.25423728814</v>
      </c>
      <c r="V150" s="13" t="n">
        <v>0</v>
      </c>
      <c r="W150" s="13" t="n"/>
      <c r="X150" s="13" t="n"/>
      <c r="Y150" s="2">
        <f>(U150*0.88-S150-V150-W150-X150)*1.18/0.92</f>
        <v/>
      </c>
      <c r="Z150" s="2" t="n">
        <v>82708.28260869565</v>
      </c>
      <c r="AA150" s="5" t="n"/>
      <c r="AB150" s="5" t="n"/>
      <c r="AC150" s="14" t="n">
        <v>0</v>
      </c>
      <c r="AD150" s="5">
        <f>(Y150-AC150)/1.18*0.92</f>
        <v/>
      </c>
      <c r="AE150" s="5" t="n"/>
      <c r="AF150" s="5">
        <f>W150+X150</f>
        <v/>
      </c>
      <c r="AG150" s="5" t="n"/>
      <c r="AH150" s="13" t="n">
        <v>0</v>
      </c>
      <c r="AI150" s="13" t="n"/>
      <c r="AJ150" s="5" t="n"/>
      <c r="AL150" s="5" t="n"/>
      <c r="AM150" s="5" t="n">
        <v>82708.28260869565</v>
      </c>
      <c r="AN150" s="5">
        <f>Y150-AM150</f>
        <v/>
      </c>
      <c r="AO150" s="5" t="n"/>
      <c r="AP150" s="5" t="n"/>
      <c r="AQ150" s="20" t="n">
        <v>0</v>
      </c>
      <c r="AR150" s="20" t="n"/>
      <c r="AT150" s="3" t="n">
        <v>0</v>
      </c>
      <c r="AV150" s="5">
        <f>ROUNDUP((AT150/8)*80,0)</f>
        <v/>
      </c>
      <c r="AX150" s="38">
        <f>AV150*W150</f>
        <v/>
      </c>
      <c r="BA150" s="3" t="n">
        <v>7</v>
      </c>
      <c r="BB150" s="3" t="n">
        <v>0</v>
      </c>
      <c r="BC150" s="3" t="n">
        <v>0</v>
      </c>
      <c r="BD150" s="3">
        <f>BC150+BB150+BA150</f>
        <v/>
      </c>
      <c r="BE150" s="3" t="n">
        <v>10</v>
      </c>
      <c r="BF150" s="3" t="n">
        <v>2</v>
      </c>
      <c r="BH150" s="3">
        <f>ROUNDUP(BD150*1.85,0)</f>
        <v/>
      </c>
      <c r="BJ150" s="38">
        <f>BH150*V150</f>
        <v/>
      </c>
      <c r="BL150" s="3">
        <f>U150*1.18</f>
        <v/>
      </c>
    </row>
    <row r="151">
      <c r="A151" s="1" t="inlineStr">
        <is>
          <t>82UD0088IN</t>
        </is>
      </c>
      <c r="B151" s="1">
        <f>IF(BL151&lt;40000,"Entry",IF(BL151&gt;65000,"Premium","Mainstream"))</f>
        <v/>
      </c>
      <c r="C151" s="1" t="inlineStr">
        <is>
          <t>Premium</t>
        </is>
      </c>
      <c r="D151" s="1" t="inlineStr">
        <is>
          <t>R7 OS Office</t>
        </is>
      </c>
      <c r="E151" s="1" t="inlineStr">
        <is>
          <t>Convertible</t>
        </is>
      </c>
      <c r="F151" s="1" t="inlineStr">
        <is>
          <t>Yoga 6</t>
        </is>
      </c>
      <c r="G151" s="1" t="inlineStr">
        <is>
          <t>Yoga 6 13ALC7</t>
        </is>
      </c>
      <c r="H151" s="1" t="inlineStr">
        <is>
          <t>R7</t>
        </is>
      </c>
      <c r="I151" s="1" t="inlineStr">
        <is>
          <t>5XXXU</t>
        </is>
      </c>
      <c r="J151" s="1" t="inlineStr">
        <is>
          <t>Ryzen 7 5700U</t>
        </is>
      </c>
      <c r="K151" s="1" t="inlineStr">
        <is>
          <t>16GB</t>
        </is>
      </c>
      <c r="L151" s="1" t="inlineStr">
        <is>
          <t>512GB SSD</t>
        </is>
      </c>
      <c r="M151" s="1" t="inlineStr">
        <is>
          <t>Win11</t>
        </is>
      </c>
      <c r="N151" s="1" t="inlineStr">
        <is>
          <t>Office 2021</t>
        </is>
      </c>
      <c r="O151" s="1" t="inlineStr">
        <is>
          <t>INTEGRATED_GRAPHICS</t>
        </is>
      </c>
      <c r="P151" s="1" t="inlineStr">
        <is>
          <t>13.3_WUXGA_GL_300N_MT_N_SRGB</t>
        </is>
      </c>
      <c r="Q151" s="1" t="inlineStr">
        <is>
          <t>3 Yr Warranty + 3 Yr PC + 1 Yr ADP</t>
        </is>
      </c>
      <c r="R151" s="1" t="inlineStr">
        <is>
          <t>Full GTN</t>
        </is>
      </c>
      <c r="S151" s="1" t="n">
        <v>1881</v>
      </c>
      <c r="T151" s="2">
        <f>U151*0.98*0.965</f>
        <v/>
      </c>
      <c r="U151" s="13" t="n">
        <v>75415.25423728814</v>
      </c>
      <c r="V151" s="13" t="n">
        <v>0</v>
      </c>
      <c r="W151" s="13" t="n"/>
      <c r="X151" s="13" t="n"/>
      <c r="Y151" s="2">
        <f>(U151*0.88-S151-V151-W151-X151)*1.18/0.92</f>
        <v/>
      </c>
      <c r="Z151" s="2" t="n">
        <v>82708.28260869565</v>
      </c>
      <c r="AA151" s="5" t="n"/>
      <c r="AB151" s="5" t="n"/>
      <c r="AC151" s="14" t="n">
        <v>0</v>
      </c>
      <c r="AD151" s="5">
        <f>(Y151-AC151)/1.18*0.92</f>
        <v/>
      </c>
      <c r="AE151" s="5" t="n"/>
      <c r="AF151" s="5">
        <f>W151+X151</f>
        <v/>
      </c>
      <c r="AG151" s="5" t="n"/>
      <c r="AH151" s="13" t="n">
        <v>0</v>
      </c>
      <c r="AI151" s="13" t="n"/>
      <c r="AJ151" s="5" t="n"/>
      <c r="AL151" s="5" t="n"/>
      <c r="AM151" s="5" t="n">
        <v>82708.28260869565</v>
      </c>
      <c r="AN151" s="5">
        <f>Y151-AM151</f>
        <v/>
      </c>
      <c r="AO151" s="5" t="n"/>
      <c r="AP151" s="5" t="n"/>
      <c r="AQ151" s="20" t="n">
        <v>0</v>
      </c>
      <c r="AR151" s="20" t="n"/>
      <c r="AT151" s="3" t="n">
        <v>0</v>
      </c>
      <c r="AV151" s="5">
        <f>ROUNDUP((AT151/8)*80,0)</f>
        <v/>
      </c>
      <c r="AX151" s="38">
        <f>AV151*W151</f>
        <v/>
      </c>
      <c r="BA151" s="3" t="n">
        <v>0</v>
      </c>
      <c r="BB151" s="3" t="n">
        <v>0</v>
      </c>
      <c r="BC151" s="3" t="n">
        <v>0</v>
      </c>
      <c r="BD151" s="3">
        <f>BC151+BB151+BA151</f>
        <v/>
      </c>
      <c r="BE151" s="3" t="n">
        <v>0</v>
      </c>
      <c r="BF151" s="3" t="n">
        <v>0</v>
      </c>
      <c r="BH151" s="3">
        <f>ROUNDUP(BD151*1.85,0)</f>
        <v/>
      </c>
      <c r="BJ151" s="38">
        <f>BH151*V151</f>
        <v/>
      </c>
      <c r="BL151" s="3">
        <f>U151*1.18</f>
        <v/>
      </c>
    </row>
    <row r="152">
      <c r="A152" s="1" t="inlineStr">
        <is>
          <t>82N70055IN</t>
        </is>
      </c>
      <c r="B152" s="1">
        <f>IF(BL152&lt;40000,"Entry",IF(BL152&gt;65000,"Premium","Mainstream"))</f>
        <v/>
      </c>
      <c r="C152" s="1" t="inlineStr">
        <is>
          <t>Premium</t>
        </is>
      </c>
      <c r="D152" s="1" t="inlineStr">
        <is>
          <t>R7 OS Office</t>
        </is>
      </c>
      <c r="E152" s="1" t="inlineStr">
        <is>
          <t>Convertible</t>
        </is>
      </c>
      <c r="F152" s="1" t="inlineStr">
        <is>
          <t>Yoga 7</t>
        </is>
      </c>
      <c r="G152" s="1" t="inlineStr">
        <is>
          <t>Yoga 7 14ACN6</t>
        </is>
      </c>
      <c r="H152" s="1" t="inlineStr">
        <is>
          <t>R7</t>
        </is>
      </c>
      <c r="I152" s="1" t="inlineStr">
        <is>
          <t>5XXXU</t>
        </is>
      </c>
      <c r="J152" s="1" t="inlineStr">
        <is>
          <t>Ryzen 7 5800U</t>
        </is>
      </c>
      <c r="K152" s="1" t="inlineStr">
        <is>
          <t>16GB</t>
        </is>
      </c>
      <c r="L152" s="1" t="inlineStr">
        <is>
          <t>512GB SSD</t>
        </is>
      </c>
      <c r="M152" s="1" t="inlineStr">
        <is>
          <t>Win11</t>
        </is>
      </c>
      <c r="N152" s="1" t="inlineStr">
        <is>
          <t>Office 2021</t>
        </is>
      </c>
      <c r="O152" s="1" t="inlineStr">
        <is>
          <t>INTEGRATED_GRAPHICS</t>
        </is>
      </c>
      <c r="P152" s="1" t="inlineStr">
        <is>
          <t>14.0FHD_GL_300N_MT_N_72%</t>
        </is>
      </c>
      <c r="Q152" s="1" t="inlineStr">
        <is>
          <t>3 Yr Warranty + 1 Yr PC + 1 Yr ADP</t>
        </is>
      </c>
      <c r="R152" s="1" t="inlineStr">
        <is>
          <t>Full GTN</t>
        </is>
      </c>
      <c r="S152" s="1" t="n">
        <v>1881</v>
      </c>
      <c r="T152" s="2">
        <f>U152*0.98*0.965</f>
        <v/>
      </c>
      <c r="U152" s="13" t="n">
        <v>83889.83050847458</v>
      </c>
      <c r="V152" s="13" t="n">
        <v>0</v>
      </c>
      <c r="W152" s="13" t="n"/>
      <c r="X152" s="13" t="n"/>
      <c r="Y152" s="2">
        <f>(U152*0.88-S152-V152-W152-X152)*1.18/0.92</f>
        <v/>
      </c>
      <c r="Z152" s="2" t="n">
        <v>92273.5</v>
      </c>
      <c r="AA152" s="5" t="n"/>
      <c r="AB152" s="5" t="n"/>
      <c r="AC152" s="14" t="n">
        <v>0</v>
      </c>
      <c r="AD152" s="5">
        <f>(Y152-AC152)/1.18*0.92</f>
        <v/>
      </c>
      <c r="AE152" s="5" t="n"/>
      <c r="AF152" s="5">
        <f>W152+X152</f>
        <v/>
      </c>
      <c r="AG152" s="5" t="n"/>
      <c r="AH152" s="13" t="n">
        <v>0</v>
      </c>
      <c r="AI152" s="13" t="n"/>
      <c r="AJ152" s="5" t="n"/>
      <c r="AL152" s="5" t="n"/>
      <c r="AM152" s="5" t="n">
        <v>92273.5</v>
      </c>
      <c r="AN152" s="5">
        <f>Y152-AM152</f>
        <v/>
      </c>
      <c r="AO152" s="5" t="n"/>
      <c r="AP152" s="5" t="n"/>
      <c r="AQ152" s="20" t="n">
        <v>0</v>
      </c>
      <c r="AR152" s="20" t="n"/>
      <c r="AT152" s="3" t="n">
        <v>0</v>
      </c>
      <c r="AV152" s="5">
        <f>ROUNDUP((AT152/8)*80,0)</f>
        <v/>
      </c>
      <c r="AX152" s="38">
        <f>AV152*W152</f>
        <v/>
      </c>
      <c r="BA152" s="3" t="n">
        <v>0</v>
      </c>
      <c r="BB152" s="3" t="n">
        <v>0</v>
      </c>
      <c r="BC152" s="3" t="n">
        <v>0</v>
      </c>
      <c r="BD152" s="3">
        <f>BC152+BB152+BA152</f>
        <v/>
      </c>
      <c r="BE152" s="3" t="n">
        <v>1</v>
      </c>
      <c r="BF152" s="3" t="n">
        <v>0</v>
      </c>
      <c r="BH152" s="3">
        <f>ROUNDUP(BD152*1.85,0)</f>
        <v/>
      </c>
      <c r="BJ152" s="38">
        <f>BH152*V152</f>
        <v/>
      </c>
      <c r="BL152" s="3">
        <f>U152*1.18</f>
        <v/>
      </c>
    </row>
    <row r="153">
      <c r="A153" s="1" t="inlineStr">
        <is>
          <t>82N7000AIN</t>
        </is>
      </c>
      <c r="B153" s="1">
        <f>IF(BL153&lt;40000,"Entry",IF(BL153&gt;65000,"Premium","Mainstream"))</f>
        <v/>
      </c>
      <c r="C153" s="1" t="inlineStr">
        <is>
          <t>Premium</t>
        </is>
      </c>
      <c r="D153" s="1" t="inlineStr">
        <is>
          <t>R7 OS Office</t>
        </is>
      </c>
      <c r="E153" s="1" t="inlineStr">
        <is>
          <t>Convertible</t>
        </is>
      </c>
      <c r="F153" s="1" t="inlineStr">
        <is>
          <t>Yoga 7</t>
        </is>
      </c>
      <c r="G153" s="1" t="inlineStr">
        <is>
          <t>Yoga 7 14ACN6</t>
        </is>
      </c>
      <c r="H153" s="1" t="inlineStr">
        <is>
          <t>R7</t>
        </is>
      </c>
      <c r="I153" s="1" t="inlineStr">
        <is>
          <t>5XXXU</t>
        </is>
      </c>
      <c r="J153" s="1" t="inlineStr">
        <is>
          <t>AMD Ryzen 7 5800U</t>
        </is>
      </c>
      <c r="K153" s="1" t="inlineStr">
        <is>
          <t>16GB</t>
        </is>
      </c>
      <c r="L153" s="1" t="inlineStr">
        <is>
          <t>512GB SSD</t>
        </is>
      </c>
      <c r="M153" s="1" t="inlineStr">
        <is>
          <t>Win10</t>
        </is>
      </c>
      <c r="N153" s="1" t="inlineStr">
        <is>
          <t>Office 2019</t>
        </is>
      </c>
      <c r="O153" s="1" t="inlineStr">
        <is>
          <t>Integratred</t>
        </is>
      </c>
      <c r="P153" s="1" t="inlineStr">
        <is>
          <t>14" FHD (1920x1080) IPS 300nits Glossy, 72% NTSC</t>
        </is>
      </c>
      <c r="Q153" s="1" t="inlineStr">
        <is>
          <t>3 Yr Warranty + 1 Yr PC + 1 Yr ADP</t>
        </is>
      </c>
      <c r="R153" s="1" t="inlineStr">
        <is>
          <t>Full GTN</t>
        </is>
      </c>
      <c r="S153" s="1" t="n">
        <v>1881</v>
      </c>
      <c r="T153" s="2">
        <f>U153*0.98*0.965</f>
        <v/>
      </c>
      <c r="U153" s="13" t="n">
        <v>83889.83050847458</v>
      </c>
      <c r="V153" s="13" t="n">
        <v>1780.355932203398</v>
      </c>
      <c r="W153" s="13" t="n"/>
      <c r="X153" s="13" t="n"/>
      <c r="Y153" s="2">
        <f>(U153*0.88-S153-V153-W153-X153)*1.18/0.92</f>
        <v/>
      </c>
      <c r="Z153" s="2" t="n">
        <v>89989.99999999999</v>
      </c>
      <c r="AA153" s="5" t="n"/>
      <c r="AB153" s="5" t="n"/>
      <c r="AC153" s="14" t="n">
        <v>0</v>
      </c>
      <c r="AD153" s="5">
        <f>(Y153-AC153)/1.18*0.92</f>
        <v/>
      </c>
      <c r="AE153" s="5" t="n"/>
      <c r="AF153" s="5">
        <f>W153+X153</f>
        <v/>
      </c>
      <c r="AG153" s="5" t="n"/>
      <c r="AH153" s="13" t="n">
        <v>1780.355932203398</v>
      </c>
      <c r="AI153" s="13" t="n">
        <v>5457.627118644037</v>
      </c>
      <c r="AJ153" s="5" t="n"/>
      <c r="AL153" s="5" t="n"/>
      <c r="AM153" s="5" t="n">
        <v>82990.00000000003</v>
      </c>
      <c r="AN153" s="5">
        <f>Y153-AM153</f>
        <v/>
      </c>
      <c r="AO153" s="5" t="n"/>
      <c r="AP153" s="5" t="n"/>
      <c r="AQ153" s="20" t="n">
        <v>1780.355932203398</v>
      </c>
      <c r="AR153" s="20" t="n">
        <v>5457.627118644037</v>
      </c>
      <c r="AT153" s="3" t="n">
        <v>0</v>
      </c>
      <c r="AV153" s="5">
        <f>ROUNDUP((AT153/8)*80,0)</f>
        <v/>
      </c>
      <c r="AX153" s="38">
        <f>AV153*W153</f>
        <v/>
      </c>
      <c r="BA153" s="3" t="n">
        <v>0</v>
      </c>
      <c r="BB153" s="3" t="n">
        <v>0</v>
      </c>
      <c r="BC153" s="3" t="n">
        <v>0</v>
      </c>
      <c r="BD153" s="3">
        <f>BC153+BB153+BA153</f>
        <v/>
      </c>
      <c r="BE153" s="3" t="n">
        <v>22</v>
      </c>
      <c r="BF153" s="3" t="n">
        <v>0</v>
      </c>
      <c r="BH153" s="3">
        <f>ROUNDUP(BD153*1.85,0)</f>
        <v/>
      </c>
      <c r="BJ153" s="38">
        <f>BH153*V153</f>
        <v/>
      </c>
      <c r="BL153" s="3">
        <f>U153*1.18</f>
        <v/>
      </c>
    </row>
    <row r="154">
      <c r="A154" s="1" t="inlineStr">
        <is>
          <t>82QE0060IN</t>
        </is>
      </c>
      <c r="B154" s="1">
        <f>IF(BL154&lt;40000,"Entry",IF(BL154&gt;65000,"Premium","Mainstream"))</f>
        <v/>
      </c>
      <c r="C154" s="1" t="inlineStr">
        <is>
          <t>Premium</t>
        </is>
      </c>
      <c r="D154" s="1" t="inlineStr">
        <is>
          <t>i7 OS Office</t>
        </is>
      </c>
      <c r="E154" s="1" t="inlineStr">
        <is>
          <t>Convertible</t>
        </is>
      </c>
      <c r="F154" s="1" t="inlineStr">
        <is>
          <t>Yoga 7</t>
        </is>
      </c>
      <c r="G154" s="1" t="inlineStr">
        <is>
          <t>Yoga 7 14IAL7</t>
        </is>
      </c>
      <c r="H154" s="1" t="inlineStr">
        <is>
          <t>i7</t>
        </is>
      </c>
      <c r="I154" s="1" t="inlineStr">
        <is>
          <t>12th Gen</t>
        </is>
      </c>
      <c r="J154" s="1" t="inlineStr">
        <is>
          <t>Ci7-1260P</t>
        </is>
      </c>
      <c r="K154" s="1" t="inlineStr">
        <is>
          <t>16GB</t>
        </is>
      </c>
      <c r="L154" s="1" t="inlineStr">
        <is>
          <t>512GB SSD</t>
        </is>
      </c>
      <c r="M154" s="1" t="inlineStr">
        <is>
          <t>Win11</t>
        </is>
      </c>
      <c r="N154" s="1" t="inlineStr">
        <is>
          <t>Office 2021</t>
        </is>
      </c>
      <c r="O154" s="1" t="inlineStr">
        <is>
          <t>INTEGRATED_GRAPHICS</t>
        </is>
      </c>
      <c r="P154" s="1" t="inlineStr">
        <is>
          <t>14_2.8K_OLED_GL_400N_HDR_90_P3</t>
        </is>
      </c>
      <c r="Q154" s="1" t="inlineStr">
        <is>
          <t>3 Yr Warranty + 3 Yr PC + 1 Yr ADP</t>
        </is>
      </c>
      <c r="R154" s="1" t="inlineStr">
        <is>
          <t>Full GTN</t>
        </is>
      </c>
      <c r="S154" s="1" t="n">
        <v>1881</v>
      </c>
      <c r="T154" s="2">
        <f>U154*0.98*0.965</f>
        <v/>
      </c>
      <c r="U154" s="13" t="n">
        <v>95156.37519260397</v>
      </c>
      <c r="V154" s="13" t="n">
        <v>0</v>
      </c>
      <c r="W154" s="13" t="n"/>
      <c r="X154" s="13" t="n"/>
      <c r="Y154" s="2">
        <f>(U154*0.88-S154-V154-W154-X154)*1.18/0.92</f>
        <v/>
      </c>
      <c r="Z154" s="2" t="n">
        <v>104990</v>
      </c>
      <c r="AA154" s="5" t="n"/>
      <c r="AB154" s="5" t="n"/>
      <c r="AC154" s="14" t="n">
        <v>0</v>
      </c>
      <c r="AD154" s="5">
        <f>(Y154-AC154)/1.18*0.92</f>
        <v/>
      </c>
      <c r="AE154" s="5" t="n"/>
      <c r="AF154" s="5">
        <f>W154+X154</f>
        <v/>
      </c>
      <c r="AG154" s="5" t="n"/>
      <c r="AH154" s="13" t="n">
        <v>0</v>
      </c>
      <c r="AI154" s="13" t="n"/>
      <c r="AJ154" s="5" t="n"/>
      <c r="AL154" s="5" t="n"/>
      <c r="AM154" s="5" t="n">
        <v>104990</v>
      </c>
      <c r="AN154" s="5">
        <f>Y154-AM154</f>
        <v/>
      </c>
      <c r="AO154" s="5" t="n"/>
      <c r="AP154" s="5" t="n"/>
      <c r="AQ154" s="20" t="n">
        <v>0</v>
      </c>
      <c r="AR154" s="20" t="n"/>
      <c r="AT154" s="3" t="n">
        <v>0</v>
      </c>
      <c r="AV154" s="5">
        <f>ROUNDUP((AT154/8)*80,0)</f>
        <v/>
      </c>
      <c r="AX154" s="38">
        <f>AV154*W154</f>
        <v/>
      </c>
      <c r="BA154" s="3" t="n">
        <v>4</v>
      </c>
      <c r="BB154" s="3" t="n">
        <v>0</v>
      </c>
      <c r="BC154" s="3" t="n">
        <v>0</v>
      </c>
      <c r="BD154" s="3">
        <f>BC154+BB154+BA154</f>
        <v/>
      </c>
      <c r="BE154" s="3" t="n">
        <v>0</v>
      </c>
      <c r="BF154" s="3" t="n">
        <v>0</v>
      </c>
      <c r="BH154" s="3">
        <f>ROUNDUP(BD154*1.85,0)</f>
        <v/>
      </c>
      <c r="BJ154" s="38">
        <f>BH154*V154</f>
        <v/>
      </c>
      <c r="BL154" s="3">
        <f>U154*1.18</f>
        <v/>
      </c>
    </row>
    <row r="155">
      <c r="A155" s="1" t="inlineStr">
        <is>
          <t>82QE009SIN</t>
        </is>
      </c>
      <c r="B155" s="1">
        <f>IF(BL155&lt;40000,"Entry",IF(BL155&gt;65000,"Premium","Mainstream"))</f>
        <v/>
      </c>
      <c r="C155" s="1" t="inlineStr">
        <is>
          <t>Premium</t>
        </is>
      </c>
      <c r="D155" s="1" t="inlineStr">
        <is>
          <t>i7 OS Office</t>
        </is>
      </c>
      <c r="E155" s="1" t="inlineStr">
        <is>
          <t>Convertible</t>
        </is>
      </c>
      <c r="F155" s="1" t="inlineStr">
        <is>
          <t>Yoga 7</t>
        </is>
      </c>
      <c r="G155" s="1" t="inlineStr">
        <is>
          <t>Yoga 7 14IAL7</t>
        </is>
      </c>
      <c r="H155" s="1" t="inlineStr">
        <is>
          <t>i7</t>
        </is>
      </c>
      <c r="I155" s="1" t="inlineStr">
        <is>
          <t>12th Gen</t>
        </is>
      </c>
      <c r="J155" s="1" t="inlineStr">
        <is>
          <t>Ci7-1260P</t>
        </is>
      </c>
      <c r="K155" s="1" t="inlineStr">
        <is>
          <t>16GB</t>
        </is>
      </c>
      <c r="L155" s="1" t="inlineStr">
        <is>
          <t>512GB SSD</t>
        </is>
      </c>
      <c r="M155" s="1" t="inlineStr">
        <is>
          <t>Win11</t>
        </is>
      </c>
      <c r="N155" s="1" t="inlineStr">
        <is>
          <t>Office 2021</t>
        </is>
      </c>
      <c r="O155" s="1" t="inlineStr">
        <is>
          <t>INTEGRATED_GRAPHICS</t>
        </is>
      </c>
      <c r="P155" s="1" t="inlineStr">
        <is>
          <t>14_2.8K_OLED_GL_400N_HDR_90_P3</t>
        </is>
      </c>
      <c r="Q155" s="1" t="inlineStr">
        <is>
          <t>3 Yr Warranty + 3 Yr PC + 1 Yr ADP</t>
        </is>
      </c>
      <c r="R155" s="1" t="inlineStr">
        <is>
          <t>Full GTN</t>
        </is>
      </c>
      <c r="S155" s="1" t="n">
        <v>1881</v>
      </c>
      <c r="T155" s="2">
        <f>U155*0.98*0.965</f>
        <v/>
      </c>
      <c r="U155" s="13" t="n">
        <v>103381.3559322034</v>
      </c>
      <c r="V155" s="13" t="n">
        <v>0</v>
      </c>
      <c r="W155" s="13" t="n"/>
      <c r="X155" s="13" t="n"/>
      <c r="Y155" s="2">
        <f>(U155*0.88-S155-V155-W155-X155)*1.18/0.92</f>
        <v/>
      </c>
      <c r="Z155" s="2" t="n">
        <v>114273.5</v>
      </c>
      <c r="AA155" s="5" t="n"/>
      <c r="AB155" s="5" t="n"/>
      <c r="AC155" s="14" t="n">
        <v>0</v>
      </c>
      <c r="AD155" s="5">
        <f>(Y155-AC155)/1.18*0.92</f>
        <v/>
      </c>
      <c r="AE155" s="5" t="n"/>
      <c r="AF155" s="5">
        <f>W155+X155</f>
        <v/>
      </c>
      <c r="AG155" s="5" t="n"/>
      <c r="AH155" s="13" t="n">
        <v>0</v>
      </c>
      <c r="AI155" s="13" t="n"/>
      <c r="AJ155" s="5" t="n"/>
      <c r="AL155" s="5" t="n"/>
      <c r="AM155" s="5" t="n">
        <v>114273.5</v>
      </c>
      <c r="AN155" s="5">
        <f>Y155-AM155</f>
        <v/>
      </c>
      <c r="AO155" s="5" t="n"/>
      <c r="AP155" s="5" t="n"/>
      <c r="AQ155" s="20" t="n">
        <v>0</v>
      </c>
      <c r="AR155" s="20" t="n"/>
      <c r="AT155" s="3" t="n">
        <v>0</v>
      </c>
      <c r="AV155" s="5">
        <f>ROUNDUP((AT155/8)*80,0)</f>
        <v/>
      </c>
      <c r="AX155" s="38">
        <f>AV155*W155</f>
        <v/>
      </c>
      <c r="BA155" s="3" t="n">
        <v>0</v>
      </c>
      <c r="BB155" s="3" t="n">
        <v>0</v>
      </c>
      <c r="BC155" s="3" t="n">
        <v>0</v>
      </c>
      <c r="BD155" s="3">
        <f>BC155+BB155+BA155</f>
        <v/>
      </c>
      <c r="BE155" s="3" t="n">
        <v>0</v>
      </c>
      <c r="BF155" s="3" t="n">
        <v>0</v>
      </c>
      <c r="BH155" s="3">
        <f>ROUNDUP(BD155*1.85,0)</f>
        <v/>
      </c>
      <c r="BJ155" s="38">
        <f>BH155*V155</f>
        <v/>
      </c>
      <c r="BL155" s="3">
        <f>U155*1.18</f>
        <v/>
      </c>
    </row>
    <row r="156">
      <c r="A156" s="1" t="inlineStr">
        <is>
          <t>82BG005JIN</t>
        </is>
      </c>
      <c r="B156" s="1">
        <f>IF(BL156&lt;40000,"Entry",IF(BL156&gt;65000,"Premium","Mainstream"))</f>
        <v/>
      </c>
      <c r="C156" s="1" t="inlineStr">
        <is>
          <t>Premium</t>
        </is>
      </c>
      <c r="D156" s="1" t="inlineStr">
        <is>
          <t>i7 OS Office</t>
        </is>
      </c>
      <c r="E156" s="1" t="inlineStr">
        <is>
          <t>Convertible</t>
        </is>
      </c>
      <c r="F156" s="1" t="inlineStr">
        <is>
          <t>Yoga 9</t>
        </is>
      </c>
      <c r="G156" s="1" t="inlineStr">
        <is>
          <t>Yoga 9-14ITL</t>
        </is>
      </c>
      <c r="H156" s="1" t="inlineStr">
        <is>
          <t>i7</t>
        </is>
      </c>
      <c r="I156" s="1" t="inlineStr">
        <is>
          <t>11th Gen</t>
        </is>
      </c>
      <c r="J156" s="1" t="inlineStr">
        <is>
          <t>i7-1165G7</t>
        </is>
      </c>
      <c r="K156" s="1" t="inlineStr">
        <is>
          <t>16GB</t>
        </is>
      </c>
      <c r="L156" s="1" t="inlineStr">
        <is>
          <t>1TB SSD</t>
        </is>
      </c>
      <c r="M156" s="1" t="inlineStr">
        <is>
          <t>Win10</t>
        </is>
      </c>
      <c r="N156" s="1" t="inlineStr">
        <is>
          <t>OFFICE H&amp;S 2019</t>
        </is>
      </c>
      <c r="O156" s="1" t="inlineStr">
        <is>
          <t>INTEGRATED GFX</t>
        </is>
      </c>
      <c r="P156" s="1" t="inlineStr">
        <is>
          <t>14.0 4K, 500 Nits HDR</t>
        </is>
      </c>
      <c r="Q156" s="1" t="inlineStr">
        <is>
          <t>3 Yr Warranty + 1 Yr PC + 1 Yr ADP</t>
        </is>
      </c>
      <c r="R156" s="1" t="inlineStr">
        <is>
          <t>Full GTN</t>
        </is>
      </c>
      <c r="S156" s="1" t="n">
        <v>1881</v>
      </c>
      <c r="T156" s="2">
        <f>U156*0.98*0.965</f>
        <v/>
      </c>
      <c r="U156" s="13" t="n">
        <v>148296.6101694915</v>
      </c>
      <c r="V156" s="13" t="n">
        <v>0</v>
      </c>
      <c r="W156" s="13" t="n"/>
      <c r="X156" s="13" t="n"/>
      <c r="Y156" s="2">
        <f>(U156*0.88-S156-V156-W156-X156)*1.18/0.92</f>
        <v/>
      </c>
      <c r="Z156" s="2" t="n">
        <v>164969.152173913</v>
      </c>
      <c r="AA156" s="5" t="n"/>
      <c r="AB156" s="5" t="n"/>
      <c r="AC156" s="14" t="n">
        <v>0</v>
      </c>
      <c r="AD156" s="5">
        <f>(Y156-AC156)/1.18*0.92</f>
        <v/>
      </c>
      <c r="AE156" s="5" t="n"/>
      <c r="AF156" s="5">
        <f>W156+X156</f>
        <v/>
      </c>
      <c r="AG156" s="5" t="n"/>
      <c r="AH156" s="13" t="n">
        <v>0</v>
      </c>
      <c r="AI156" s="13" t="n"/>
      <c r="AJ156" s="5" t="n"/>
      <c r="AL156" s="5" t="n"/>
      <c r="AM156" s="5" t="n">
        <v>164969.152173913</v>
      </c>
      <c r="AN156" s="5">
        <f>Y156-AM156</f>
        <v/>
      </c>
      <c r="AO156" s="5" t="n"/>
      <c r="AP156" s="5" t="n"/>
      <c r="AQ156" s="20" t="n">
        <v>0</v>
      </c>
      <c r="AR156" s="20" t="n"/>
      <c r="AT156" s="3" t="n">
        <v>0</v>
      </c>
      <c r="AV156" s="5">
        <f>ROUNDUP((AT156/8)*80,0)</f>
        <v/>
      </c>
      <c r="AX156" s="38">
        <f>AV156*W156</f>
        <v/>
      </c>
      <c r="BA156" s="3" t="n">
        <v>0</v>
      </c>
      <c r="BB156" s="3" t="n">
        <v>0</v>
      </c>
      <c r="BC156" s="3" t="n">
        <v>0</v>
      </c>
      <c r="BD156" s="3">
        <f>BC156+BB156+BA156</f>
        <v/>
      </c>
      <c r="BE156" s="3" t="n">
        <v>0</v>
      </c>
      <c r="BF156" s="3" t="n">
        <v>0</v>
      </c>
      <c r="BH156" s="3">
        <f>ROUNDUP(BD156*1.85,0)</f>
        <v/>
      </c>
      <c r="BJ156" s="38">
        <f>BH156*V156</f>
        <v/>
      </c>
      <c r="BL156" s="3">
        <f>U156*1.18</f>
        <v/>
      </c>
    </row>
    <row r="157">
      <c r="A157" s="1" t="inlineStr">
        <is>
          <t>82BG00BSIN</t>
        </is>
      </c>
      <c r="B157" s="1">
        <f>IF(BL157&lt;40000,"Entry",IF(BL157&gt;65000,"Premium","Mainstream"))</f>
        <v/>
      </c>
      <c r="C157" s="1" t="inlineStr">
        <is>
          <t>Premium</t>
        </is>
      </c>
      <c r="D157" s="1" t="inlineStr">
        <is>
          <t>i7 OS Office</t>
        </is>
      </c>
      <c r="E157" s="1" t="inlineStr">
        <is>
          <t>Convertible</t>
        </is>
      </c>
      <c r="F157" s="1" t="inlineStr">
        <is>
          <t>Yoga 9</t>
        </is>
      </c>
      <c r="G157" s="1" t="inlineStr">
        <is>
          <t>Yoga 9 14ITL5</t>
        </is>
      </c>
      <c r="H157" s="1" t="inlineStr">
        <is>
          <t>i7</t>
        </is>
      </c>
      <c r="I157" s="1" t="inlineStr">
        <is>
          <t>11th Gen</t>
        </is>
      </c>
      <c r="J157" s="1" t="inlineStr">
        <is>
          <t>Ci7-1185G7</t>
        </is>
      </c>
      <c r="K157" s="1" t="inlineStr">
        <is>
          <t>16GB</t>
        </is>
      </c>
      <c r="L157" s="1" t="inlineStr">
        <is>
          <t>1TB SSD</t>
        </is>
      </c>
      <c r="M157" s="1" t="inlineStr">
        <is>
          <t>Win11</t>
        </is>
      </c>
      <c r="N157" s="1" t="inlineStr">
        <is>
          <t>Office 2021</t>
        </is>
      </c>
      <c r="O157" s="1" t="inlineStr">
        <is>
          <t>INTEGRATED_GRAPHICS</t>
        </is>
      </c>
      <c r="P157" s="1" t="inlineStr">
        <is>
          <t>14.0_4K_GL_500N_MT_N_HDR_90P3</t>
        </is>
      </c>
      <c r="Q157" s="1" t="inlineStr">
        <is>
          <t>3 Yr Warranty + 1 Yr PC + 1 Yr ADP</t>
        </is>
      </c>
      <c r="R157" s="1" t="inlineStr">
        <is>
          <t>Full GTN</t>
        </is>
      </c>
      <c r="S157" s="1" t="n">
        <v>1881</v>
      </c>
      <c r="T157" s="2">
        <f>U157*0.98*0.965</f>
        <v/>
      </c>
      <c r="U157" s="13" t="n">
        <v>148296.6101694915</v>
      </c>
      <c r="V157" s="13" t="n">
        <v>0</v>
      </c>
      <c r="W157" s="13" t="n"/>
      <c r="X157" s="13" t="n"/>
      <c r="Y157" s="2">
        <f>(U157*0.88-S157-V157-W157-X157)*1.18/0.92</f>
        <v/>
      </c>
      <c r="Z157" s="2" t="n">
        <v>164969.152173913</v>
      </c>
      <c r="AA157" s="5" t="n"/>
      <c r="AB157" s="5" t="n"/>
      <c r="AC157" s="14" t="n">
        <v>0</v>
      </c>
      <c r="AD157" s="5">
        <f>(Y157-AC157)/1.18*0.92</f>
        <v/>
      </c>
      <c r="AE157" s="5" t="n"/>
      <c r="AF157" s="5">
        <f>W157+X157</f>
        <v/>
      </c>
      <c r="AG157" s="5" t="n"/>
      <c r="AH157" s="13" t="n">
        <v>0</v>
      </c>
      <c r="AI157" s="13" t="n"/>
      <c r="AJ157" s="5" t="n"/>
      <c r="AL157" s="5" t="n"/>
      <c r="AM157" s="5" t="n">
        <v>164969.152173913</v>
      </c>
      <c r="AN157" s="5">
        <f>Y157-AM157</f>
        <v/>
      </c>
      <c r="AO157" s="5" t="n"/>
      <c r="AP157" s="5" t="n"/>
      <c r="AQ157" s="20" t="n">
        <v>0</v>
      </c>
      <c r="AR157" s="20" t="n"/>
      <c r="AT157" s="3" t="n">
        <v>0</v>
      </c>
      <c r="AV157" s="5">
        <f>ROUNDUP((AT157/8)*80,0)</f>
        <v/>
      </c>
      <c r="AX157" s="38">
        <f>AV157*W157</f>
        <v/>
      </c>
      <c r="BA157" s="3" t="n">
        <v>0</v>
      </c>
      <c r="BB157" s="3" t="n">
        <v>0</v>
      </c>
      <c r="BC157" s="3" t="n">
        <v>0</v>
      </c>
      <c r="BD157" s="3">
        <f>BC157+BB157+BA157</f>
        <v/>
      </c>
      <c r="BE157" s="3" t="n">
        <v>0</v>
      </c>
      <c r="BF157" s="3" t="n">
        <v>0</v>
      </c>
      <c r="BH157" s="3">
        <f>ROUNDUP(BD157*1.85,0)</f>
        <v/>
      </c>
      <c r="BJ157" s="38">
        <f>BH157*V157</f>
        <v/>
      </c>
      <c r="BL157" s="3">
        <f>U157*1.18</f>
        <v/>
      </c>
    </row>
    <row r="158">
      <c r="A158" s="1" t="inlineStr">
        <is>
          <t>82LU008TIN</t>
        </is>
      </c>
      <c r="B158" s="1">
        <f>IF(BL158&lt;40000,"Entry",IF(BL158&gt;65000,"Premium","Mainstream"))</f>
        <v/>
      </c>
      <c r="C158" s="1" t="inlineStr">
        <is>
          <t>Premium</t>
        </is>
      </c>
      <c r="D158" s="1" t="inlineStr">
        <is>
          <t>i7 OS Office</t>
        </is>
      </c>
      <c r="E158" s="1" t="inlineStr">
        <is>
          <t>Convertible</t>
        </is>
      </c>
      <c r="F158" s="1" t="inlineStr">
        <is>
          <t>Yoga 9</t>
        </is>
      </c>
      <c r="G158" s="1" t="inlineStr">
        <is>
          <t>Yoga 9 14IAP7</t>
        </is>
      </c>
      <c r="H158" s="1" t="inlineStr">
        <is>
          <t>i7</t>
        </is>
      </c>
      <c r="I158" s="1" t="inlineStr">
        <is>
          <t>12th Gen</t>
        </is>
      </c>
      <c r="J158" s="1" t="inlineStr">
        <is>
          <t>i7-1280P</t>
        </is>
      </c>
      <c r="K158" s="1" t="inlineStr">
        <is>
          <t>16GB</t>
        </is>
      </c>
      <c r="L158" s="1" t="inlineStr">
        <is>
          <t>1TB SSD</t>
        </is>
      </c>
      <c r="M158" s="1" t="inlineStr">
        <is>
          <t>Win11</t>
        </is>
      </c>
      <c r="N158" s="1" t="inlineStr">
        <is>
          <t>OFFICE 2021</t>
        </is>
      </c>
      <c r="O158" s="1" t="inlineStr">
        <is>
          <t>INTEGRATED_GRAPHICS</t>
        </is>
      </c>
      <c r="P158" s="1" t="inlineStr">
        <is>
          <t>14WQUXGA_OLED_GL400N_MT_N_P3_G</t>
        </is>
      </c>
      <c r="Q158" s="1" t="inlineStr">
        <is>
          <t>3 Yr Warranty + 3 Yr PC + 1 Yr ADP</t>
        </is>
      </c>
      <c r="R158" s="1" t="inlineStr">
        <is>
          <t>Full GTN</t>
        </is>
      </c>
      <c r="S158" s="1" t="n">
        <v>1881</v>
      </c>
      <c r="T158" s="2">
        <f>U158*0.98*0.965</f>
        <v/>
      </c>
      <c r="U158" s="13" t="n">
        <v>154228.813559322</v>
      </c>
      <c r="V158" s="13" t="n">
        <v>0</v>
      </c>
      <c r="W158" s="13" t="n"/>
      <c r="X158" s="13" t="n"/>
      <c r="Y158" s="2">
        <f>(U158*0.88-S158-V158-W158-X158)*1.18/0.92</f>
        <v/>
      </c>
      <c r="Z158" s="2" t="n">
        <v>171664.8043478261</v>
      </c>
      <c r="AA158" s="5" t="n"/>
      <c r="AB158" s="5" t="n"/>
      <c r="AC158" s="14" t="n">
        <v>0</v>
      </c>
      <c r="AD158" s="5">
        <f>(Y158-AC158)/1.18*0.92</f>
        <v/>
      </c>
      <c r="AE158" s="5" t="n"/>
      <c r="AF158" s="5">
        <f>W158+X158</f>
        <v/>
      </c>
      <c r="AG158" s="5" t="n"/>
      <c r="AH158" s="13" t="n">
        <v>0</v>
      </c>
      <c r="AI158" s="13" t="n"/>
      <c r="AJ158" s="5" t="n"/>
      <c r="AL158" s="5" t="n"/>
      <c r="AM158" s="5" t="n">
        <v>171664.8043478261</v>
      </c>
      <c r="AN158" s="5">
        <f>Y158-AM158</f>
        <v/>
      </c>
      <c r="AO158" s="5" t="n"/>
      <c r="AP158" s="5" t="n"/>
      <c r="AQ158" s="20" t="n">
        <v>0</v>
      </c>
      <c r="AR158" s="20" t="n"/>
      <c r="AT158" s="3" t="n">
        <v>0</v>
      </c>
      <c r="AV158" s="5">
        <f>ROUNDUP((AT158/8)*80,0)</f>
        <v/>
      </c>
      <c r="AX158" s="38">
        <f>AV158*W158</f>
        <v/>
      </c>
      <c r="BA158" s="3" t="n">
        <v>0</v>
      </c>
      <c r="BB158" s="3" t="n">
        <v>0</v>
      </c>
      <c r="BC158" s="3" t="n">
        <v>0</v>
      </c>
      <c r="BD158" s="3">
        <f>BC158+BB158+BA158</f>
        <v/>
      </c>
      <c r="BE158" s="3" t="n">
        <v>0</v>
      </c>
      <c r="BF158" s="3" t="n">
        <v>0</v>
      </c>
      <c r="BH158" s="3">
        <f>ROUNDUP(BD158*1.85,0)</f>
        <v/>
      </c>
      <c r="BJ158" s="38">
        <f>BH158*V158</f>
        <v/>
      </c>
      <c r="BL158" s="3">
        <f>U158*1.18</f>
        <v/>
      </c>
    </row>
    <row r="159">
      <c r="A159" s="1" t="inlineStr">
        <is>
          <t>82XX007KIN</t>
        </is>
      </c>
      <c r="B159" s="1">
        <f>IF(BL159&lt;40000,"Entry",IF(BL159&gt;65000,"Premium","Mainstream"))</f>
        <v/>
      </c>
      <c r="C159" s="1" t="inlineStr">
        <is>
          <t>Premium</t>
        </is>
      </c>
      <c r="D159" s="1" t="inlineStr">
        <is>
          <t>R5 OS Office</t>
        </is>
      </c>
      <c r="E159" s="1" t="inlineStr">
        <is>
          <t>Convertible</t>
        </is>
      </c>
      <c r="F159" s="1" t="inlineStr">
        <is>
          <t>Flex 5</t>
        </is>
      </c>
      <c r="G159" s="1" t="inlineStr">
        <is>
          <t>Flex5 14ABR8</t>
        </is>
      </c>
      <c r="H159" s="1" t="inlineStr">
        <is>
          <t>R5</t>
        </is>
      </c>
      <c r="I159" s="1" t="inlineStr">
        <is>
          <t>7XXXU</t>
        </is>
      </c>
      <c r="J159" s="1" t="inlineStr">
        <is>
          <t>R5-7530U</t>
        </is>
      </c>
      <c r="K159" s="1" t="inlineStr">
        <is>
          <t>16GB</t>
        </is>
      </c>
      <c r="L159" s="1" t="inlineStr">
        <is>
          <t>512GB SSD</t>
        </is>
      </c>
      <c r="M159" s="1" t="inlineStr">
        <is>
          <t>Windows 11</t>
        </is>
      </c>
      <c r="N159" s="1" t="inlineStr">
        <is>
          <t>Office 2021</t>
        </is>
      </c>
      <c r="O159" s="1" t="inlineStr">
        <is>
          <t>INTEGRATED_GRAPHICS</t>
        </is>
      </c>
      <c r="P159" s="1" t="inlineStr">
        <is>
          <t>14_WUXGA_GL_300N_MT_N_G</t>
        </is>
      </c>
      <c r="Q159" s="1" t="inlineStr">
        <is>
          <t>1 Yr Onsite + 1 Yr PC</t>
        </is>
      </c>
      <c r="R159" s="1" t="inlineStr">
        <is>
          <t>Full GTN</t>
        </is>
      </c>
      <c r="S159" s="1" t="n"/>
      <c r="T159" s="2">
        <f>U159*0.98*0.965</f>
        <v/>
      </c>
      <c r="U159" s="13" t="n">
        <v>57749.22958397535</v>
      </c>
      <c r="V159" s="13" t="n">
        <v>0</v>
      </c>
      <c r="W159" s="13" t="n"/>
      <c r="X159" s="13" t="n"/>
      <c r="Y159" s="2">
        <f>(U159*0.88-S159-V159-W159-X159)*1.18/0.92</f>
        <v/>
      </c>
      <c r="Z159" s="2" t="n">
        <v>65190</v>
      </c>
      <c r="AA159" s="5" t="n"/>
      <c r="AB159" s="5" t="n"/>
      <c r="AC159" s="14" t="n">
        <v>0</v>
      </c>
      <c r="AD159" s="5">
        <f>(Y159-AC159)/1.18*0.92</f>
        <v/>
      </c>
      <c r="AE159" s="5" t="n"/>
      <c r="AF159" s="5">
        <f>W159+X159</f>
        <v/>
      </c>
      <c r="AG159" s="5" t="n"/>
      <c r="AH159" s="13" t="n">
        <v>0</v>
      </c>
      <c r="AI159" s="13" t="n"/>
      <c r="AJ159" s="5" t="n"/>
      <c r="AL159" s="5" t="n"/>
      <c r="AM159" s="5" t="n">
        <v>65181.30434782609</v>
      </c>
      <c r="AN159" s="5">
        <f>Y159-AM159</f>
        <v/>
      </c>
      <c r="AO159" s="5" t="n"/>
      <c r="AP159" s="5" t="n"/>
      <c r="AQ159" s="20" t="n">
        <v>0</v>
      </c>
      <c r="AR159" s="20" t="n"/>
      <c r="AT159" s="3" t="n">
        <v>12</v>
      </c>
      <c r="AV159" s="5">
        <f>ROUNDUP((AT159/8)*80,0)</f>
        <v/>
      </c>
      <c r="AX159" s="38">
        <f>AV159*W159</f>
        <v/>
      </c>
      <c r="BA159" s="3" t="n">
        <v>10</v>
      </c>
      <c r="BB159" s="3" t="n">
        <v>0</v>
      </c>
      <c r="BC159" s="3" t="n">
        <v>0</v>
      </c>
      <c r="BD159" s="3">
        <f>BC159+BB159+BA159</f>
        <v/>
      </c>
      <c r="BE159" s="3" t="n">
        <v>414</v>
      </c>
      <c r="BF159" s="3" t="n">
        <v>0</v>
      </c>
      <c r="BH159" s="3">
        <f>ROUNDUP(BD159*1.85,0)</f>
        <v/>
      </c>
      <c r="BJ159" s="38">
        <f>BH159*V159</f>
        <v/>
      </c>
      <c r="BL159" s="3">
        <f>U159*1.18</f>
        <v/>
      </c>
    </row>
    <row r="160">
      <c r="A160" s="1" t="inlineStr">
        <is>
          <t>83B2005TIN</t>
        </is>
      </c>
      <c r="B160" s="1">
        <f>IF(BL160&lt;40000,"Entry",IF(BL160&gt;65000,"Premium","Mainstream"))</f>
        <v/>
      </c>
      <c r="C160" s="1" t="inlineStr">
        <is>
          <t>Premium</t>
        </is>
      </c>
      <c r="D160" s="1" t="inlineStr">
        <is>
          <t>R5 OS Office</t>
        </is>
      </c>
      <c r="E160" s="1" t="inlineStr">
        <is>
          <t>Convertible</t>
        </is>
      </c>
      <c r="F160" s="1" t="inlineStr">
        <is>
          <t>Yoga 6</t>
        </is>
      </c>
      <c r="G160" s="1" t="inlineStr">
        <is>
          <t>YG6 14ABR8</t>
        </is>
      </c>
      <c r="H160" s="1" t="inlineStr">
        <is>
          <t>R5</t>
        </is>
      </c>
      <c r="I160" s="1" t="inlineStr">
        <is>
          <t>7XXXU</t>
        </is>
      </c>
      <c r="J160" s="1" t="inlineStr">
        <is>
          <t>R5-7530U</t>
        </is>
      </c>
      <c r="K160" s="1" t="inlineStr">
        <is>
          <t>16GB</t>
        </is>
      </c>
      <c r="L160" s="1" t="inlineStr">
        <is>
          <t>512GB SSD</t>
        </is>
      </c>
      <c r="M160" s="1" t="inlineStr">
        <is>
          <t>Windows 11</t>
        </is>
      </c>
      <c r="N160" s="1" t="inlineStr">
        <is>
          <t>Office 2021</t>
        </is>
      </c>
      <c r="O160" s="1" t="inlineStr">
        <is>
          <t>INTEGRATED_GRAPHICS</t>
        </is>
      </c>
      <c r="P160" s="1" t="inlineStr">
        <is>
          <t>13.3_WUXGA_GL_300N_MT_N_SRGB</t>
        </is>
      </c>
      <c r="Q160" s="1" t="inlineStr">
        <is>
          <t>1 Yr Onsite + 1 Yr PC</t>
        </is>
      </c>
      <c r="R160" s="1" t="inlineStr">
        <is>
          <t>Full GTN</t>
        </is>
      </c>
      <c r="S160" s="1" t="n"/>
      <c r="T160" s="2">
        <f>U160*0.98*0.965</f>
        <v/>
      </c>
      <c r="U160" s="13" t="n">
        <v>65723.03543913714</v>
      </c>
      <c r="V160" s="13" t="n">
        <v>0</v>
      </c>
      <c r="W160" s="13" t="n"/>
      <c r="X160" s="13" t="n"/>
      <c r="Y160" s="2">
        <f>(U160*0.88-S160-V160-W160-X160)*1.18/0.92</f>
        <v/>
      </c>
      <c r="Z160" s="2" t="n">
        <v>74190</v>
      </c>
      <c r="AA160" s="5" t="n"/>
      <c r="AB160" s="5" t="n"/>
      <c r="AC160" s="14" t="n">
        <v>0</v>
      </c>
      <c r="AD160" s="5">
        <f>(Y160-AC160)/1.18*0.92</f>
        <v/>
      </c>
      <c r="AE160" s="5" t="n"/>
      <c r="AF160" s="5">
        <f>W160+X160</f>
        <v/>
      </c>
      <c r="AG160" s="5" t="n"/>
      <c r="AH160" s="13" t="n">
        <v>0</v>
      </c>
      <c r="AI160" s="13" t="n"/>
      <c r="AJ160" s="5" t="n"/>
      <c r="AL160" s="5" t="n"/>
      <c r="AM160" s="5" t="n">
        <v>74181.30434782608</v>
      </c>
      <c r="AN160" s="5">
        <f>Y160-AM160</f>
        <v/>
      </c>
      <c r="AO160" s="5" t="n"/>
      <c r="AP160" s="5" t="n"/>
      <c r="AQ160" s="20" t="n">
        <v>0</v>
      </c>
      <c r="AR160" s="20" t="n"/>
      <c r="AT160" s="3" t="n">
        <v>4</v>
      </c>
      <c r="AV160" s="5">
        <f>ROUNDUP((AT160/8)*80,0)</f>
        <v/>
      </c>
      <c r="AX160" s="38">
        <f>AV160*W160</f>
        <v/>
      </c>
      <c r="BA160" s="3" t="n">
        <v>10</v>
      </c>
      <c r="BB160" s="3" t="n">
        <v>21</v>
      </c>
      <c r="BC160" s="3" t="n">
        <v>41</v>
      </c>
      <c r="BD160" s="3">
        <f>BC160+BB160+BA160</f>
        <v/>
      </c>
      <c r="BE160" s="3" t="n">
        <v>77</v>
      </c>
      <c r="BF160" s="3" t="n">
        <v>0</v>
      </c>
      <c r="BH160" s="3">
        <f>ROUNDUP(BD160*1.85,0)</f>
        <v/>
      </c>
      <c r="BJ160" s="38">
        <f>BH160*V160</f>
        <v/>
      </c>
      <c r="BL160" s="3">
        <f>U160*1.18</f>
        <v/>
      </c>
    </row>
    <row r="161">
      <c r="A161" s="1" t="inlineStr">
        <is>
          <t>82Y00053IN</t>
        </is>
      </c>
      <c r="B161" s="1">
        <f>IF(BL161&lt;40000,"Entry",IF(BL161&gt;65000,"Premium","Mainstream"))</f>
        <v/>
      </c>
      <c r="C161" s="1" t="inlineStr">
        <is>
          <t>Premium</t>
        </is>
      </c>
      <c r="D161" s="1" t="inlineStr">
        <is>
          <t>i7 OS Office</t>
        </is>
      </c>
      <c r="E161" s="1" t="inlineStr">
        <is>
          <t>Convertible</t>
        </is>
      </c>
      <c r="F161" s="1" t="inlineStr">
        <is>
          <t>Flex 5</t>
        </is>
      </c>
      <c r="G161" s="1" t="inlineStr">
        <is>
          <t>Flex5 14IRU8</t>
        </is>
      </c>
      <c r="H161" s="1" t="inlineStr">
        <is>
          <t>i7</t>
        </is>
      </c>
      <c r="I161" s="1" t="inlineStr">
        <is>
          <t>13th gen</t>
        </is>
      </c>
      <c r="J161" s="1" t="inlineStr">
        <is>
          <t>i7-1355U</t>
        </is>
      </c>
      <c r="K161" s="1" t="inlineStr">
        <is>
          <t>16GB</t>
        </is>
      </c>
      <c r="L161" s="1" t="inlineStr">
        <is>
          <t>512GB SSD</t>
        </is>
      </c>
      <c r="M161" s="1" t="inlineStr">
        <is>
          <t>Windows 11</t>
        </is>
      </c>
      <c r="N161" s="1" t="inlineStr">
        <is>
          <t>Office 2021</t>
        </is>
      </c>
      <c r="O161" s="1" t="inlineStr">
        <is>
          <t>INTEGRATED_GRAPHICS</t>
        </is>
      </c>
      <c r="P161" s="1" t="inlineStr">
        <is>
          <t>14_WUXGA_GL_300N_MT_N_G</t>
        </is>
      </c>
      <c r="Q161" s="1" t="inlineStr">
        <is>
          <t>1 Yr Onsite + 1 Yr PC</t>
        </is>
      </c>
      <c r="R161" s="1" t="inlineStr">
        <is>
          <t>Full GTN</t>
        </is>
      </c>
      <c r="S161" s="1" t="n"/>
      <c r="T161" s="2">
        <f>U161*0.98*0.965</f>
        <v/>
      </c>
      <c r="U161" s="13" t="n">
        <v>78050.84745762713</v>
      </c>
      <c r="V161" s="13" t="n">
        <v>0</v>
      </c>
      <c r="W161" s="13" t="n"/>
      <c r="X161" s="13" t="n"/>
      <c r="Y161" s="2">
        <f>(U161*0.88-S161-V161-W161-X161)*1.18/0.92</f>
        <v/>
      </c>
      <c r="Z161" s="2" t="n">
        <v>82190</v>
      </c>
      <c r="AA161" s="5" t="n"/>
      <c r="AB161" s="5" t="n"/>
      <c r="AC161" s="14" t="n">
        <v>0</v>
      </c>
      <c r="AD161" s="5">
        <f>(Y161-AC161)/1.18*0.92</f>
        <v/>
      </c>
      <c r="AE161" s="5" t="n"/>
      <c r="AF161" s="5">
        <f>W161+X161</f>
        <v/>
      </c>
      <c r="AG161" s="5" t="n"/>
      <c r="AH161" s="13" t="n">
        <v>0</v>
      </c>
      <c r="AI161" s="13" t="n">
        <v>4604.406779661014</v>
      </c>
      <c r="AJ161" s="5" t="n"/>
      <c r="AL161" s="5" t="n"/>
      <c r="AM161" s="5" t="n">
        <v>82190</v>
      </c>
      <c r="AN161" s="5">
        <f>Y161-AM161</f>
        <v/>
      </c>
      <c r="AO161" s="5" t="n"/>
      <c r="AP161" s="5" t="n"/>
      <c r="AQ161" s="20" t="n">
        <v>0</v>
      </c>
      <c r="AR161" s="20" t="n"/>
      <c r="AT161" s="3" t="n">
        <v>13</v>
      </c>
      <c r="AV161" s="5">
        <f>ROUNDUP((AT161/8)*80,0)</f>
        <v/>
      </c>
      <c r="AX161" s="38">
        <f>AV161*W161</f>
        <v/>
      </c>
      <c r="BA161" s="3" t="n">
        <v>38</v>
      </c>
      <c r="BB161" s="3" t="n">
        <v>33</v>
      </c>
      <c r="BC161" s="3" t="n">
        <v>3</v>
      </c>
      <c r="BD161" s="3">
        <f>BC161+BB161+BA161</f>
        <v/>
      </c>
      <c r="BE161" s="3" t="n">
        <v>13</v>
      </c>
      <c r="BF161" s="3" t="n">
        <v>11</v>
      </c>
      <c r="BH161" s="3">
        <f>ROUNDUP(BD161*1.85,0)</f>
        <v/>
      </c>
      <c r="BJ161" s="38">
        <f>BH161*V161</f>
        <v/>
      </c>
      <c r="BL161" s="3">
        <f>U161*1.18</f>
        <v/>
      </c>
    </row>
    <row r="162">
      <c r="A162" s="1" t="inlineStr">
        <is>
          <t>82YM004UIN</t>
        </is>
      </c>
      <c r="B162" s="1">
        <f>IF(BL162&lt;40000,"Entry",IF(BL162&gt;65000,"Premium","Mainstream"))</f>
        <v/>
      </c>
      <c r="C162" s="1" t="inlineStr">
        <is>
          <t>Premium</t>
        </is>
      </c>
      <c r="D162" s="1" t="inlineStr">
        <is>
          <t>R7 OS Office</t>
        </is>
      </c>
      <c r="E162" s="1" t="inlineStr">
        <is>
          <t>Convertible</t>
        </is>
      </c>
      <c r="F162" s="1" t="inlineStr">
        <is>
          <t>Yoga 7</t>
        </is>
      </c>
      <c r="G162" s="1" t="inlineStr">
        <is>
          <t>YG7 14ARP8</t>
        </is>
      </c>
      <c r="H162" s="1" t="inlineStr">
        <is>
          <t>R7</t>
        </is>
      </c>
      <c r="I162" s="1" t="inlineStr">
        <is>
          <t>7XXXU</t>
        </is>
      </c>
      <c r="J162" s="1" t="inlineStr">
        <is>
          <t>R7-7735U</t>
        </is>
      </c>
      <c r="K162" s="1" t="inlineStr">
        <is>
          <t>16GB</t>
        </is>
      </c>
      <c r="L162" s="1" t="inlineStr">
        <is>
          <t>512GB SSD</t>
        </is>
      </c>
      <c r="M162" s="1" t="inlineStr">
        <is>
          <t>Windows 11</t>
        </is>
      </c>
      <c r="N162" s="1" t="inlineStr">
        <is>
          <t>Office 2021</t>
        </is>
      </c>
      <c r="O162" s="1" t="inlineStr">
        <is>
          <t>INTEGRATED_GRAPHICS</t>
        </is>
      </c>
      <c r="P162" s="1" t="inlineStr">
        <is>
          <t>14_2.8K_OLED_GL400N_MT_90_P3_G</t>
        </is>
      </c>
      <c r="Q162" s="1" t="inlineStr">
        <is>
          <t>1 Yr Onsite + 1 Yr PC</t>
        </is>
      </c>
      <c r="R162" s="1" t="inlineStr">
        <is>
          <t>Full GTN</t>
        </is>
      </c>
      <c r="S162" s="1" t="n">
        <v>0</v>
      </c>
      <c r="T162" s="2">
        <f>U162*0.98*0.965</f>
        <v/>
      </c>
      <c r="U162" s="13" t="n">
        <v>81717.79661016949</v>
      </c>
      <c r="V162" s="13" t="n">
        <v>0</v>
      </c>
      <c r="W162" s="13" t="n"/>
      <c r="X162" s="13" t="n"/>
      <c r="Y162" s="2">
        <f>(U162*0.88-S162-V162-W162-X162)*1.18/0.92</f>
        <v/>
      </c>
      <c r="Z162" s="2" t="n">
        <v>91990</v>
      </c>
      <c r="AA162" s="5" t="n"/>
      <c r="AB162" s="5" t="n"/>
      <c r="AC162" s="14" t="n">
        <v>0</v>
      </c>
      <c r="AD162" s="5">
        <f>(Y162-AC162)/1.18*0.92</f>
        <v/>
      </c>
      <c r="AE162" s="5" t="n"/>
      <c r="AF162" s="5">
        <f>W162+X162</f>
        <v/>
      </c>
      <c r="AG162" s="5" t="n"/>
      <c r="AH162" s="13" t="n">
        <v>0</v>
      </c>
      <c r="AI162" s="13" t="n"/>
      <c r="AJ162" s="5" t="n"/>
      <c r="AL162" s="5" t="n"/>
      <c r="AM162" s="5" t="n">
        <v>92234.52173913043</v>
      </c>
      <c r="AN162" s="5">
        <f>Y162-AM162</f>
        <v/>
      </c>
      <c r="AO162" s="5" t="n"/>
      <c r="AP162" s="5" t="n"/>
      <c r="AQ162" s="20" t="n">
        <v>0</v>
      </c>
      <c r="AR162" s="20" t="n"/>
      <c r="AT162" s="3" t="n">
        <v>0</v>
      </c>
      <c r="AV162" s="5">
        <f>ROUNDUP((AT162/8)*80,0)</f>
        <v/>
      </c>
      <c r="AX162" s="38">
        <f>AV162*W162</f>
        <v/>
      </c>
      <c r="BA162" s="3" t="n">
        <v>0</v>
      </c>
      <c r="BB162" s="3" t="n">
        <v>0</v>
      </c>
      <c r="BC162" s="3" t="n">
        <v>0</v>
      </c>
      <c r="BD162" s="3">
        <f>BC162+BB162+BA162</f>
        <v/>
      </c>
      <c r="BE162" s="3" t="n">
        <v>1</v>
      </c>
      <c r="BF162" s="3" t="n">
        <v>0</v>
      </c>
      <c r="BH162" s="3">
        <f>ROUNDUP(BD162*1.85,0)</f>
        <v/>
      </c>
      <c r="BJ162" s="38">
        <f>BH162*V162</f>
        <v/>
      </c>
      <c r="BL162" s="3">
        <f>U162*1.18</f>
        <v/>
      </c>
    </row>
    <row r="163">
      <c r="A163" s="1" t="inlineStr">
        <is>
          <t>82YL0060IN</t>
        </is>
      </c>
      <c r="B163" s="1">
        <f>IF(BL163&lt;40000,"Entry",IF(BL163&gt;65000,"Premium","Mainstream"))</f>
        <v/>
      </c>
      <c r="C163" s="1" t="inlineStr">
        <is>
          <t>Premium</t>
        </is>
      </c>
      <c r="D163" s="1" t="inlineStr">
        <is>
          <t>i7 OS Office</t>
        </is>
      </c>
      <c r="E163" s="1" t="inlineStr">
        <is>
          <t>Convertible</t>
        </is>
      </c>
      <c r="F163" s="1" t="inlineStr">
        <is>
          <t>Yoga 7</t>
        </is>
      </c>
      <c r="G163" s="1" t="inlineStr">
        <is>
          <t>YG7 14IRL8</t>
        </is>
      </c>
      <c r="H163" s="1" t="inlineStr">
        <is>
          <t>i7</t>
        </is>
      </c>
      <c r="I163" s="1" t="inlineStr">
        <is>
          <t>13th gen</t>
        </is>
      </c>
      <c r="J163" s="1" t="inlineStr">
        <is>
          <t>i7-1360P</t>
        </is>
      </c>
      <c r="K163" s="1" t="inlineStr">
        <is>
          <t>16GB</t>
        </is>
      </c>
      <c r="L163" s="1" t="inlineStr">
        <is>
          <t>512GB SSD</t>
        </is>
      </c>
      <c r="M163" s="1" t="inlineStr">
        <is>
          <t>Windows 11</t>
        </is>
      </c>
      <c r="N163" s="1" t="inlineStr">
        <is>
          <t>Office 2021</t>
        </is>
      </c>
      <c r="O163" s="1" t="inlineStr">
        <is>
          <t>INTEGRATED_GRAPHICS</t>
        </is>
      </c>
      <c r="P163" s="1" t="inlineStr">
        <is>
          <t>14_2.8K_OLED_GL400N_MT_90_P3_G</t>
        </is>
      </c>
      <c r="Q163" s="1" t="inlineStr">
        <is>
          <t>1 Yr Onsite + 1 Yr PC</t>
        </is>
      </c>
      <c r="R163" s="1" t="inlineStr">
        <is>
          <t>Full GTN</t>
        </is>
      </c>
      <c r="S163" s="1" t="n">
        <v>0</v>
      </c>
      <c r="T163" s="2">
        <f>U163*0.98*0.965</f>
        <v/>
      </c>
      <c r="U163" s="13" t="n">
        <v>98533.89830508475</v>
      </c>
      <c r="V163" s="13" t="n">
        <v>0</v>
      </c>
      <c r="W163" s="13" t="n"/>
      <c r="X163" s="13" t="n"/>
      <c r="Y163" s="2">
        <f>(U163*0.88-S163-V163-W163-X163)*1.18/0.92</f>
        <v/>
      </c>
      <c r="Z163" s="2" t="n">
        <v>113990</v>
      </c>
      <c r="AA163" s="5" t="n"/>
      <c r="AB163" s="5" t="n"/>
      <c r="AC163" s="14" t="n">
        <v>0</v>
      </c>
      <c r="AD163" s="5">
        <f>(Y163-AC163)/1.18*0.92</f>
        <v/>
      </c>
      <c r="AE163" s="5" t="n"/>
      <c r="AF163" s="5">
        <f>W163+X163</f>
        <v/>
      </c>
      <c r="AG163" s="5" t="n"/>
      <c r="AH163" s="13" t="n">
        <v>0</v>
      </c>
      <c r="AI163" s="13" t="n"/>
      <c r="AJ163" s="5" t="n"/>
      <c r="AL163" s="5" t="n"/>
      <c r="AM163" s="5" t="n">
        <v>111214.7826086956</v>
      </c>
      <c r="AN163" s="5">
        <f>Y163-AM163</f>
        <v/>
      </c>
      <c r="AO163" s="5" t="n"/>
      <c r="AP163" s="5" t="n"/>
      <c r="AQ163" s="20" t="n">
        <v>0</v>
      </c>
      <c r="AR163" s="20" t="n"/>
      <c r="AT163" s="3" t="n">
        <v>0</v>
      </c>
      <c r="AV163" s="5">
        <f>ROUNDUP((AT163/8)*80,0)</f>
        <v/>
      </c>
      <c r="AX163" s="38">
        <f>AV163*W163</f>
        <v/>
      </c>
      <c r="BA163" s="3" t="n">
        <v>0</v>
      </c>
      <c r="BB163" s="3" t="n">
        <v>0</v>
      </c>
      <c r="BC163" s="3" t="n">
        <v>0</v>
      </c>
      <c r="BD163" s="3">
        <f>BC163+BB163+BA163</f>
        <v/>
      </c>
      <c r="BE163" s="3" t="n">
        <v>0</v>
      </c>
      <c r="BF163" s="3" t="n">
        <v>0</v>
      </c>
      <c r="BH163" s="3">
        <f>ROUNDUP(BD163*1.85,0)</f>
        <v/>
      </c>
      <c r="BJ163" s="38">
        <f>BH163*V163</f>
        <v/>
      </c>
      <c r="BL163" s="3">
        <f>U163*1.18</f>
        <v/>
      </c>
    </row>
    <row r="164">
      <c r="A164" s="1" t="inlineStr">
        <is>
          <t>82R7006AIN</t>
        </is>
      </c>
      <c r="B164" s="1">
        <f>IF(BL164&lt;40000,"Entry",IF(BL164&gt;65000,"Premium","Mainstream"))</f>
        <v/>
      </c>
      <c r="C164" s="1" t="inlineStr">
        <is>
          <t>Premium</t>
        </is>
      </c>
      <c r="D164" s="1" t="inlineStr">
        <is>
          <t>i7 OS Office</t>
        </is>
      </c>
      <c r="E164" s="1" t="inlineStr">
        <is>
          <t>Convertible</t>
        </is>
      </c>
      <c r="F164" s="1" t="inlineStr">
        <is>
          <t>Flex 5</t>
        </is>
      </c>
      <c r="G164" s="1" t="inlineStr">
        <is>
          <t>IdeaPad Flex 5 14IAU7</t>
        </is>
      </c>
      <c r="H164" s="1" t="inlineStr">
        <is>
          <t>i7</t>
        </is>
      </c>
      <c r="I164" s="1" t="inlineStr">
        <is>
          <t>12th Gen</t>
        </is>
      </c>
      <c r="J164" s="1" t="inlineStr">
        <is>
          <t xml:space="preserve"> I7-1255U</t>
        </is>
      </c>
      <c r="K164" s="1" t="inlineStr">
        <is>
          <t>16GB</t>
        </is>
      </c>
      <c r="L164" s="1" t="inlineStr">
        <is>
          <t>512GB SSD</t>
        </is>
      </c>
      <c r="M164" s="1" t="inlineStr">
        <is>
          <t>Windows 11</t>
        </is>
      </c>
      <c r="N164" s="1" t="inlineStr">
        <is>
          <t>OFFICE 2021</t>
        </is>
      </c>
      <c r="O164" s="1" t="inlineStr">
        <is>
          <t>INTEGRATED_GRAPHICS</t>
        </is>
      </c>
      <c r="P164" s="1" t="inlineStr">
        <is>
          <t>14_WUXGA_GL_300N_MT_N_G</t>
        </is>
      </c>
      <c r="Q164" s="1" t="inlineStr">
        <is>
          <t>1 Yr Onsite + 1 Yr PC</t>
        </is>
      </c>
      <c r="R164" s="1" t="inlineStr">
        <is>
          <t>Full GTN</t>
        </is>
      </c>
      <c r="S164" s="1" t="n">
        <v>725</v>
      </c>
      <c r="T164" s="2">
        <f>U164*0.98*0.965</f>
        <v/>
      </c>
      <c r="U164" s="13" t="n">
        <v>73720</v>
      </c>
      <c r="V164" s="13" t="n">
        <v>0</v>
      </c>
      <c r="W164" s="13" t="n"/>
      <c r="X164" s="13" t="n"/>
      <c r="Y164" s="2">
        <f>(U164*0.88-S164-V164-W164-X164)*1.18/0.92</f>
        <v/>
      </c>
      <c r="Z164" s="2" t="n">
        <v>82277.55217391303</v>
      </c>
      <c r="AA164" s="5" t="n"/>
      <c r="AB164" s="5" t="n"/>
      <c r="AC164" s="14" t="n">
        <v>0</v>
      </c>
      <c r="AD164" s="5">
        <f>(Y164-AC164)/1.18*0.92</f>
        <v/>
      </c>
      <c r="AE164" s="5" t="n"/>
      <c r="AF164" s="5">
        <f>W164+X164</f>
        <v/>
      </c>
      <c r="AG164" s="5" t="n"/>
      <c r="AH164" s="13" t="n">
        <v>0</v>
      </c>
      <c r="AI164" s="13" t="n"/>
      <c r="AJ164" s="5" t="n"/>
      <c r="AL164" s="5" t="n"/>
      <c r="AM164" s="5" t="n">
        <v>82277.55217391303</v>
      </c>
      <c r="AN164" s="5">
        <f>Y164-AM164</f>
        <v/>
      </c>
      <c r="AO164" s="5" t="n"/>
      <c r="AP164" s="5" t="n"/>
      <c r="AQ164" s="20" t="n">
        <v>0</v>
      </c>
      <c r="AR164" s="20" t="n"/>
      <c r="AT164" s="3" t="n">
        <v>0</v>
      </c>
      <c r="AV164" s="5">
        <f>ROUNDUP((AT164/8)*80,0)</f>
        <v/>
      </c>
      <c r="AX164" s="38">
        <f>AV164*W164</f>
        <v/>
      </c>
      <c r="BA164" s="3" t="n">
        <v>0</v>
      </c>
      <c r="BB164" s="3" t="n">
        <v>0</v>
      </c>
      <c r="BC164" s="3" t="n">
        <v>0</v>
      </c>
      <c r="BD164" s="3">
        <f>BC164+BB164+BA164</f>
        <v/>
      </c>
      <c r="BE164" s="3" t="n">
        <v>0</v>
      </c>
      <c r="BF164" s="3" t="n">
        <v>0</v>
      </c>
      <c r="BH164" s="3">
        <f>ROUNDUP(BD164*1.85,0)</f>
        <v/>
      </c>
      <c r="BJ164" s="38">
        <f>BH164*V164</f>
        <v/>
      </c>
      <c r="BL164" s="3">
        <f>U164*1.18</f>
        <v/>
      </c>
    </row>
    <row r="165">
      <c r="A165" s="1" t="inlineStr">
        <is>
          <t>83B1004XIN</t>
        </is>
      </c>
      <c r="B165" s="1">
        <f>IF(BL165&lt;40000,"Entry",IF(BL165&gt;65000,"Premium","Mainstream"))</f>
        <v/>
      </c>
      <c r="C165" s="1" t="inlineStr">
        <is>
          <t>Premium</t>
        </is>
      </c>
      <c r="D165" s="1" t="inlineStr">
        <is>
          <t>i7 OS Office</t>
        </is>
      </c>
      <c r="E165" s="1" t="inlineStr">
        <is>
          <t>Convertible</t>
        </is>
      </c>
      <c r="F165" s="1" t="inlineStr">
        <is>
          <t>Yoga 9</t>
        </is>
      </c>
      <c r="G165" s="1" t="inlineStr">
        <is>
          <t>YG9 14IRP8</t>
        </is>
      </c>
      <c r="H165" s="1" t="inlineStr">
        <is>
          <t>i7</t>
        </is>
      </c>
      <c r="I165" s="1" t="inlineStr">
        <is>
          <t>13th gen</t>
        </is>
      </c>
      <c r="J165" s="1" t="inlineStr">
        <is>
          <t>i7-1360P</t>
        </is>
      </c>
      <c r="K165" s="1" t="inlineStr">
        <is>
          <t>16GB</t>
        </is>
      </c>
      <c r="L165" s="1" t="inlineStr">
        <is>
          <t>1TB SSD</t>
        </is>
      </c>
      <c r="M165" s="1" t="inlineStr">
        <is>
          <t>Windows 11</t>
        </is>
      </c>
      <c r="N165" s="1" t="inlineStr">
        <is>
          <t>Office 2021</t>
        </is>
      </c>
      <c r="O165" s="1" t="inlineStr">
        <is>
          <t>INTEGRATED_GRAPHICS</t>
        </is>
      </c>
      <c r="P165" s="1" t="inlineStr">
        <is>
          <t>14WQUXGA_OLED_GL400N_MT_N_P3_G</t>
        </is>
      </c>
      <c r="Q165" s="1" t="inlineStr">
        <is>
          <t>1 Yr Onsite + 1 Yr PC</t>
        </is>
      </c>
      <c r="R165" s="1" t="inlineStr">
        <is>
          <t>Full GTN</t>
        </is>
      </c>
      <c r="S165" s="1" t="n">
        <v>1881</v>
      </c>
      <c r="T165" s="2">
        <f>U165*0.98*0.965</f>
        <v/>
      </c>
      <c r="U165" s="13" t="n">
        <v>157352.0608628659</v>
      </c>
      <c r="V165" s="13" t="n">
        <v>0</v>
      </c>
      <c r="W165" s="13" t="n"/>
      <c r="X165" s="13" t="n"/>
      <c r="Y165" s="2">
        <f>(U165*0.88-S165-V165-W165-X165)*1.18/0.92</f>
        <v/>
      </c>
      <c r="Z165" s="2" t="n">
        <v>175190</v>
      </c>
      <c r="AA165" s="5" t="n"/>
      <c r="AB165" s="5" t="n"/>
      <c r="AC165" s="14" t="n">
        <v>0</v>
      </c>
      <c r="AD165" s="5">
        <f>(Y165-AC165)/1.18*0.92</f>
        <v/>
      </c>
      <c r="AE165" s="5" t="n"/>
      <c r="AF165" s="5">
        <f>W165+X165</f>
        <v/>
      </c>
      <c r="AG165" s="5" t="n"/>
      <c r="AH165" s="13" t="n">
        <v>0</v>
      </c>
      <c r="AI165" s="13" t="n"/>
      <c r="AJ165" s="5" t="n"/>
      <c r="AL165" s="5" t="n"/>
      <c r="AM165" s="5" t="n">
        <v>175190</v>
      </c>
      <c r="AN165" s="5">
        <f>Y165-AM165</f>
        <v/>
      </c>
      <c r="AO165" s="5" t="n"/>
      <c r="AP165" s="5" t="n"/>
      <c r="AQ165" s="20" t="n">
        <v>0</v>
      </c>
      <c r="AR165" s="20" t="n"/>
      <c r="AT165" s="3" t="n">
        <v>1</v>
      </c>
      <c r="AV165" s="5">
        <f>ROUNDUP((AT165/8)*80,0)</f>
        <v/>
      </c>
      <c r="AX165" s="38">
        <f>AV165*W165</f>
        <v/>
      </c>
      <c r="BA165" s="3" t="n">
        <v>0</v>
      </c>
      <c r="BB165" s="3" t="n">
        <v>0</v>
      </c>
      <c r="BC165" s="3" t="n">
        <v>12</v>
      </c>
      <c r="BD165" s="3">
        <f>BC165+BB165+BA165</f>
        <v/>
      </c>
      <c r="BE165" s="3" t="n">
        <v>60</v>
      </c>
      <c r="BF165" s="3" t="n">
        <v>57</v>
      </c>
      <c r="BH165" s="3">
        <f>ROUNDUP(BD165*1.85,0)</f>
        <v/>
      </c>
      <c r="BJ165" s="38">
        <f>BH165*V165</f>
        <v/>
      </c>
      <c r="BL165" s="3">
        <f>U165*1.18</f>
        <v/>
      </c>
    </row>
    <row r="166">
      <c r="A166" s="1" t="inlineStr">
        <is>
          <t>82Y0004YIN</t>
        </is>
      </c>
      <c r="B166" s="1">
        <f>IF(BL166&lt;40000,"Entry",IF(BL166&gt;65000,"Premium","Mainstream"))</f>
        <v/>
      </c>
      <c r="C166" s="1" t="inlineStr">
        <is>
          <t>Premium</t>
        </is>
      </c>
      <c r="D166" s="1" t="inlineStr">
        <is>
          <t>i3 OS Office</t>
        </is>
      </c>
      <c r="E166" s="1" t="inlineStr">
        <is>
          <t>Convertible</t>
        </is>
      </c>
      <c r="F166" s="1" t="inlineStr">
        <is>
          <t>Flex 5</t>
        </is>
      </c>
      <c r="G166" s="1" t="inlineStr">
        <is>
          <t>Flex5 14IRU8</t>
        </is>
      </c>
      <c r="H166" s="1" t="inlineStr">
        <is>
          <t>i3</t>
        </is>
      </c>
      <c r="I166" s="1" t="inlineStr">
        <is>
          <t>13th Gen</t>
        </is>
      </c>
      <c r="J166" s="1" t="inlineStr">
        <is>
          <t>i3-1305U</t>
        </is>
      </c>
      <c r="K166" s="1" t="inlineStr">
        <is>
          <t>8GB</t>
        </is>
      </c>
      <c r="L166" s="1" t="inlineStr">
        <is>
          <t>512GB SSD</t>
        </is>
      </c>
      <c r="M166" s="1" t="inlineStr">
        <is>
          <t>Windows 11</t>
        </is>
      </c>
      <c r="N166" s="1" t="inlineStr">
        <is>
          <t>Office 2021</t>
        </is>
      </c>
      <c r="O166" s="1" t="inlineStr">
        <is>
          <t>INTEGRATED_GRAPHICS</t>
        </is>
      </c>
      <c r="P166" s="1" t="inlineStr">
        <is>
          <t>14_WUXGA_GL_300N_MT_N_G</t>
        </is>
      </c>
      <c r="Q166" s="1" t="inlineStr">
        <is>
          <t>1 Yr Onsite + 1 Yr. PC</t>
        </is>
      </c>
      <c r="R166" s="1" t="inlineStr">
        <is>
          <t>Full GTN</t>
        </is>
      </c>
      <c r="S166" s="1" t="n">
        <v>0</v>
      </c>
      <c r="T166" s="2">
        <f>U166*0.98*0.965</f>
        <v/>
      </c>
      <c r="U166" s="13" t="n">
        <v>52433.3590138675</v>
      </c>
      <c r="V166" s="13" t="n">
        <v>0</v>
      </c>
      <c r="W166" s="13" t="n"/>
      <c r="X166" s="13" t="n"/>
      <c r="Y166" s="2">
        <f>(U166*0.89-S166-V166-W166-X166)*1.18/0.92</f>
        <v/>
      </c>
      <c r="Z166" s="2" t="n">
        <v>59190</v>
      </c>
      <c r="AA166" s="5" t="n"/>
      <c r="AB166" s="5" t="n"/>
      <c r="AC166" s="14" t="n">
        <v>0</v>
      </c>
      <c r="AD166" s="5">
        <f>(Y166-AC166)/1.18*0.92</f>
        <v/>
      </c>
      <c r="AE166" s="5" t="n"/>
      <c r="AF166" s="5">
        <f>W166+X166</f>
        <v/>
      </c>
      <c r="AG166" s="5" t="n"/>
      <c r="AH166" s="13" t="n">
        <v>0</v>
      </c>
      <c r="AI166" s="13" t="n"/>
      <c r="AJ166" s="5" t="n"/>
      <c r="AL166" s="5" t="n"/>
      <c r="AM166" s="5" t="n">
        <v>59181.3043478261</v>
      </c>
      <c r="AN166" s="5">
        <f>Y166-AM166</f>
        <v/>
      </c>
      <c r="AO166" s="5" t="n"/>
      <c r="AP166" s="5" t="n"/>
      <c r="AQ166" s="20" t="n">
        <v>0</v>
      </c>
      <c r="AR166" s="20" t="n"/>
      <c r="AT166" s="3" t="n">
        <v>3</v>
      </c>
      <c r="AV166" s="5">
        <f>ROUNDUP((AT166/8)*80,0)</f>
        <v/>
      </c>
      <c r="AX166" s="38">
        <f>AV166*W166</f>
        <v/>
      </c>
      <c r="BA166" s="3" t="n">
        <v>2</v>
      </c>
      <c r="BB166" s="3" t="n">
        <v>8</v>
      </c>
      <c r="BC166" s="3" t="n">
        <v>0</v>
      </c>
      <c r="BD166" s="3">
        <f>BC166+BB166+BA166</f>
        <v/>
      </c>
      <c r="BE166" s="3" t="n">
        <v>280</v>
      </c>
      <c r="BF166" s="3" t="n">
        <v>0</v>
      </c>
      <c r="BH166" s="3">
        <f>ROUNDUP(BD166*1.85,0)</f>
        <v/>
      </c>
      <c r="BJ166" s="38">
        <f>BH166*V166</f>
        <v/>
      </c>
      <c r="BL166" s="3">
        <f>U166*1.18</f>
        <v/>
      </c>
    </row>
    <row r="167">
      <c r="A167" s="1" t="inlineStr">
        <is>
          <t>82Y00051IN</t>
        </is>
      </c>
      <c r="B167" s="1">
        <f>IF(BL167&lt;40000,"Entry",IF(BL167&gt;65000,"Premium","Mainstream"))</f>
        <v/>
      </c>
      <c r="C167" s="1" t="inlineStr">
        <is>
          <t>Premium</t>
        </is>
      </c>
      <c r="D167" s="1" t="inlineStr">
        <is>
          <t>i5 OS Office</t>
        </is>
      </c>
      <c r="E167" s="1" t="inlineStr">
        <is>
          <t>Convertible</t>
        </is>
      </c>
      <c r="F167" s="1" t="inlineStr">
        <is>
          <t>Flex 5</t>
        </is>
      </c>
      <c r="G167" s="1" t="inlineStr">
        <is>
          <t>Flex5 14IRU8</t>
        </is>
      </c>
      <c r="H167" s="1" t="inlineStr">
        <is>
          <t>i5</t>
        </is>
      </c>
      <c r="I167" s="1" t="inlineStr">
        <is>
          <t>13th Gen</t>
        </is>
      </c>
      <c r="J167" s="1" t="inlineStr">
        <is>
          <t>i5-1335U</t>
        </is>
      </c>
      <c r="K167" s="1" t="inlineStr">
        <is>
          <t>16GB</t>
        </is>
      </c>
      <c r="L167" s="1" t="inlineStr">
        <is>
          <t>512GB SSD</t>
        </is>
      </c>
      <c r="M167" s="1" t="inlineStr">
        <is>
          <t>Windows 11</t>
        </is>
      </c>
      <c r="N167" s="1" t="inlineStr">
        <is>
          <t>Office 2021</t>
        </is>
      </c>
      <c r="O167" s="1" t="inlineStr">
        <is>
          <t>INTEGRATED_GRAPHICS</t>
        </is>
      </c>
      <c r="P167" s="1" t="inlineStr">
        <is>
          <t>14_WUXGA_GL_300N_MT_N_G</t>
        </is>
      </c>
      <c r="Q167" s="1" t="inlineStr">
        <is>
          <t>1 Yr Onsite + 1 Yr PC</t>
        </is>
      </c>
      <c r="R167" s="1" t="inlineStr">
        <is>
          <t>Full GTN</t>
        </is>
      </c>
      <c r="S167" s="1" t="n"/>
      <c r="T167" s="2">
        <f>U167*0.98*0.965</f>
        <v/>
      </c>
      <c r="U167" s="13" t="n">
        <v>68342.44992295839</v>
      </c>
      <c r="V167" s="13" t="n">
        <v>0</v>
      </c>
      <c r="W167" s="13" t="n"/>
      <c r="X167" s="13" t="n"/>
      <c r="Y167" s="2">
        <f>(U167*0.88-S167-V167-W167-X167)*1.18/0.92</f>
        <v/>
      </c>
      <c r="Z167" s="2" t="n">
        <v>77190</v>
      </c>
      <c r="AA167" s="5" t="n"/>
      <c r="AB167" s="5" t="n"/>
      <c r="AC167" s="14" t="n">
        <v>0</v>
      </c>
      <c r="AD167" s="5">
        <f>(Y167-AC167)/1.18*0.92</f>
        <v/>
      </c>
      <c r="AE167" s="5" t="n"/>
      <c r="AF167" s="5">
        <f>W167+X167</f>
        <v/>
      </c>
      <c r="AG167" s="5" t="n"/>
      <c r="AH167" s="13" t="n">
        <v>0</v>
      </c>
      <c r="AI167" s="13" t="n"/>
      <c r="AJ167" s="5" t="n"/>
      <c r="AL167" s="5" t="n"/>
      <c r="AM167" s="5" t="n">
        <v>77137.82608695651</v>
      </c>
      <c r="AN167" s="5">
        <f>Y167-AM167</f>
        <v/>
      </c>
      <c r="AO167" s="5" t="n"/>
      <c r="AP167" s="5" t="n"/>
      <c r="AQ167" s="20" t="n">
        <v>0</v>
      </c>
      <c r="AR167" s="20" t="n"/>
      <c r="AT167" s="3" t="n">
        <v>4</v>
      </c>
      <c r="AV167" s="5">
        <f>ROUNDUP((AT167/8)*80,0)</f>
        <v/>
      </c>
      <c r="AX167" s="38">
        <f>AV167*W167</f>
        <v/>
      </c>
      <c r="BA167" s="3" t="n">
        <v>0</v>
      </c>
      <c r="BB167" s="3" t="n">
        <v>44</v>
      </c>
      <c r="BC167" s="3" t="n">
        <v>110</v>
      </c>
      <c r="BD167" s="3">
        <f>BC167+BB167+BA167</f>
        <v/>
      </c>
      <c r="BE167" s="3" t="n">
        <v>68</v>
      </c>
      <c r="BF167" s="3" t="n">
        <v>1</v>
      </c>
      <c r="BH167" s="3">
        <f>ROUNDUP(BD167*1.85,0)</f>
        <v/>
      </c>
      <c r="BJ167" s="38">
        <f>BH167*V167</f>
        <v/>
      </c>
      <c r="BL167" s="3">
        <f>U167*1.18</f>
        <v/>
      </c>
    </row>
    <row r="168">
      <c r="A168" s="1" t="inlineStr">
        <is>
          <t>82R900D9IN</t>
        </is>
      </c>
      <c r="B168" s="1">
        <f>IF(BL168&lt;40000,"Entry",IF(BL168&gt;65000,"Premium","Mainstream"))</f>
        <v/>
      </c>
      <c r="C168" s="1" t="inlineStr">
        <is>
          <t>Premium</t>
        </is>
      </c>
      <c r="D168" s="1" t="inlineStr">
        <is>
          <t>R7 OS Office</t>
        </is>
      </c>
      <c r="E168" s="1" t="inlineStr">
        <is>
          <t>Convertible</t>
        </is>
      </c>
      <c r="F168" s="1" t="inlineStr">
        <is>
          <t>Flex 5</t>
        </is>
      </c>
      <c r="G168" s="1" t="inlineStr">
        <is>
          <t>IdeaPad Flex 5 14ALC7</t>
        </is>
      </c>
      <c r="H168" s="1" t="inlineStr">
        <is>
          <t>R7</t>
        </is>
      </c>
      <c r="I168" s="1" t="inlineStr">
        <is>
          <t>5XXXU</t>
        </is>
      </c>
      <c r="J168" s="1" t="inlineStr">
        <is>
          <t>Ryzen 7 5700U</t>
        </is>
      </c>
      <c r="K168" s="1" t="inlineStr">
        <is>
          <t>16GB</t>
        </is>
      </c>
      <c r="L168" s="1" t="inlineStr">
        <is>
          <t>512GB SSD</t>
        </is>
      </c>
      <c r="M168" s="1" t="inlineStr">
        <is>
          <t>Win11</t>
        </is>
      </c>
      <c r="N168" s="1" t="inlineStr">
        <is>
          <t>Office 2021</t>
        </is>
      </c>
      <c r="O168" s="1" t="inlineStr">
        <is>
          <t>INTEGRATED_GRAPHICS</t>
        </is>
      </c>
      <c r="P168" s="1" t="inlineStr">
        <is>
          <t>14_WUXGA_GL_300N_MT_N_G</t>
        </is>
      </c>
      <c r="Q168" s="1" t="inlineStr">
        <is>
          <t>1 Yr Onsite + 1 Yr PC</t>
        </is>
      </c>
      <c r="R168" s="1" t="inlineStr">
        <is>
          <t>Full GTN</t>
        </is>
      </c>
      <c r="S168" s="1" t="n"/>
      <c r="T168" s="2">
        <f>U168*0.98*0.965</f>
        <v/>
      </c>
      <c r="U168" s="13" t="n">
        <v>57579.73805855162</v>
      </c>
      <c r="V168" s="13" t="n">
        <v>0</v>
      </c>
      <c r="W168" s="13" t="n"/>
      <c r="X168" s="13" t="n"/>
      <c r="Y168" s="2">
        <f>(U168*0.88-S168-V168-W168-X168)*1.18/0.92</f>
        <v/>
      </c>
      <c r="Z168" s="2" t="n">
        <v>64990</v>
      </c>
      <c r="AA168" s="5" t="n"/>
      <c r="AB168" s="5" t="n"/>
      <c r="AC168" s="14" t="n">
        <v>0</v>
      </c>
      <c r="AD168" s="5">
        <f>(Y168-AC168)/1.18*0.92</f>
        <v/>
      </c>
      <c r="AE168" s="5" t="n"/>
      <c r="AF168" s="5">
        <f>W168+X168</f>
        <v/>
      </c>
      <c r="AG168" s="5" t="n"/>
      <c r="AH168" s="13" t="n">
        <v>0</v>
      </c>
      <c r="AI168" s="13" t="n"/>
      <c r="AJ168" s="5" t="n"/>
      <c r="AL168" s="5" t="n"/>
      <c r="AM168" s="5" t="n">
        <v>64990</v>
      </c>
      <c r="AN168" s="5">
        <f>Y168-AM168</f>
        <v/>
      </c>
      <c r="AO168" s="5" t="n"/>
      <c r="AP168" s="5" t="n"/>
      <c r="AQ168" s="20" t="n">
        <v>0</v>
      </c>
      <c r="AR168" s="20" t="n"/>
      <c r="AT168" s="3" t="n">
        <v>0</v>
      </c>
      <c r="AV168" s="5">
        <f>ROUNDUP((AT168/8)*80,0)</f>
        <v/>
      </c>
      <c r="AX168" s="38">
        <f>AV168*W168</f>
        <v/>
      </c>
      <c r="BA168" s="3" t="n">
        <v>0</v>
      </c>
      <c r="BB168" s="3" t="n">
        <v>1</v>
      </c>
      <c r="BC168" s="3" t="n">
        <v>0</v>
      </c>
      <c r="BD168" s="3">
        <f>BC168+BB168+BA168</f>
        <v/>
      </c>
      <c r="BE168" s="3" t="n">
        <v>6</v>
      </c>
      <c r="BF168" s="3" t="n">
        <v>0</v>
      </c>
      <c r="BH168" s="3">
        <f>ROUNDUP(BD168*1.85,0)</f>
        <v/>
      </c>
      <c r="BJ168" s="38">
        <f>BH168*V168</f>
        <v/>
      </c>
      <c r="BL168" s="3">
        <f>U168*1.18</f>
        <v/>
      </c>
    </row>
    <row r="169">
      <c r="A169" s="1" t="inlineStr">
        <is>
          <t>82XX007MIN</t>
        </is>
      </c>
      <c r="B169" s="1">
        <f>IF(BL169&lt;40000,"Entry",IF(BL169&gt;65000,"Premium","Mainstream"))</f>
        <v/>
      </c>
      <c r="C169" s="1" t="inlineStr">
        <is>
          <t>Premium</t>
        </is>
      </c>
      <c r="D169" s="1" t="inlineStr">
        <is>
          <t>R7 OS Office</t>
        </is>
      </c>
      <c r="E169" s="1" t="inlineStr">
        <is>
          <t>Convertible</t>
        </is>
      </c>
      <c r="F169" s="1" t="inlineStr">
        <is>
          <t>Flex 5</t>
        </is>
      </c>
      <c r="G169" s="1" t="inlineStr">
        <is>
          <t>Flex5 14ABR8</t>
        </is>
      </c>
      <c r="H169" s="1" t="inlineStr">
        <is>
          <t>R7</t>
        </is>
      </c>
      <c r="I169" s="1" t="inlineStr">
        <is>
          <t>7XXXU</t>
        </is>
      </c>
      <c r="J169" s="1" t="inlineStr">
        <is>
          <t>R7-7730U</t>
        </is>
      </c>
      <c r="K169" s="1" t="inlineStr">
        <is>
          <t>16GB</t>
        </is>
      </c>
      <c r="L169" s="1" t="inlineStr">
        <is>
          <t>512GB SSD</t>
        </is>
      </c>
      <c r="M169" s="1" t="inlineStr">
        <is>
          <t>Windows 11</t>
        </is>
      </c>
      <c r="N169" s="1" t="inlineStr">
        <is>
          <t>Office 2021</t>
        </is>
      </c>
      <c r="O169" s="1" t="inlineStr">
        <is>
          <t>INTEGRATED_GRAPHICS</t>
        </is>
      </c>
      <c r="P169" s="1" t="inlineStr">
        <is>
          <t>14_WUXGA_GL_300N_MT_N_G</t>
        </is>
      </c>
      <c r="Q169" s="1" t="inlineStr">
        <is>
          <t>1 Yr Onsite + 1 Yr PC</t>
        </is>
      </c>
      <c r="R169" s="1" t="inlineStr">
        <is>
          <t>Full GTN</t>
        </is>
      </c>
      <c r="S169" s="1" t="n"/>
      <c r="T169" s="2">
        <f>U169*0.98*0.965</f>
        <v/>
      </c>
      <c r="U169" s="13" t="n">
        <v>61805.08474576272</v>
      </c>
      <c r="V169" s="13" t="n">
        <v>0</v>
      </c>
      <c r="W169" s="13" t="n"/>
      <c r="X169" s="13" t="n"/>
      <c r="Y169" s="2">
        <f>(U169*0.88-S169-V169-W169-X169)*1.18/0.92</f>
        <v/>
      </c>
      <c r="Z169" s="2" t="n">
        <v>69190</v>
      </c>
      <c r="AA169" s="5" t="n"/>
      <c r="AB169" s="5" t="n"/>
      <c r="AC169" s="14" t="n">
        <v>0</v>
      </c>
      <c r="AD169" s="5">
        <f>(Y169-AC169)/1.18*0.92</f>
        <v/>
      </c>
      <c r="AE169" s="5" t="n"/>
      <c r="AF169" s="5">
        <f>W169+X169</f>
        <v/>
      </c>
      <c r="AG169" s="5" t="n"/>
      <c r="AH169" s="13" t="n">
        <v>0</v>
      </c>
      <c r="AI169" s="13" t="n"/>
      <c r="AJ169" s="5" t="n"/>
      <c r="AL169" s="5" t="n"/>
      <c r="AM169" s="5" t="n">
        <v>69759.13043478261</v>
      </c>
      <c r="AN169" s="5">
        <f>Y169-AM169</f>
        <v/>
      </c>
      <c r="AO169" s="5" t="n"/>
      <c r="AP169" s="5" t="n"/>
      <c r="AQ169" s="20" t="n">
        <v>0</v>
      </c>
      <c r="AR169" s="20" t="n"/>
      <c r="AT169" s="3" t="n">
        <v>2</v>
      </c>
      <c r="AV169" s="5">
        <f>ROUNDUP((AT169/8)*80,0)</f>
        <v/>
      </c>
      <c r="AX169" s="38">
        <f>AV169*W169</f>
        <v/>
      </c>
      <c r="BA169" s="3" t="n">
        <v>0</v>
      </c>
      <c r="BB169" s="3" t="n">
        <v>0</v>
      </c>
      <c r="BC169" s="3" t="n">
        <v>0</v>
      </c>
      <c r="BD169" s="3">
        <f>BC169+BB169+BA169</f>
        <v/>
      </c>
      <c r="BE169" s="3" t="n">
        <v>0</v>
      </c>
      <c r="BF169" s="3" t="n">
        <v>0</v>
      </c>
      <c r="BH169" s="3">
        <f>ROUNDUP(BD169*1.85,0)</f>
        <v/>
      </c>
      <c r="BJ169" s="38">
        <f>BH169*V169</f>
        <v/>
      </c>
      <c r="BL169" s="3">
        <f>U169*1.18</f>
        <v/>
      </c>
    </row>
    <row r="170">
      <c r="A170" s="1" t="inlineStr">
        <is>
          <t>82YM0074IN</t>
        </is>
      </c>
      <c r="B170" s="1">
        <f>IF(BL170&lt;40000,"Entry",IF(BL170&gt;65000,"Premium","Mainstream"))</f>
        <v/>
      </c>
      <c r="C170" s="1" t="inlineStr">
        <is>
          <t>Premium</t>
        </is>
      </c>
      <c r="D170" s="1" t="inlineStr">
        <is>
          <t>R7 OS Office</t>
        </is>
      </c>
      <c r="E170" s="1" t="inlineStr">
        <is>
          <t>Convertible</t>
        </is>
      </c>
      <c r="F170" s="1" t="inlineStr">
        <is>
          <t>Yoga 7</t>
        </is>
      </c>
      <c r="G170" s="1" t="inlineStr">
        <is>
          <t>YG7 14ARP8</t>
        </is>
      </c>
      <c r="H170" s="1" t="inlineStr">
        <is>
          <t>R7</t>
        </is>
      </c>
      <c r="I170" s="1" t="inlineStr">
        <is>
          <t>7XXXU</t>
        </is>
      </c>
      <c r="J170" s="1" t="inlineStr">
        <is>
          <t>R7-7735U</t>
        </is>
      </c>
      <c r="K170" s="1" t="inlineStr">
        <is>
          <t>16GB</t>
        </is>
      </c>
      <c r="L170" s="1" t="inlineStr">
        <is>
          <t>512GB SSD</t>
        </is>
      </c>
      <c r="M170" s="1" t="inlineStr">
        <is>
          <t>Windows 11</t>
        </is>
      </c>
      <c r="N170" s="1" t="inlineStr">
        <is>
          <t>Office 2021</t>
        </is>
      </c>
      <c r="O170" s="1" t="inlineStr">
        <is>
          <t>INTEGRATED_GRAPHICS</t>
        </is>
      </c>
      <c r="P170" s="1" t="inlineStr">
        <is>
          <t>14" WUXGA (1920x1200) OLED 400nits Glossy, 100% DCI-P3, 60Hz, Dolby® Vision™</t>
        </is>
      </c>
      <c r="Q170" s="1" t="inlineStr">
        <is>
          <t>1 Yr Onsite + 1 Yr PC</t>
        </is>
      </c>
      <c r="R170" s="1" t="inlineStr">
        <is>
          <t>Full GTN</t>
        </is>
      </c>
      <c r="S170" s="1" t="n"/>
      <c r="T170" s="2">
        <f>U170*0.98*0.965</f>
        <v/>
      </c>
      <c r="U170" s="13" t="n">
        <v>83273.11248073961</v>
      </c>
      <c r="V170" s="13" t="n">
        <v>0</v>
      </c>
      <c r="W170" s="13" t="n"/>
      <c r="X170" s="13" t="n"/>
      <c r="Y170" s="2">
        <f>(U170*0.88-S170-V170-W170-X170)*1.18/0.92</f>
        <v/>
      </c>
      <c r="Z170" s="2" t="n">
        <v>94190</v>
      </c>
      <c r="AA170" s="5" t="n"/>
      <c r="AB170" s="5" t="n"/>
      <c r="AC170" s="14" t="n">
        <v>0</v>
      </c>
      <c r="AD170" s="5">
        <f>(Y170-AC170)/1.18*0.92</f>
        <v/>
      </c>
      <c r="AE170" s="5" t="n"/>
      <c r="AF170" s="5">
        <f>W170+X170</f>
        <v/>
      </c>
      <c r="AG170" s="5" t="n"/>
      <c r="AH170" s="13" t="n">
        <v>0</v>
      </c>
      <c r="AI170" s="13" t="n"/>
      <c r="AJ170" s="5" t="n"/>
      <c r="AL170" s="5" t="n"/>
      <c r="AM170" s="5" t="n">
        <v>93990</v>
      </c>
      <c r="AN170" s="5">
        <f>Y170-AM170</f>
        <v/>
      </c>
      <c r="AO170" s="5" t="n"/>
      <c r="AP170" s="5" t="n"/>
      <c r="AQ170" s="20" t="n">
        <v>0</v>
      </c>
      <c r="AR170" s="20" t="n"/>
      <c r="AT170" s="3" t="n">
        <v>1</v>
      </c>
      <c r="AV170" s="5">
        <f>ROUNDUP((AT170/8)*80,0)</f>
        <v/>
      </c>
      <c r="AX170" s="38">
        <f>AV170*W170</f>
        <v/>
      </c>
      <c r="BA170" s="3" t="n">
        <v>1</v>
      </c>
      <c r="BB170" s="3" t="n">
        <v>0</v>
      </c>
      <c r="BC170" s="3" t="n">
        <v>0</v>
      </c>
      <c r="BD170" s="3">
        <f>BC170+BB170+BA170</f>
        <v/>
      </c>
      <c r="BE170" s="3" t="n">
        <v>0</v>
      </c>
      <c r="BF170" s="3" t="n">
        <v>0</v>
      </c>
      <c r="BH170" s="3">
        <f>ROUNDUP(BD170*1.85,0)</f>
        <v/>
      </c>
      <c r="BJ170" s="38">
        <f>BH170*V170</f>
        <v/>
      </c>
      <c r="BL170" s="3">
        <f>U170*1.18</f>
        <v/>
      </c>
    </row>
    <row r="171">
      <c r="A171" s="1" t="inlineStr">
        <is>
          <t>83B2007UIN</t>
        </is>
      </c>
      <c r="B171" s="1">
        <f>IF(BL171&lt;40000,"Entry",IF(BL171&gt;65000,"Premium","Mainstream"))</f>
        <v/>
      </c>
      <c r="C171" s="1" t="inlineStr">
        <is>
          <t>Premium</t>
        </is>
      </c>
      <c r="D171" s="1" t="inlineStr">
        <is>
          <t>R7 OS Office</t>
        </is>
      </c>
      <c r="E171" s="1" t="inlineStr">
        <is>
          <t>Convertible</t>
        </is>
      </c>
      <c r="F171" s="1" t="inlineStr">
        <is>
          <t>Yoga 6</t>
        </is>
      </c>
      <c r="G171" s="1" t="inlineStr">
        <is>
          <t>YG6 14ABR8</t>
        </is>
      </c>
      <c r="H171" s="1" t="inlineStr">
        <is>
          <t>R7</t>
        </is>
      </c>
      <c r="I171" s="1" t="inlineStr">
        <is>
          <t>7XXXU</t>
        </is>
      </c>
      <c r="J171" s="1" t="inlineStr">
        <is>
          <t>R7-7730U</t>
        </is>
      </c>
      <c r="K171" s="1" t="inlineStr">
        <is>
          <t>16GB</t>
        </is>
      </c>
      <c r="L171" s="1" t="inlineStr">
        <is>
          <t>1TB SSD</t>
        </is>
      </c>
      <c r="M171" s="1" t="inlineStr">
        <is>
          <t>Windows 11</t>
        </is>
      </c>
      <c r="N171" s="1" t="inlineStr">
        <is>
          <t>Office 2021</t>
        </is>
      </c>
      <c r="O171" s="1" t="inlineStr">
        <is>
          <t>INTEGRATED_GRAPHICS</t>
        </is>
      </c>
      <c r="P171" s="1" t="inlineStr">
        <is>
          <t>13.3_WUXGA_GL_300N_MT_N_SRGB</t>
        </is>
      </c>
      <c r="Q171" s="1" t="inlineStr">
        <is>
          <t>1 Yr Onsite + 1 Yr PC</t>
        </is>
      </c>
      <c r="R171" s="1" t="inlineStr">
        <is>
          <t>Full GTN</t>
        </is>
      </c>
      <c r="S171" s="1" t="n"/>
      <c r="T171" s="2">
        <f>U171*0.98*0.965</f>
        <v/>
      </c>
      <c r="U171" s="13" t="n">
        <v>76316.25577812018</v>
      </c>
      <c r="V171" s="13" t="n">
        <v>0</v>
      </c>
      <c r="W171" s="13" t="n"/>
      <c r="X171" s="13" t="n"/>
      <c r="Y171" s="2">
        <f>(U171*0.88-S171-V171-W171-X171)*1.18/0.92</f>
        <v/>
      </c>
      <c r="Z171" s="2" t="n">
        <v>86690</v>
      </c>
      <c r="AA171" s="5" t="n"/>
      <c r="AB171" s="5" t="n"/>
      <c r="AC171" s="14" t="n">
        <v>86690</v>
      </c>
      <c r="AD171" s="5" t="n">
        <v>0</v>
      </c>
      <c r="AE171" s="5" t="n"/>
      <c r="AF171" s="5">
        <f>W171+X171</f>
        <v/>
      </c>
      <c r="AG171" s="5" t="n"/>
      <c r="AH171" s="13" t="n">
        <v>0</v>
      </c>
      <c r="AI171" s="13" t="n"/>
      <c r="AJ171" s="5" t="n"/>
      <c r="AL171" s="5" t="n"/>
      <c r="AM171" s="5" t="n">
        <v>86137.82608695648</v>
      </c>
      <c r="AN171" s="5">
        <f>Y171-AM171</f>
        <v/>
      </c>
      <c r="AO171" s="5" t="n"/>
      <c r="AP171" s="5" t="n"/>
      <c r="AQ171" s="20" t="n">
        <v>0</v>
      </c>
      <c r="AR171" s="20" t="n"/>
      <c r="AT171" s="3" t="n">
        <v>7</v>
      </c>
      <c r="AV171" s="5">
        <f>ROUNDUP((AT171/8)*80,0)</f>
        <v/>
      </c>
      <c r="AX171" s="38">
        <f>AV171*W171</f>
        <v/>
      </c>
      <c r="BA171" s="3" t="n">
        <v>10</v>
      </c>
      <c r="BB171" s="3" t="n">
        <v>0</v>
      </c>
      <c r="BC171" s="3" t="n">
        <v>35</v>
      </c>
      <c r="BD171" s="3">
        <f>BC171+BB171+BA171</f>
        <v/>
      </c>
      <c r="BE171" s="3" t="n">
        <v>90</v>
      </c>
      <c r="BF171" s="3" t="n">
        <v>0</v>
      </c>
      <c r="BH171" s="3">
        <f>ROUNDUP(BD171*1.85,0)</f>
        <v/>
      </c>
      <c r="BJ171" s="38">
        <f>BH171*V171</f>
        <v/>
      </c>
      <c r="BL171" s="3">
        <f>U171*1.18</f>
        <v/>
      </c>
    </row>
    <row r="172">
      <c r="A172" s="1" t="inlineStr">
        <is>
          <t>82YL0099IN</t>
        </is>
      </c>
      <c r="B172" s="1">
        <f>IF(BL172&lt;40000,"Entry",IF(BL172&gt;65000,"Premium","Mainstream"))</f>
        <v/>
      </c>
      <c r="C172" s="1" t="inlineStr">
        <is>
          <t>Premium</t>
        </is>
      </c>
      <c r="D172" s="1" t="inlineStr">
        <is>
          <t>i7 OS Office</t>
        </is>
      </c>
      <c r="E172" s="1" t="inlineStr">
        <is>
          <t>Convertible</t>
        </is>
      </c>
      <c r="F172" s="1" t="inlineStr">
        <is>
          <t>Yoga 7</t>
        </is>
      </c>
      <c r="G172" s="1" t="inlineStr">
        <is>
          <t>YG7 14IRL8</t>
        </is>
      </c>
      <c r="H172" s="1" t="inlineStr">
        <is>
          <t>i7</t>
        </is>
      </c>
      <c r="I172" s="1" t="inlineStr">
        <is>
          <t>13th Gen</t>
        </is>
      </c>
      <c r="J172" s="1" t="inlineStr">
        <is>
          <t>i7-1360P</t>
        </is>
      </c>
      <c r="K172" s="1" t="inlineStr">
        <is>
          <t>16GB</t>
        </is>
      </c>
      <c r="L172" s="1" t="inlineStr">
        <is>
          <t>1TB SSD</t>
        </is>
      </c>
      <c r="M172" s="1" t="inlineStr">
        <is>
          <t>Windows 11</t>
        </is>
      </c>
      <c r="N172" s="1" t="inlineStr">
        <is>
          <t>Office 2021</t>
        </is>
      </c>
      <c r="O172" s="1" t="inlineStr">
        <is>
          <t>INTEGRATED_GRAPHICS</t>
        </is>
      </c>
      <c r="P172" s="1" t="inlineStr">
        <is>
          <t>14WUXGA_OLED_GL400N_MT_HDRP3_G</t>
        </is>
      </c>
      <c r="Q172" s="1" t="inlineStr">
        <is>
          <t>1 Yr Onsite + 1 Yr PC</t>
        </is>
      </c>
      <c r="R172" s="1" t="inlineStr">
        <is>
          <t>Full GTN</t>
        </is>
      </c>
      <c r="S172" s="1" t="n"/>
      <c r="T172" s="2">
        <f>U172*0.98*0.965</f>
        <v/>
      </c>
      <c r="U172" s="13" t="n">
        <v>101123.6517719568</v>
      </c>
      <c r="V172" s="13" t="n">
        <v>0</v>
      </c>
      <c r="W172" s="13" t="n"/>
      <c r="X172" s="13" t="n"/>
      <c r="Y172" s="2">
        <f>(U172*0.88-S172-V172-W172-X172)*1.18/0.92</f>
        <v/>
      </c>
      <c r="Z172" s="2" t="n">
        <v>114190</v>
      </c>
      <c r="AA172" s="5" t="n"/>
      <c r="AB172" s="5" t="n"/>
      <c r="AC172" s="14" t="n">
        <v>0</v>
      </c>
      <c r="AD172" s="5">
        <f>(Y172-AC172)/1.18*0.92</f>
        <v/>
      </c>
      <c r="AE172" s="5" t="n"/>
      <c r="AF172" s="5">
        <f>W172+X172</f>
        <v/>
      </c>
      <c r="AG172" s="5" t="n"/>
      <c r="AH172" s="13" t="n">
        <v>0</v>
      </c>
      <c r="AI172" s="13" t="n"/>
      <c r="AJ172" s="5" t="n"/>
      <c r="AL172" s="5" t="n"/>
      <c r="AM172" s="5" t="n">
        <v>114137.8260869564</v>
      </c>
      <c r="AN172" s="5">
        <f>Y172-AM172</f>
        <v/>
      </c>
      <c r="AO172" s="5" t="n"/>
      <c r="AP172" s="5" t="n"/>
      <c r="AQ172" s="20" t="n">
        <v>0</v>
      </c>
      <c r="AR172" s="20" t="n"/>
      <c r="AT172" s="3" t="n">
        <v>1</v>
      </c>
      <c r="AV172" s="5">
        <f>ROUNDUP((AT172/8)*80,0)</f>
        <v/>
      </c>
      <c r="AX172" s="38">
        <f>AV172*W172</f>
        <v/>
      </c>
      <c r="BA172" s="3" t="n">
        <v>0</v>
      </c>
      <c r="BB172" s="3" t="n">
        <v>8</v>
      </c>
      <c r="BC172" s="3" t="n">
        <v>-1</v>
      </c>
      <c r="BD172" s="3">
        <f>BC172+BB172+BA172</f>
        <v/>
      </c>
      <c r="BE172" s="3" t="n">
        <v>168</v>
      </c>
      <c r="BF172" s="3" t="n">
        <v>0</v>
      </c>
      <c r="BH172" s="3">
        <f>ROUNDUP(BD172*1.85,0)</f>
        <v/>
      </c>
      <c r="BJ172" s="38">
        <f>BH172*V172</f>
        <v/>
      </c>
      <c r="BL172" s="3">
        <f>U172*1.18</f>
        <v/>
      </c>
    </row>
    <row r="173">
      <c r="A173" s="1" t="inlineStr">
        <is>
          <t>82YL0095IN</t>
        </is>
      </c>
      <c r="B173" s="1">
        <f>IF(BL173&lt;40000,"Entry",IF(BL173&gt;65000,"Premium","Mainstream"))</f>
        <v/>
      </c>
      <c r="C173" s="1" t="inlineStr">
        <is>
          <t>Premium</t>
        </is>
      </c>
      <c r="D173" s="1" t="inlineStr">
        <is>
          <t>i5 OS Office</t>
        </is>
      </c>
      <c r="E173" s="1" t="inlineStr">
        <is>
          <t>Convertible</t>
        </is>
      </c>
      <c r="F173" s="1" t="inlineStr">
        <is>
          <t>Yoga 7</t>
        </is>
      </c>
      <c r="G173" s="1" t="inlineStr">
        <is>
          <t>YG7 14IRL8</t>
        </is>
      </c>
      <c r="H173" s="1" t="inlineStr">
        <is>
          <t>i5</t>
        </is>
      </c>
      <c r="I173" s="1" t="inlineStr">
        <is>
          <t>13th Gen</t>
        </is>
      </c>
      <c r="J173" s="1" t="inlineStr">
        <is>
          <t>i5-1340P</t>
        </is>
      </c>
      <c r="K173" s="1" t="inlineStr">
        <is>
          <t>16GB</t>
        </is>
      </c>
      <c r="L173" s="1" t="inlineStr">
        <is>
          <t>1TB SSD</t>
        </is>
      </c>
      <c r="M173" s="1" t="inlineStr">
        <is>
          <t>Windows 11</t>
        </is>
      </c>
      <c r="N173" s="1" t="inlineStr">
        <is>
          <t>Office 2021</t>
        </is>
      </c>
      <c r="O173" s="1" t="inlineStr">
        <is>
          <t>INTEGRATED_GRAPHICS</t>
        </is>
      </c>
      <c r="P173" s="1" t="inlineStr">
        <is>
          <t>14WUXGA_OLED_GL400N_MT_HDRP3_G</t>
        </is>
      </c>
      <c r="Q173" s="1" t="inlineStr">
        <is>
          <t>1 Yr Onsite + 1 Yr PC</t>
        </is>
      </c>
      <c r="R173" s="1" t="inlineStr">
        <is>
          <t>Full GTN</t>
        </is>
      </c>
      <c r="S173" s="1" t="n">
        <v>1881</v>
      </c>
      <c r="T173" s="2">
        <f>U173*0.98*0.965</f>
        <v/>
      </c>
      <c r="U173" s="13" t="n">
        <v>82929.87288135594</v>
      </c>
      <c r="V173" s="13" t="n">
        <v>0</v>
      </c>
      <c r="W173" s="13" t="n"/>
      <c r="X173" s="13" t="n"/>
      <c r="Y173" s="2">
        <f>(U173*0.88-S173-V173-W173-X173)*1.18/0.92</f>
        <v/>
      </c>
      <c r="Z173" s="2" t="n">
        <v>91190</v>
      </c>
      <c r="AA173" s="5" t="n"/>
      <c r="AB173" s="5" t="n"/>
      <c r="AC173" s="14" t="n">
        <v>0</v>
      </c>
      <c r="AD173" s="5">
        <f>(Y173-AC173)/1.18*0.92</f>
        <v/>
      </c>
      <c r="AE173" s="5" t="n"/>
      <c r="AF173" s="5">
        <f>W173+X173</f>
        <v/>
      </c>
      <c r="AG173" s="5" t="n"/>
      <c r="AH173" s="13" t="n">
        <v>0</v>
      </c>
      <c r="AI173" s="13" t="n"/>
      <c r="AJ173" s="5" t="n"/>
      <c r="AL173" s="5" t="n"/>
      <c r="AM173" s="5" t="n">
        <v>91190.00000000001</v>
      </c>
      <c r="AN173" s="5">
        <f>Y173-AM173</f>
        <v/>
      </c>
      <c r="AO173" s="5" t="n"/>
      <c r="AP173" s="5" t="n"/>
      <c r="AQ173" s="20" t="n">
        <v>0</v>
      </c>
      <c r="AR173" s="20" t="n"/>
      <c r="AT173" s="3" t="n">
        <v>3</v>
      </c>
      <c r="AV173" s="5">
        <f>ROUNDUP((AT173/8)*80,0)</f>
        <v/>
      </c>
      <c r="AX173" s="38">
        <f>AV173*W173</f>
        <v/>
      </c>
      <c r="BA173" s="3" t="n">
        <v>3</v>
      </c>
      <c r="BB173" s="3" t="n">
        <v>12</v>
      </c>
      <c r="BC173" s="3" t="n">
        <v>0</v>
      </c>
      <c r="BD173" s="3">
        <f>BC173+BB173+BA173</f>
        <v/>
      </c>
      <c r="BE173" s="3" t="n">
        <v>7</v>
      </c>
      <c r="BF173" s="3" t="n">
        <v>10</v>
      </c>
      <c r="BH173" s="3">
        <f>ROUNDUP(BD173*1.85,0)</f>
        <v/>
      </c>
      <c r="BJ173" s="38">
        <f>BH173*V173</f>
        <v/>
      </c>
      <c r="BL173" s="3">
        <f>U173*1.18</f>
        <v/>
      </c>
    </row>
    <row r="174">
      <c r="A174" s="1" t="inlineStr">
        <is>
          <t>82RK00LXIN</t>
        </is>
      </c>
      <c r="B174" s="1">
        <f>IF(BL174&lt;40000,"Entry",IF(BL174&gt;65000,"Premium","Mainstream"))</f>
        <v/>
      </c>
      <c r="C174" s="1" t="inlineStr">
        <is>
          <t>Premium</t>
        </is>
      </c>
      <c r="D174" s="1" t="inlineStr">
        <is>
          <t>i5 OS Office</t>
        </is>
      </c>
      <c r="E174" s="1" t="inlineStr">
        <is>
          <t>Thin &amp; Light</t>
        </is>
      </c>
      <c r="F174" s="1" t="inlineStr">
        <is>
          <t>Slim 3</t>
        </is>
      </c>
      <c r="G174" s="1" t="inlineStr">
        <is>
          <t>IdeaPad 3 15IAU7</t>
        </is>
      </c>
      <c r="H174" s="1" t="inlineStr">
        <is>
          <t>i5</t>
        </is>
      </c>
      <c r="I174" s="1" t="inlineStr">
        <is>
          <t>12th Gen</t>
        </is>
      </c>
      <c r="J174" s="1" t="inlineStr">
        <is>
          <t>i5-1235U</t>
        </is>
      </c>
      <c r="K174" s="1" t="inlineStr">
        <is>
          <t>16GB</t>
        </is>
      </c>
      <c r="L174" s="1" t="inlineStr">
        <is>
          <t>512GB SSD</t>
        </is>
      </c>
      <c r="M174" s="1" t="inlineStr">
        <is>
          <t>Win11</t>
        </is>
      </c>
      <c r="N174" s="1" t="inlineStr">
        <is>
          <t>Office 2021</t>
        </is>
      </c>
      <c r="O174" s="1" t="inlineStr">
        <is>
          <t>INTEGRATED_GRAPHICS</t>
        </is>
      </c>
      <c r="P174" s="1" t="inlineStr">
        <is>
          <t>15.6FHD_TN_AG_250N_N</t>
        </is>
      </c>
      <c r="Q174" s="1" t="inlineStr">
        <is>
          <t>2 Yr Warranty</t>
        </is>
      </c>
      <c r="R174" s="1" t="inlineStr">
        <is>
          <t>Full GTN</t>
        </is>
      </c>
      <c r="S174" s="1" t="n">
        <v>725</v>
      </c>
      <c r="T174" s="2" t="n">
        <v>52048.3808840524</v>
      </c>
      <c r="U174" s="13" t="n">
        <v>55036.88366718029</v>
      </c>
      <c r="V174" s="13" t="n">
        <v>0</v>
      </c>
      <c r="W174" s="13" t="n">
        <v>5384</v>
      </c>
      <c r="X174" s="13" t="n"/>
      <c r="Y174" s="2">
        <f>(U174*0.89-S174-V174-W174-X174)*1.18/0.92</f>
        <v/>
      </c>
      <c r="Z174" s="18">
        <f>AC174</f>
        <v/>
      </c>
      <c r="AA174" s="5" t="n"/>
      <c r="AB174" s="5" t="n"/>
      <c r="AC174" s="14" t="n">
        <v>54990</v>
      </c>
      <c r="AD174" s="5">
        <f>(Y174-AC174)/1.18*0.92</f>
        <v/>
      </c>
      <c r="AE174" s="5" t="inlineStr">
        <is>
          <t>Ok</t>
        </is>
      </c>
      <c r="AF174" s="5">
        <f>W174+X174</f>
        <v/>
      </c>
      <c r="AG174" s="5" t="n"/>
      <c r="AH174" s="13" t="n">
        <v>0</v>
      </c>
      <c r="AI174" s="13" t="n">
        <v>4833.898305084753</v>
      </c>
      <c r="AJ174" s="5" t="n"/>
      <c r="AL174" s="5" t="n"/>
      <c r="AM174" s="5" t="n">
        <v>54989.99999999999</v>
      </c>
      <c r="AN174" s="5">
        <f>Y174-AM174</f>
        <v/>
      </c>
      <c r="AO174" s="5" t="n"/>
      <c r="AP174" s="5">
        <f>U174-AL174</f>
        <v/>
      </c>
      <c r="AQ174" s="20" t="n">
        <v>0</v>
      </c>
      <c r="AR174" s="20" t="n">
        <v>4833.898305084753</v>
      </c>
      <c r="AT174" s="3" t="n">
        <v>0</v>
      </c>
      <c r="AV174" s="5">
        <f>ROUNDUP((AT174/8)*80,0)</f>
        <v/>
      </c>
      <c r="AX174" s="38">
        <f>AV174*W174</f>
        <v/>
      </c>
      <c r="BA174" s="3" t="n">
        <v>0</v>
      </c>
      <c r="BB174" s="3" t="n">
        <v>0</v>
      </c>
      <c r="BC174" s="3" t="n">
        <v>0</v>
      </c>
      <c r="BD174" s="3">
        <f>BC174+BB174+BA174</f>
        <v/>
      </c>
      <c r="BE174" s="3" t="n">
        <v>2</v>
      </c>
      <c r="BF174" s="3" t="n">
        <v>0</v>
      </c>
      <c r="BH174" s="3">
        <f>ROUNDUP(BD174*1.85,0)</f>
        <v/>
      </c>
      <c r="BJ174" s="38">
        <f>BH174*V174</f>
        <v/>
      </c>
      <c r="BL174" s="3">
        <f>U174*1.18</f>
        <v/>
      </c>
    </row>
    <row r="175">
      <c r="A175" s="1" t="inlineStr">
        <is>
          <t>82RK0085IN</t>
        </is>
      </c>
      <c r="B175" s="1">
        <f>IF(BL175&lt;40000,"Entry",IF(BL175&gt;65000,"Premium","Mainstream"))</f>
        <v/>
      </c>
      <c r="C175" s="1" t="inlineStr">
        <is>
          <t>Premium</t>
        </is>
      </c>
      <c r="D175" s="1" t="inlineStr">
        <is>
          <t>i5 OS Office</t>
        </is>
      </c>
      <c r="E175" s="1" t="inlineStr">
        <is>
          <t>Thin &amp; Light</t>
        </is>
      </c>
      <c r="F175" s="1" t="inlineStr">
        <is>
          <t>Slim 3</t>
        </is>
      </c>
      <c r="G175" s="1" t="inlineStr">
        <is>
          <t>IdeaPad 3 15IAU7</t>
        </is>
      </c>
      <c r="H175" s="1" t="inlineStr">
        <is>
          <t>i5</t>
        </is>
      </c>
      <c r="I175" s="1" t="inlineStr">
        <is>
          <t>12th Gen</t>
        </is>
      </c>
      <c r="J175" s="1" t="inlineStr">
        <is>
          <t>i5-1235U</t>
        </is>
      </c>
      <c r="K175" s="1" t="inlineStr">
        <is>
          <t>16GB</t>
        </is>
      </c>
      <c r="L175" s="1" t="inlineStr">
        <is>
          <t>512GB SSD</t>
        </is>
      </c>
      <c r="M175" s="1" t="inlineStr">
        <is>
          <t>Win11</t>
        </is>
      </c>
      <c r="N175" s="1" t="inlineStr">
        <is>
          <t>Office 2021</t>
        </is>
      </c>
      <c r="O175" s="1" t="inlineStr">
        <is>
          <t>INTEGRATED_GRAPHICS</t>
        </is>
      </c>
      <c r="P175" s="1" t="inlineStr">
        <is>
          <t>15.6FHD_TN_AG_250N_N</t>
        </is>
      </c>
      <c r="Q175" s="1" t="inlineStr">
        <is>
          <t>2 Yr Warranty</t>
        </is>
      </c>
      <c r="R175" s="1" t="inlineStr">
        <is>
          <t>Full GTN</t>
        </is>
      </c>
      <c r="S175" s="1" t="n">
        <v>725</v>
      </c>
      <c r="T175" s="2" t="n">
        <v>52048.3808840524</v>
      </c>
      <c r="U175" s="13" t="n">
        <v>55036.88366718029</v>
      </c>
      <c r="V175" s="13" t="n">
        <v>0</v>
      </c>
      <c r="W175" s="13" t="n">
        <v>5384</v>
      </c>
      <c r="X175" s="13" t="n"/>
      <c r="Y175" s="2">
        <f>(U175*0.89-S175-V175-W175-X175)*1.18/0.92</f>
        <v/>
      </c>
      <c r="Z175" s="18">
        <f>AC175</f>
        <v/>
      </c>
      <c r="AA175" s="5" t="n"/>
      <c r="AB175" s="5" t="n"/>
      <c r="AC175" s="14" t="n">
        <v>54990</v>
      </c>
      <c r="AD175" s="5">
        <f>(Y175-AC175)/1.18*0.92</f>
        <v/>
      </c>
      <c r="AE175" s="5" t="inlineStr">
        <is>
          <t>Ok</t>
        </is>
      </c>
      <c r="AF175" s="5">
        <f>W175+X175</f>
        <v/>
      </c>
      <c r="AG175" s="5" t="n"/>
      <c r="AH175" s="13" t="n">
        <v>0</v>
      </c>
      <c r="AI175" s="13" t="n">
        <v>4833.898305084753</v>
      </c>
      <c r="AJ175" s="5" t="n"/>
      <c r="AL175" s="5" t="n"/>
      <c r="AM175" s="5" t="n">
        <v>54989.99999999999</v>
      </c>
      <c r="AN175" s="5">
        <f>Y175-AM175</f>
        <v/>
      </c>
      <c r="AO175" s="5" t="n"/>
      <c r="AP175" s="5">
        <f>U175-AL175</f>
        <v/>
      </c>
      <c r="AQ175" s="20" t="n">
        <v>0</v>
      </c>
      <c r="AR175" s="20" t="n">
        <v>4833.898305084753</v>
      </c>
      <c r="AT175" s="3" t="n">
        <v>0</v>
      </c>
      <c r="AV175" s="5">
        <f>ROUNDUP((AT175/8)*80,0)</f>
        <v/>
      </c>
      <c r="AX175" s="38">
        <f>AV175*W175</f>
        <v/>
      </c>
      <c r="BA175" s="3" t="n">
        <v>0</v>
      </c>
      <c r="BB175" s="3" t="n">
        <v>0</v>
      </c>
      <c r="BC175" s="3" t="n">
        <v>0</v>
      </c>
      <c r="BD175" s="3">
        <f>BC175+BB175+BA175</f>
        <v/>
      </c>
      <c r="BE175" s="3" t="n">
        <v>0</v>
      </c>
      <c r="BF175" s="3" t="n">
        <v>0</v>
      </c>
      <c r="BH175" s="3">
        <f>ROUNDUP(BD175*1.85,0)</f>
        <v/>
      </c>
      <c r="BJ175" s="38">
        <f>BH175*V175</f>
        <v/>
      </c>
      <c r="BL175" s="3">
        <f>U175*1.18</f>
        <v/>
      </c>
    </row>
    <row r="176">
      <c r="A176" s="1" t="inlineStr">
        <is>
          <t>82RG00ELIN</t>
        </is>
      </c>
      <c r="B176" s="1">
        <f>IF(BL176&lt;40000,"Entry",IF(BL176&gt;65000,"Premium","Mainstream"))</f>
        <v/>
      </c>
      <c r="C176" s="1" t="inlineStr">
        <is>
          <t>Premium</t>
        </is>
      </c>
      <c r="D176" s="1" t="inlineStr">
        <is>
          <t>R7 OS 6GB Graphics Office</t>
        </is>
      </c>
      <c r="E176" s="1" t="inlineStr">
        <is>
          <t>Gaming</t>
        </is>
      </c>
      <c r="F176" s="1" t="inlineStr">
        <is>
          <t>Legion 5 Pro</t>
        </is>
      </c>
      <c r="G176" s="1" t="inlineStr">
        <is>
          <t>Legion 5 Pro 16ARH7H</t>
        </is>
      </c>
      <c r="H176" s="1" t="inlineStr">
        <is>
          <t>R7</t>
        </is>
      </c>
      <c r="I176" s="1" t="inlineStr">
        <is>
          <t>6XXXH</t>
        </is>
      </c>
      <c r="J176" s="1" t="inlineStr">
        <is>
          <t>R7 6800H</t>
        </is>
      </c>
      <c r="K176" s="1" t="inlineStr">
        <is>
          <t>16GB</t>
        </is>
      </c>
      <c r="L176" s="1" t="inlineStr">
        <is>
          <t>1TB SSD</t>
        </is>
      </c>
      <c r="M176" s="1" t="inlineStr">
        <is>
          <t>Windows 11</t>
        </is>
      </c>
      <c r="N176" s="1" t="inlineStr">
        <is>
          <t>OFFICE 2021</t>
        </is>
      </c>
      <c r="O176" s="1" t="inlineStr">
        <is>
          <t>RTX 3060 6GB</t>
        </is>
      </c>
      <c r="P176" s="1" t="inlineStr">
        <is>
          <t>16WQXGA_AG_500N_165_N_HDR_SRGB</t>
        </is>
      </c>
      <c r="Q176" s="1" t="inlineStr">
        <is>
          <t>1 Yr. Onsite + 1Yr. LUS</t>
        </is>
      </c>
      <c r="R176" s="1" t="inlineStr">
        <is>
          <t>Full GTN</t>
        </is>
      </c>
      <c r="S176" s="1" t="n">
        <v>2457</v>
      </c>
      <c r="T176" s="2">
        <f>U176*0.98*0.965</f>
        <v/>
      </c>
      <c r="U176" s="13" t="n">
        <v>112482.0847457627</v>
      </c>
      <c r="V176" s="13" t="n">
        <v>0</v>
      </c>
      <c r="W176" s="13" t="n">
        <v>10772.3193220339</v>
      </c>
      <c r="X176" s="13" t="n"/>
      <c r="Y176" s="2">
        <f>(U176*0.88-S176-V176-W176-X176)*1.18/0.92</f>
        <v/>
      </c>
      <c r="Z176" s="1" t="n">
        <v>109990</v>
      </c>
      <c r="AA176" s="5" t="n"/>
      <c r="AB176" s="5" t="n"/>
      <c r="AC176" s="14" t="n">
        <v>109990</v>
      </c>
      <c r="AD176" s="5">
        <f>(Y176-AC176)/1.18*0.92</f>
        <v/>
      </c>
      <c r="AE176" s="5" t="n"/>
      <c r="AF176" s="5">
        <f>W176+X176</f>
        <v/>
      </c>
      <c r="AG176" s="5" t="n"/>
      <c r="AH176" s="13" t="n">
        <v>0</v>
      </c>
      <c r="AI176" s="13" t="n">
        <v>10772.3193220339</v>
      </c>
      <c r="AJ176" s="5" t="n"/>
      <c r="AL176" s="5" t="n"/>
      <c r="AM176" s="5" t="n">
        <v>109990</v>
      </c>
      <c r="AN176" s="5">
        <f>Y176-AM176</f>
        <v/>
      </c>
      <c r="AO176" s="5" t="n"/>
      <c r="AP176" s="5">
        <f>U176-AL176</f>
        <v/>
      </c>
      <c r="AQ176" s="20" t="n">
        <v>0</v>
      </c>
      <c r="AR176" s="20" t="n">
        <v>10772.3193220339</v>
      </c>
      <c r="AT176" s="3" t="n">
        <v>3</v>
      </c>
      <c r="AV176" s="5">
        <f>ROUNDUP((AT176/8)*80,0)</f>
        <v/>
      </c>
      <c r="AX176" s="38">
        <f>AV176*W176</f>
        <v/>
      </c>
      <c r="BA176" s="3" t="n">
        <v>0</v>
      </c>
      <c r="BB176" s="3" t="n">
        <v>0</v>
      </c>
      <c r="BC176" s="3" t="n">
        <v>0</v>
      </c>
      <c r="BD176" s="3">
        <f>BC176+BB176+BA176</f>
        <v/>
      </c>
      <c r="BE176" s="3" t="n">
        <v>0</v>
      </c>
      <c r="BF176" s="3" t="n">
        <v>0</v>
      </c>
      <c r="BH176" s="3">
        <f>ROUNDUP(BD176*1.85,0)</f>
        <v/>
      </c>
      <c r="BJ176" s="38">
        <f>BH176*V176</f>
        <v/>
      </c>
      <c r="BL176" s="3">
        <f>U176*1.18</f>
        <v/>
      </c>
    </row>
    <row r="177">
      <c r="A177" s="1" t="inlineStr">
        <is>
          <t>82RG009AIN</t>
        </is>
      </c>
      <c r="B177" s="1">
        <f>IF(BL177&lt;40000,"Entry",IF(BL177&gt;65000,"Premium","Mainstream"))</f>
        <v/>
      </c>
      <c r="C177" s="1" t="inlineStr">
        <is>
          <t>Premium</t>
        </is>
      </c>
      <c r="D177" s="1" t="inlineStr">
        <is>
          <t>R7 OS 6GB Graphics Office</t>
        </is>
      </c>
      <c r="E177" s="1" t="inlineStr">
        <is>
          <t>Gaming</t>
        </is>
      </c>
      <c r="F177" s="1" t="inlineStr">
        <is>
          <t>Legion 5 Pro</t>
        </is>
      </c>
      <c r="G177" s="1" t="inlineStr">
        <is>
          <t>Legion 5 Pro 16ARH7H</t>
        </is>
      </c>
      <c r="H177" s="1" t="inlineStr">
        <is>
          <t>R7</t>
        </is>
      </c>
      <c r="I177" s="1" t="inlineStr">
        <is>
          <t>6XXXH</t>
        </is>
      </c>
      <c r="J177" s="1" t="inlineStr">
        <is>
          <t>R7-6800H</t>
        </is>
      </c>
      <c r="K177" s="1" t="inlineStr">
        <is>
          <t>16GB</t>
        </is>
      </c>
      <c r="L177" s="1" t="inlineStr">
        <is>
          <t>1TB SSD</t>
        </is>
      </c>
      <c r="M177" s="1" t="inlineStr">
        <is>
          <t>Win11</t>
        </is>
      </c>
      <c r="N177" s="1" t="inlineStr">
        <is>
          <t>Office 2021</t>
        </is>
      </c>
      <c r="O177" s="1" t="inlineStr">
        <is>
          <t>RTX 3060 6GB</t>
        </is>
      </c>
      <c r="P177" s="1" t="inlineStr">
        <is>
          <t>16WUXGA_AG_300N_165_N</t>
        </is>
      </c>
      <c r="Q177" s="1" t="inlineStr">
        <is>
          <t>3 Yr Warranty + 3 Yr LUS + 1 Yr ADP</t>
        </is>
      </c>
      <c r="R177" s="1" t="inlineStr">
        <is>
          <t>Full GTN</t>
        </is>
      </c>
      <c r="S177" s="1" t="n">
        <v>2457</v>
      </c>
      <c r="T177" s="2">
        <f>U177*0.98*0.965</f>
        <v/>
      </c>
      <c r="U177" s="13" t="n">
        <v>112482.0847457627</v>
      </c>
      <c r="V177" s="13" t="n">
        <v>0</v>
      </c>
      <c r="W177" s="13" t="n">
        <v>10772.3193220339</v>
      </c>
      <c r="X177" s="13" t="n"/>
      <c r="Y177" s="2">
        <f>(U177*0.88-S177-V177-W177-X177)*1.18/0.92</f>
        <v/>
      </c>
      <c r="Z177" s="1" t="n">
        <v>109990</v>
      </c>
      <c r="AA177" s="5" t="n"/>
      <c r="AB177" s="5" t="n"/>
      <c r="AC177" s="14" t="n">
        <v>109990</v>
      </c>
      <c r="AD177" s="5">
        <f>(Y177-AC177)/1.18*0.92</f>
        <v/>
      </c>
      <c r="AE177" s="5" t="n"/>
      <c r="AF177" s="5">
        <f>W177+X177</f>
        <v/>
      </c>
      <c r="AG177" s="5" t="n"/>
      <c r="AH177" s="13" t="n">
        <v>0</v>
      </c>
      <c r="AI177" s="13" t="n">
        <v>10772.3193220339</v>
      </c>
      <c r="AJ177" s="5" t="n"/>
      <c r="AL177" s="5" t="n"/>
      <c r="AM177" s="5" t="n">
        <v>109990</v>
      </c>
      <c r="AN177" s="5">
        <f>Y177-AM177</f>
        <v/>
      </c>
      <c r="AO177" s="5" t="n"/>
      <c r="AP177" s="5">
        <f>U177-AL177</f>
        <v/>
      </c>
      <c r="AQ177" s="20" t="n">
        <v>0</v>
      </c>
      <c r="AR177" s="20" t="n">
        <v>10772.3193220339</v>
      </c>
      <c r="AT177" s="3" t="n">
        <v>1</v>
      </c>
      <c r="AV177" s="5">
        <f>ROUNDUP((AT177/8)*80,0)</f>
        <v/>
      </c>
      <c r="AX177" s="38">
        <f>AV177*W177</f>
        <v/>
      </c>
      <c r="BA177" s="3" t="n">
        <v>0</v>
      </c>
      <c r="BB177" s="3" t="n">
        <v>2</v>
      </c>
      <c r="BC177" s="3" t="n">
        <v>3</v>
      </c>
      <c r="BD177" s="3">
        <f>BC177+BB177+BA177</f>
        <v/>
      </c>
      <c r="BE177" s="3" t="n">
        <v>12</v>
      </c>
      <c r="BF177" s="3" t="n">
        <v>0</v>
      </c>
      <c r="BH177" s="3">
        <f>ROUNDUP(BD177*1.85,0)</f>
        <v/>
      </c>
      <c r="BJ177" s="38">
        <f>BH177*V177</f>
        <v/>
      </c>
      <c r="BL177" s="3">
        <f>U177*1.18</f>
        <v/>
      </c>
    </row>
    <row r="178">
      <c r="A178" s="1" t="inlineStr">
        <is>
          <t>82RK00EDIN</t>
        </is>
      </c>
      <c r="B178" s="1">
        <f>IF(BL178&lt;40000,"Entry",IF(BL178&gt;65000,"Premium","Mainstream"))</f>
        <v/>
      </c>
      <c r="C178" s="1" t="inlineStr">
        <is>
          <t>Premium</t>
        </is>
      </c>
      <c r="D178" s="1" t="inlineStr">
        <is>
          <t>i5 OS Office</t>
        </is>
      </c>
      <c r="E178" s="1" t="inlineStr">
        <is>
          <t>Thin &amp; Light</t>
        </is>
      </c>
      <c r="F178" s="1" t="inlineStr">
        <is>
          <t>Slim 3</t>
        </is>
      </c>
      <c r="G178" s="1" t="inlineStr">
        <is>
          <t>IdeaPad 3 15IAU7</t>
        </is>
      </c>
      <c r="H178" s="1" t="inlineStr">
        <is>
          <t>i5</t>
        </is>
      </c>
      <c r="I178" s="1" t="inlineStr">
        <is>
          <t>12th Gen</t>
        </is>
      </c>
      <c r="J178" s="1" t="inlineStr">
        <is>
          <t>i5-1235U</t>
        </is>
      </c>
      <c r="K178" s="1" t="inlineStr">
        <is>
          <t>8GB</t>
        </is>
      </c>
      <c r="L178" s="1" t="inlineStr">
        <is>
          <t>512GB SSD</t>
        </is>
      </c>
      <c r="M178" s="1" t="inlineStr">
        <is>
          <t>Win11</t>
        </is>
      </c>
      <c r="N178" s="1" t="inlineStr">
        <is>
          <t>Office 2021</t>
        </is>
      </c>
      <c r="O178" s="1" t="inlineStr">
        <is>
          <t>INTEGRATED_GRAPHICS</t>
        </is>
      </c>
      <c r="P178" s="1" t="inlineStr">
        <is>
          <t>15.6FHD_TN_AG_250N_N</t>
        </is>
      </c>
      <c r="Q178" s="1" t="inlineStr">
        <is>
          <t>2 Yr Warranty</t>
        </is>
      </c>
      <c r="R178" s="1" t="inlineStr">
        <is>
          <t>Full GTN</t>
        </is>
      </c>
      <c r="S178" s="1" t="n">
        <v>725</v>
      </c>
      <c r="T178" s="2" t="n">
        <v>48696.90168528505</v>
      </c>
      <c r="U178" s="13" t="n">
        <v>51492.96995377503</v>
      </c>
      <c r="V178" s="13" t="n">
        <v>0</v>
      </c>
      <c r="W178" s="13" t="n">
        <v>5349</v>
      </c>
      <c r="X178" s="13" t="n"/>
      <c r="Y178" s="2">
        <f>(U178*0.89-S178-V178-W178-X178)*1.18/0.92</f>
        <v/>
      </c>
      <c r="Z178" s="18">
        <f>AC178</f>
        <v/>
      </c>
      <c r="AA178" s="5" t="n"/>
      <c r="AB178" s="5" t="n"/>
      <c r="AC178" s="14" t="n">
        <v>50990</v>
      </c>
      <c r="AD178" s="5">
        <f>(Y178-AC178)/1.18*0.92</f>
        <v/>
      </c>
      <c r="AE178" s="5" t="inlineStr">
        <is>
          <t>Ok</t>
        </is>
      </c>
      <c r="AF178" s="5">
        <f>W178+X178</f>
        <v/>
      </c>
      <c r="AG178" s="5" t="n"/>
      <c r="AH178" s="13" t="n">
        <v>0</v>
      </c>
      <c r="AI178" s="13" t="n">
        <v>4833.898305084738</v>
      </c>
      <c r="AJ178" s="5" t="n"/>
      <c r="AL178" s="5" t="n"/>
      <c r="AM178" s="5" t="n">
        <v>50990</v>
      </c>
      <c r="AN178" s="5">
        <f>Y178-AM178</f>
        <v/>
      </c>
      <c r="AO178" s="5" t="n"/>
      <c r="AP178" s="5">
        <f>U178-AL178</f>
        <v/>
      </c>
      <c r="AQ178" s="20" t="n">
        <v>0</v>
      </c>
      <c r="AR178" s="20" t="n">
        <v>4833.898305084738</v>
      </c>
      <c r="AT178" s="3" t="n">
        <v>286</v>
      </c>
      <c r="AV178" s="5">
        <f>ROUNDUP((AT178/8)*80,0)</f>
        <v/>
      </c>
      <c r="AX178" s="38">
        <f>AV178*W178</f>
        <v/>
      </c>
      <c r="BA178" s="3" t="n">
        <v>0</v>
      </c>
      <c r="BB178" s="3" t="n">
        <v>0</v>
      </c>
      <c r="BC178" s="3" t="n">
        <v>0</v>
      </c>
      <c r="BD178" s="3">
        <f>BC178+BB178+BA178</f>
        <v/>
      </c>
      <c r="BE178" s="3" t="n">
        <v>25</v>
      </c>
      <c r="BF178" s="3" t="n">
        <v>0</v>
      </c>
      <c r="BH178" s="3">
        <f>ROUNDUP(BD178*1.85,0)</f>
        <v/>
      </c>
      <c r="BJ178" s="38">
        <f>BH178*V178</f>
        <v/>
      </c>
      <c r="BL178" s="3">
        <f>U178*1.18</f>
        <v/>
      </c>
    </row>
    <row r="179">
      <c r="A179" s="1" t="inlineStr">
        <is>
          <t>82RK0062IN</t>
        </is>
      </c>
      <c r="B179" s="1">
        <f>IF(BL179&lt;40000,"Entry",IF(BL179&gt;65000,"Premium","Mainstream"))</f>
        <v/>
      </c>
      <c r="C179" s="1" t="inlineStr">
        <is>
          <t>Premium</t>
        </is>
      </c>
      <c r="D179" s="1" t="inlineStr">
        <is>
          <t>i5 OS Office</t>
        </is>
      </c>
      <c r="E179" s="1" t="inlineStr">
        <is>
          <t>Thin &amp; Light</t>
        </is>
      </c>
      <c r="F179" s="1" t="inlineStr">
        <is>
          <t>Slim 3</t>
        </is>
      </c>
      <c r="G179" s="1" t="inlineStr">
        <is>
          <t>IdeaPad 3 15IAU7</t>
        </is>
      </c>
      <c r="H179" s="1" t="inlineStr">
        <is>
          <t>i5</t>
        </is>
      </c>
      <c r="I179" s="1" t="inlineStr">
        <is>
          <t>12th Gen</t>
        </is>
      </c>
      <c r="J179" s="1" t="inlineStr">
        <is>
          <t>i5-1235U</t>
        </is>
      </c>
      <c r="K179" s="1" t="inlineStr">
        <is>
          <t>8GB</t>
        </is>
      </c>
      <c r="L179" s="1" t="inlineStr">
        <is>
          <t>512GB SSD</t>
        </is>
      </c>
      <c r="M179" s="1" t="inlineStr">
        <is>
          <t>Win11</t>
        </is>
      </c>
      <c r="N179" s="1" t="inlineStr">
        <is>
          <t>Office 2021</t>
        </is>
      </c>
      <c r="O179" s="1" t="inlineStr">
        <is>
          <t>INTEGRATED_GRAPHICS</t>
        </is>
      </c>
      <c r="P179" s="1" t="inlineStr">
        <is>
          <t>15.6FHD_TN_AG_250N_N</t>
        </is>
      </c>
      <c r="Q179" s="1" t="inlineStr">
        <is>
          <t>2 Yr Warranty</t>
        </is>
      </c>
      <c r="R179" s="1" t="inlineStr">
        <is>
          <t>Full GTN</t>
        </is>
      </c>
      <c r="S179" s="1" t="n">
        <v>725</v>
      </c>
      <c r="T179" s="2" t="n">
        <v>48800</v>
      </c>
      <c r="U179" s="13" t="n">
        <v>51602.4745762712</v>
      </c>
      <c r="V179" s="13" t="n">
        <v>0</v>
      </c>
      <c r="W179" s="13" t="n">
        <v>5446</v>
      </c>
      <c r="X179" s="13" t="n"/>
      <c r="Y179" s="2">
        <f>(U179*0.89-S179-V179-W179-X179)*1.18/0.92</f>
        <v/>
      </c>
      <c r="Z179" s="18">
        <f>AC179</f>
        <v/>
      </c>
      <c r="AA179" s="5" t="n"/>
      <c r="AB179" s="5" t="n"/>
      <c r="AC179" s="14" t="n">
        <v>50990</v>
      </c>
      <c r="AD179" s="5">
        <f>(Y179-AC179)/1.18*0.92</f>
        <v/>
      </c>
      <c r="AE179" s="5" t="inlineStr">
        <is>
          <t>Ok</t>
        </is>
      </c>
      <c r="AF179" s="5">
        <f>W179+X179</f>
        <v/>
      </c>
      <c r="AG179" s="5" t="n"/>
      <c r="AH179" s="13" t="n">
        <v>0</v>
      </c>
      <c r="AI179" s="13" t="n">
        <v>4930.262372881363</v>
      </c>
      <c r="AJ179" s="5" t="n"/>
      <c r="AL179" s="5" t="n"/>
      <c r="AM179" s="5" t="n">
        <v>50990</v>
      </c>
      <c r="AN179" s="5">
        <f>Y179-AM179</f>
        <v/>
      </c>
      <c r="AO179" s="5" t="n"/>
      <c r="AP179" s="5">
        <f>U179-AL179</f>
        <v/>
      </c>
      <c r="AQ179" s="20" t="n">
        <v>0</v>
      </c>
      <c r="AR179" s="20" t="n">
        <v>4930.262372881363</v>
      </c>
      <c r="AT179" s="3" t="n">
        <v>3</v>
      </c>
      <c r="AV179" s="5">
        <f>ROUNDUP((AT179/8)*80,0)</f>
        <v/>
      </c>
      <c r="AX179" s="38">
        <f>AV179*W179</f>
        <v/>
      </c>
      <c r="BA179" s="3" t="n">
        <v>1</v>
      </c>
      <c r="BB179" s="3" t="n">
        <v>-1</v>
      </c>
      <c r="BC179" s="3" t="n">
        <v>0</v>
      </c>
      <c r="BD179" s="3">
        <f>BC179+BB179+BA179</f>
        <v/>
      </c>
      <c r="BE179" s="3" t="n">
        <v>1</v>
      </c>
      <c r="BF179" s="3" t="n">
        <v>8</v>
      </c>
      <c r="BH179" s="3">
        <f>ROUNDUP(BD179*1.85,0)</f>
        <v/>
      </c>
      <c r="BJ179" s="38">
        <f>BH179*V179</f>
        <v/>
      </c>
      <c r="BL179" s="3">
        <f>U179*1.18</f>
        <v/>
      </c>
    </row>
    <row r="180">
      <c r="A180" s="1" t="inlineStr">
        <is>
          <t>82H803HQIN</t>
        </is>
      </c>
      <c r="B180" s="1">
        <f>IF(BL180&lt;40000,"Entry",IF(BL180&gt;65000,"Premium","Mainstream"))</f>
        <v/>
      </c>
      <c r="C180" s="1" t="inlineStr">
        <is>
          <t>Mainstream</t>
        </is>
      </c>
      <c r="D180" s="1" t="inlineStr">
        <is>
          <t>i5 OS Office</t>
        </is>
      </c>
      <c r="E180" s="1" t="inlineStr">
        <is>
          <t>Thin &amp; Light</t>
        </is>
      </c>
      <c r="F180" s="1" t="inlineStr">
        <is>
          <t>Slim 3</t>
        </is>
      </c>
      <c r="G180" s="1" t="inlineStr">
        <is>
          <t>IP 3 15ITL6</t>
        </is>
      </c>
      <c r="H180" s="1" t="inlineStr">
        <is>
          <t>i5</t>
        </is>
      </c>
      <c r="I180" s="1" t="inlineStr">
        <is>
          <t>11th Gen</t>
        </is>
      </c>
      <c r="J180" s="1" t="inlineStr">
        <is>
          <t>i5-1155G7</t>
        </is>
      </c>
      <c r="K180" s="1" t="inlineStr">
        <is>
          <t>8GB</t>
        </is>
      </c>
      <c r="L180" s="1" t="inlineStr">
        <is>
          <t>512GB SSD</t>
        </is>
      </c>
      <c r="M180" s="1" t="inlineStr">
        <is>
          <t>Windows 11</t>
        </is>
      </c>
      <c r="N180" s="1" t="inlineStr">
        <is>
          <t>Office 2021</t>
        </is>
      </c>
      <c r="O180" s="1" t="inlineStr">
        <is>
          <t>INTEGRATED_GRAPHICS</t>
        </is>
      </c>
      <c r="P180" s="1" t="inlineStr">
        <is>
          <t>15.6FHD_AG_300N_N</t>
        </is>
      </c>
      <c r="Q180" s="1" t="inlineStr">
        <is>
          <t>1 Yr. Onsite + 1 Yr. ADP</t>
        </is>
      </c>
      <c r="R180" s="1" t="inlineStr">
        <is>
          <t>Zero GTN</t>
        </is>
      </c>
      <c r="S180" s="1" t="n">
        <v>0</v>
      </c>
      <c r="T180" s="2" t="n">
        <v>37390.48813559322</v>
      </c>
      <c r="U180" s="13" t="n">
        <v>38932.20338983051</v>
      </c>
      <c r="V180" s="13" t="n">
        <v>1695</v>
      </c>
      <c r="W180" s="13" t="n">
        <v>2161.271186440681</v>
      </c>
      <c r="X180" s="13" t="n"/>
      <c r="Y180" s="2">
        <f>(U180*0.98-S180-V180-W180-X180)*1.18/0.92</f>
        <v/>
      </c>
      <c r="Z180" s="18">
        <f>AC180</f>
        <v/>
      </c>
      <c r="AA180" s="5" t="inlineStr">
        <is>
          <t>Ok</t>
        </is>
      </c>
      <c r="AB180" s="5" t="n"/>
      <c r="AC180" s="14" t="n">
        <v>43990</v>
      </c>
      <c r="AD180" s="5">
        <f>(Y180-AC180)/1.18*0.92</f>
        <v/>
      </c>
      <c r="AE180" s="5" t="n"/>
      <c r="AF180" s="5">
        <f>W180+X180</f>
        <v/>
      </c>
      <c r="AG180" s="5" t="n"/>
      <c r="AH180" s="13" t="n">
        <v>1695</v>
      </c>
      <c r="AI180" s="13" t="n">
        <v>2161.271186440681</v>
      </c>
      <c r="AJ180" s="5" t="n"/>
      <c r="AL180" s="5" t="n"/>
      <c r="AM180" s="5" t="n">
        <v>43989.99999999999</v>
      </c>
      <c r="AN180" s="5">
        <f>Y180-AM180</f>
        <v/>
      </c>
      <c r="AO180" s="5" t="n"/>
      <c r="AP180" s="5">
        <f>U180-AL180</f>
        <v/>
      </c>
      <c r="AQ180" s="20" t="n">
        <v>1695</v>
      </c>
      <c r="AR180" s="20" t="n">
        <v>2161.271186440681</v>
      </c>
      <c r="AT180" s="3" t="n">
        <v>6</v>
      </c>
      <c r="AV180" s="5">
        <f>ROUNDUP((AT180/8)*80,0)</f>
        <v/>
      </c>
      <c r="AX180" s="38">
        <f>AV180*W180</f>
        <v/>
      </c>
      <c r="BA180" s="3" t="n">
        <v>0</v>
      </c>
      <c r="BB180" s="3" t="n">
        <v>0</v>
      </c>
      <c r="BC180" s="3" t="n">
        <v>0</v>
      </c>
      <c r="BD180" s="3">
        <f>BC180+BB180+BA180</f>
        <v/>
      </c>
      <c r="BE180" s="3" t="n">
        <v>2</v>
      </c>
      <c r="BF180" s="3" t="n">
        <v>0</v>
      </c>
      <c r="BH180" s="3">
        <f>ROUNDUP(BD180*1.85,0)</f>
        <v/>
      </c>
      <c r="BJ180" s="38">
        <f>BH180*V180</f>
        <v/>
      </c>
      <c r="BL180" s="3">
        <f>U180*1.18</f>
        <v/>
      </c>
    </row>
    <row r="181">
      <c r="A181" s="1" t="inlineStr">
        <is>
          <t>82JQ011EIN</t>
        </is>
      </c>
      <c r="B181" s="1">
        <f>IF(BL181&lt;40000,"Entry",IF(BL181&gt;65000,"Premium","Mainstream"))</f>
        <v/>
      </c>
      <c r="C181" s="1" t="inlineStr">
        <is>
          <t>Premium</t>
        </is>
      </c>
      <c r="D181" s="1" t="inlineStr">
        <is>
          <t>R7 OS 8GB Graphics Office</t>
        </is>
      </c>
      <c r="E181" s="1" t="inlineStr">
        <is>
          <t>Gaming</t>
        </is>
      </c>
      <c r="F181" s="1" t="inlineStr">
        <is>
          <t>Legion 5 Pro</t>
        </is>
      </c>
      <c r="G181" s="1" t="inlineStr">
        <is>
          <t>Legion 5 Pro 16ACH6H</t>
        </is>
      </c>
      <c r="H181" s="1" t="inlineStr">
        <is>
          <t>R7</t>
        </is>
      </c>
      <c r="I181" s="1" t="inlineStr">
        <is>
          <t>5XXXH</t>
        </is>
      </c>
      <c r="J181" s="1" t="inlineStr">
        <is>
          <t>Ryzen 7 5800H</t>
        </is>
      </c>
      <c r="K181" s="1" t="inlineStr">
        <is>
          <t>32GB</t>
        </is>
      </c>
      <c r="L181" s="1" t="inlineStr">
        <is>
          <t>1TB SSD</t>
        </is>
      </c>
      <c r="M181" s="1" t="inlineStr">
        <is>
          <t>Win11</t>
        </is>
      </c>
      <c r="N181" s="1" t="inlineStr">
        <is>
          <t>OFFICE 2021</t>
        </is>
      </c>
      <c r="O181" s="1" t="inlineStr">
        <is>
          <t>RTX 3070 8GB</t>
        </is>
      </c>
      <c r="P181" s="1" t="inlineStr">
        <is>
          <t>16WQXGA_AG_500N_165_N_HDR_SRGB</t>
        </is>
      </c>
      <c r="Q181" s="1" t="inlineStr">
        <is>
          <t>3 Yr Warranty + 1 Yr LUS + 1 Yr ADP</t>
        </is>
      </c>
      <c r="R181" s="7" t="inlineStr">
        <is>
          <t>Full GTN</t>
        </is>
      </c>
      <c r="S181" s="1" t="n">
        <v>2457</v>
      </c>
      <c r="T181" s="2">
        <f>U181*0.98*0.965</f>
        <v/>
      </c>
      <c r="U181" s="13" t="n">
        <v>122312.593220339</v>
      </c>
      <c r="V181" s="13" t="n">
        <v>0</v>
      </c>
      <c r="W181" s="13" t="n">
        <v>11626.5566101695</v>
      </c>
      <c r="X181" s="13" t="n"/>
      <c r="Y181" s="2">
        <f>(U181*0.88-S181-V181-W181-X181)*1.18/0.92</f>
        <v/>
      </c>
      <c r="Z181" s="1" t="n">
        <v>119990</v>
      </c>
      <c r="AA181" s="5" t="n"/>
      <c r="AB181" s="5" t="n"/>
      <c r="AC181" s="14" t="n">
        <v>119990</v>
      </c>
      <c r="AD181" s="5">
        <f>(Y181-AC181)/1.18*0.92</f>
        <v/>
      </c>
      <c r="AE181" s="5" t="n"/>
      <c r="AF181" s="5">
        <f>W181+X181</f>
        <v/>
      </c>
      <c r="AG181" s="5" t="n"/>
      <c r="AH181" s="13" t="n">
        <v>0</v>
      </c>
      <c r="AI181" s="13" t="n">
        <v>11626.5566101695</v>
      </c>
      <c r="AJ181" s="5" t="n"/>
      <c r="AL181" s="5" t="n"/>
      <c r="AM181" s="5" t="n">
        <v>119990</v>
      </c>
      <c r="AN181" s="5">
        <f>Y181-AM181</f>
        <v/>
      </c>
      <c r="AO181" s="5" t="n"/>
      <c r="AP181" s="5">
        <f>U181-AL181</f>
        <v/>
      </c>
      <c r="AQ181" s="20" t="n">
        <v>0</v>
      </c>
      <c r="AR181" s="20" t="n">
        <v>11626.5566101695</v>
      </c>
      <c r="AT181" s="3" t="n">
        <v>2</v>
      </c>
      <c r="AV181" s="5">
        <f>ROUNDUP((AT181/8)*80,0)</f>
        <v/>
      </c>
      <c r="AX181" s="38">
        <f>AV181*W181</f>
        <v/>
      </c>
      <c r="BA181" s="3" t="n">
        <v>0</v>
      </c>
      <c r="BB181" s="3" t="n">
        <v>36</v>
      </c>
      <c r="BC181" s="3" t="n">
        <v>0</v>
      </c>
      <c r="BD181" s="3">
        <f>BC181+BB181+BA181</f>
        <v/>
      </c>
      <c r="BE181" s="3" t="n">
        <v>28</v>
      </c>
      <c r="BF181" s="3" t="n">
        <v>0</v>
      </c>
      <c r="BH181" s="3">
        <f>ROUNDUP(BD181*1.85,0)</f>
        <v/>
      </c>
      <c r="BJ181" s="38">
        <f>BH181*V181</f>
        <v/>
      </c>
      <c r="BL181" s="3">
        <f>U181*1.18</f>
        <v/>
      </c>
    </row>
    <row r="182">
      <c r="A182" s="1" t="inlineStr">
        <is>
          <t>82H803TVIN</t>
        </is>
      </c>
      <c r="B182" s="1">
        <f>IF(BL182&lt;40000,"Entry",IF(BL182&gt;65000,"Premium","Mainstream"))</f>
        <v/>
      </c>
      <c r="C182" s="1" t="inlineStr">
        <is>
          <t>Mainstream</t>
        </is>
      </c>
      <c r="D182" s="1" t="inlineStr">
        <is>
          <t>i5 OS Office</t>
        </is>
      </c>
      <c r="E182" s="1" t="inlineStr">
        <is>
          <t>Thin &amp; Light</t>
        </is>
      </c>
      <c r="F182" s="1" t="inlineStr">
        <is>
          <t>Slim 3</t>
        </is>
      </c>
      <c r="G182" s="1" t="inlineStr">
        <is>
          <t>IP 3 15ITL6</t>
        </is>
      </c>
      <c r="H182" s="1" t="inlineStr">
        <is>
          <t>i5</t>
        </is>
      </c>
      <c r="I182" s="1" t="inlineStr">
        <is>
          <t>11th Gen</t>
        </is>
      </c>
      <c r="J182" s="1" t="inlineStr">
        <is>
          <t>I5-1155G7</t>
        </is>
      </c>
      <c r="K182" s="1" t="inlineStr">
        <is>
          <t>8GB</t>
        </is>
      </c>
      <c r="L182" s="1" t="inlineStr">
        <is>
          <t>512GB SSD</t>
        </is>
      </c>
      <c r="M182" s="1" t="inlineStr">
        <is>
          <t>Windows 11</t>
        </is>
      </c>
      <c r="N182" s="1" t="inlineStr">
        <is>
          <t>OFFICE 2021</t>
        </is>
      </c>
      <c r="O182" s="1" t="inlineStr">
        <is>
          <t>INTEGRATED_GRAPHICS</t>
        </is>
      </c>
      <c r="P182" s="1" t="inlineStr">
        <is>
          <t>15.6FHD_AG_300N_N</t>
        </is>
      </c>
      <c r="Q182" s="1" t="inlineStr">
        <is>
          <t>1 Yr. Onsite + 1 Yr. ADP</t>
        </is>
      </c>
      <c r="R182" s="1" t="inlineStr">
        <is>
          <t>Zero GTN</t>
        </is>
      </c>
      <c r="S182" s="1" t="n">
        <v>0</v>
      </c>
      <c r="T182" s="2" t="n">
        <v>37390.48813559322</v>
      </c>
      <c r="U182" s="13" t="n">
        <v>38932.20338983051</v>
      </c>
      <c r="V182" s="13" t="n">
        <v>1695</v>
      </c>
      <c r="W182" s="13" t="n">
        <v>2161.271186440681</v>
      </c>
      <c r="X182" s="13" t="n"/>
      <c r="Y182" s="2">
        <f>(U182*0.98-S182-V182-W182-X182)*1.18/0.92</f>
        <v/>
      </c>
      <c r="Z182" s="18">
        <f>AC182</f>
        <v/>
      </c>
      <c r="AA182" s="5" t="inlineStr">
        <is>
          <t>Ok</t>
        </is>
      </c>
      <c r="AB182" s="5" t="n"/>
      <c r="AC182" s="14" t="n">
        <v>43990</v>
      </c>
      <c r="AD182" s="5">
        <f>(Y182-AC182)/1.18*0.92</f>
        <v/>
      </c>
      <c r="AE182" s="5" t="n"/>
      <c r="AF182" s="5">
        <f>W182+X182</f>
        <v/>
      </c>
      <c r="AG182" s="5" t="n"/>
      <c r="AH182" s="13" t="n">
        <v>1695</v>
      </c>
      <c r="AI182" s="13" t="n">
        <v>2161.271186440681</v>
      </c>
      <c r="AJ182" s="5" t="n"/>
      <c r="AL182" s="5" t="n"/>
      <c r="AM182" s="5" t="n">
        <v>43989.99999999999</v>
      </c>
      <c r="AN182" s="5">
        <f>Y182-AM182</f>
        <v/>
      </c>
      <c r="AO182" s="5" t="n"/>
      <c r="AP182" s="5">
        <f>U182-AL182</f>
        <v/>
      </c>
      <c r="AQ182" s="20" t="n">
        <v>1695</v>
      </c>
      <c r="AR182" s="20" t="n">
        <v>2161.271186440681</v>
      </c>
      <c r="AT182" s="3" t="n">
        <v>4</v>
      </c>
      <c r="AV182" s="5">
        <f>ROUNDUP((AT182/8)*80,0)</f>
        <v/>
      </c>
      <c r="AX182" s="38">
        <f>AV182*W182</f>
        <v/>
      </c>
      <c r="BA182" s="3" t="n">
        <v>0</v>
      </c>
      <c r="BB182" s="3" t="n">
        <v>0</v>
      </c>
      <c r="BC182" s="3" t="n">
        <v>0</v>
      </c>
      <c r="BD182" s="3">
        <f>BC182+BB182+BA182</f>
        <v/>
      </c>
      <c r="BE182" s="3" t="n">
        <v>0</v>
      </c>
      <c r="BF182" s="3" t="n">
        <v>0</v>
      </c>
      <c r="BH182" s="3">
        <f>ROUNDUP(BD182*1.85,0)</f>
        <v/>
      </c>
      <c r="BJ182" s="38">
        <f>BH182*V182</f>
        <v/>
      </c>
      <c r="BL182" s="3">
        <f>U182*1.18</f>
        <v/>
      </c>
    </row>
    <row r="183">
      <c r="A183" s="1" t="inlineStr">
        <is>
          <t>81X700F7IN</t>
        </is>
      </c>
      <c r="B183" s="1">
        <f>IF(BL183&lt;40000,"Entry",IF(BL183&gt;65000,"Premium","Mainstream"))</f>
        <v/>
      </c>
      <c r="C183" s="1" t="inlineStr">
        <is>
          <t>Mainstream</t>
        </is>
      </c>
      <c r="D183" s="1" t="inlineStr">
        <is>
          <t>i3 OS Office</t>
        </is>
      </c>
      <c r="E183" s="1" t="inlineStr">
        <is>
          <t>Thin &amp; Light</t>
        </is>
      </c>
      <c r="F183" s="1" t="inlineStr">
        <is>
          <t>Slim 3</t>
        </is>
      </c>
      <c r="G183" s="1" t="inlineStr">
        <is>
          <t>IdeaPad 3 14ITL05</t>
        </is>
      </c>
      <c r="H183" s="1" t="inlineStr">
        <is>
          <t>i3</t>
        </is>
      </c>
      <c r="I183" s="1" t="inlineStr">
        <is>
          <t>11th Gen</t>
        </is>
      </c>
      <c r="J183" s="1" t="inlineStr">
        <is>
          <t>i3-1115G4</t>
        </is>
      </c>
      <c r="K183" s="1" t="inlineStr">
        <is>
          <t>8GB</t>
        </is>
      </c>
      <c r="L183" s="1" t="inlineStr">
        <is>
          <t>512GB SSD</t>
        </is>
      </c>
      <c r="M183" s="1" t="inlineStr">
        <is>
          <t>Win11</t>
        </is>
      </c>
      <c r="N183" s="1" t="inlineStr">
        <is>
          <t>Office 2021</t>
        </is>
      </c>
      <c r="O183" s="1" t="inlineStr">
        <is>
          <t>INTEGRATED_GRAPHICS</t>
        </is>
      </c>
      <c r="P183" s="1" t="inlineStr">
        <is>
          <t>14.0FHD_TN_AG_220N_N</t>
        </is>
      </c>
      <c r="Q183" s="1" t="inlineStr">
        <is>
          <t>2 Yr Warranty</t>
        </is>
      </c>
      <c r="R183" s="1" t="inlineStr">
        <is>
          <t>Full GTN</t>
        </is>
      </c>
      <c r="S183" s="1" t="n"/>
      <c r="T183" s="2" t="n">
        <v>32850.73281355933</v>
      </c>
      <c r="U183" s="13" t="n">
        <v>34736.94915254238</v>
      </c>
      <c r="V183" s="13" t="n">
        <v>1140.63050847458</v>
      </c>
      <c r="W183" s="13" t="n">
        <v>3275</v>
      </c>
      <c r="X183" s="13" t="n"/>
      <c r="Y183" s="2">
        <f>(U183*0.89-S183-V183-W183-X183)*1.18/0.92</f>
        <v/>
      </c>
      <c r="Z183" s="18">
        <f>AC183</f>
        <v/>
      </c>
      <c r="AA183" s="5" t="inlineStr">
        <is>
          <t>Ok</t>
        </is>
      </c>
      <c r="AB183" s="5" t="n"/>
      <c r="AC183" s="14" t="n">
        <v>33990</v>
      </c>
      <c r="AD183" s="5">
        <f>(Y183-AC183)/1.18*0.92</f>
        <v/>
      </c>
      <c r="AE183" s="5" t="n"/>
      <c r="AF183" s="5">
        <f>W183+X183</f>
        <v/>
      </c>
      <c r="AG183" s="5" t="n"/>
      <c r="AH183" s="13" t="n">
        <v>1140.63050847458</v>
      </c>
      <c r="AI183" s="13" t="n">
        <v>4054</v>
      </c>
      <c r="AJ183" s="5" t="n"/>
      <c r="AL183" s="5" t="n"/>
      <c r="AM183" s="5" t="n">
        <v>32990</v>
      </c>
      <c r="AN183" s="5">
        <f>Y183-AM183</f>
        <v/>
      </c>
      <c r="AO183" s="5" t="n"/>
      <c r="AP183" s="5">
        <f>U183-AL183</f>
        <v/>
      </c>
      <c r="AQ183" s="20" t="n">
        <v>1140.63050847458</v>
      </c>
      <c r="AR183" s="20" t="n">
        <v>4054.237288135595</v>
      </c>
      <c r="AT183" s="3" t="n">
        <v>0</v>
      </c>
      <c r="AV183" s="5">
        <f>ROUNDUP((AT183/8)*80,0)</f>
        <v/>
      </c>
      <c r="AX183" s="38">
        <f>AV183*W183</f>
        <v/>
      </c>
      <c r="BA183" s="3" t="n">
        <v>0</v>
      </c>
      <c r="BB183" s="3" t="n">
        <v>0</v>
      </c>
      <c r="BC183" s="3" t="n">
        <v>0</v>
      </c>
      <c r="BD183" s="3">
        <f>BC183+BB183+BA183</f>
        <v/>
      </c>
      <c r="BE183" s="3" t="n">
        <v>0</v>
      </c>
      <c r="BF183" s="3" t="n">
        <v>0</v>
      </c>
      <c r="BH183" s="3">
        <f>ROUNDUP(BD183*1.85,0)</f>
        <v/>
      </c>
      <c r="BJ183" s="38">
        <f>BH183*V183</f>
        <v/>
      </c>
      <c r="BL183" s="3">
        <f>U183*1.18</f>
        <v/>
      </c>
    </row>
    <row r="184">
      <c r="A184" s="1" t="inlineStr">
        <is>
          <t>82H802L3IN</t>
        </is>
      </c>
      <c r="B184" s="1">
        <f>IF(BL184&lt;40000,"Entry",IF(BL184&gt;65000,"Premium","Mainstream"))</f>
        <v/>
      </c>
      <c r="C184" s="1" t="inlineStr">
        <is>
          <t>Mainstream</t>
        </is>
      </c>
      <c r="D184" s="1" t="inlineStr">
        <is>
          <t>i3 OS Office</t>
        </is>
      </c>
      <c r="E184" s="1" t="inlineStr">
        <is>
          <t>Thin &amp; Light</t>
        </is>
      </c>
      <c r="F184" s="1" t="inlineStr">
        <is>
          <t>Slim 3</t>
        </is>
      </c>
      <c r="G184" s="1" t="inlineStr">
        <is>
          <t>IP 3 15ITL6</t>
        </is>
      </c>
      <c r="H184" s="1" t="inlineStr">
        <is>
          <t>i3</t>
        </is>
      </c>
      <c r="I184" s="1" t="inlineStr">
        <is>
          <t>11th Gen</t>
        </is>
      </c>
      <c r="J184" s="1" t="inlineStr">
        <is>
          <t>i3-1115G4</t>
        </is>
      </c>
      <c r="K184" s="1" t="inlineStr">
        <is>
          <t>8GB</t>
        </is>
      </c>
      <c r="L184" s="1" t="inlineStr">
        <is>
          <t>512GB SSD</t>
        </is>
      </c>
      <c r="M184" s="1" t="inlineStr">
        <is>
          <t>Win11</t>
        </is>
      </c>
      <c r="N184" s="1" t="inlineStr">
        <is>
          <t>Office 2021</t>
        </is>
      </c>
      <c r="O184" s="1" t="inlineStr">
        <is>
          <t>INTEGRATED_GRAPHICS</t>
        </is>
      </c>
      <c r="P184" s="1" t="inlineStr">
        <is>
          <t>15.6FHD_TN_AG_250N_N</t>
        </is>
      </c>
      <c r="Q184" s="1" t="inlineStr">
        <is>
          <t>2 Yr Warranty</t>
        </is>
      </c>
      <c r="R184" s="7" t="inlineStr">
        <is>
          <t>Full GTN</t>
        </is>
      </c>
      <c r="S184" s="1" t="n">
        <v>725</v>
      </c>
      <c r="T184" s="2" t="n">
        <v>33652.86273050847</v>
      </c>
      <c r="U184" s="13" t="n">
        <v>35585.13559322034</v>
      </c>
      <c r="V184" s="13" t="n">
        <v>390.8554237288081</v>
      </c>
      <c r="W184" s="13" t="n">
        <v>3275</v>
      </c>
      <c r="X184" s="13" t="n"/>
      <c r="Y184" s="2">
        <f>(U184*0.89-S184-V184-W184-X184)*1.18/0.92</f>
        <v/>
      </c>
      <c r="Z184" s="18">
        <f>AC184</f>
        <v/>
      </c>
      <c r="AA184" s="5" t="inlineStr">
        <is>
          <t>Ok</t>
        </is>
      </c>
      <c r="AB184" s="5" t="n"/>
      <c r="AC184" s="14" t="n">
        <v>34990</v>
      </c>
      <c r="AD184" s="5">
        <f>(Y184-AC184)/1.18*0.92</f>
        <v/>
      </c>
      <c r="AE184" s="5" t="n"/>
      <c r="AF184" s="5">
        <f>W184+X184</f>
        <v/>
      </c>
      <c r="AG184" s="5" t="n"/>
      <c r="AH184" s="13" t="n">
        <v>390.8554237288081</v>
      </c>
      <c r="AI184" s="13" t="n">
        <v>4054</v>
      </c>
      <c r="AJ184" s="5" t="n"/>
      <c r="AL184" s="5" t="n"/>
      <c r="AM184" s="5" t="n">
        <v>33990</v>
      </c>
      <c r="AN184" s="5">
        <f>Y184-AM184</f>
        <v/>
      </c>
      <c r="AO184" s="5" t="n"/>
      <c r="AP184" s="5">
        <f>U184-AL184</f>
        <v/>
      </c>
      <c r="AQ184" s="20" t="n">
        <v>390.8554237288081</v>
      </c>
      <c r="AR184" s="20" t="n">
        <v>4054.237288135599</v>
      </c>
      <c r="AT184" s="3" t="n">
        <v>0</v>
      </c>
      <c r="AV184" s="5">
        <f>ROUNDUP((AT184/8)*80,0)</f>
        <v/>
      </c>
      <c r="AX184" s="38">
        <f>AV184*W184</f>
        <v/>
      </c>
      <c r="BA184" s="3" t="n">
        <v>0</v>
      </c>
      <c r="BB184" s="3" t="n">
        <v>0</v>
      </c>
      <c r="BC184" s="3" t="n">
        <v>0</v>
      </c>
      <c r="BD184" s="3">
        <f>BC184+BB184+BA184</f>
        <v/>
      </c>
      <c r="BE184" s="3" t="n">
        <v>0</v>
      </c>
      <c r="BF184" s="3" t="n">
        <v>0</v>
      </c>
      <c r="BH184" s="3">
        <f>ROUNDUP(BD184*1.85,0)</f>
        <v/>
      </c>
      <c r="BJ184" s="38">
        <f>BH184*V184</f>
        <v/>
      </c>
      <c r="BL184" s="3">
        <f>U184*1.18</f>
        <v/>
      </c>
    </row>
    <row r="185">
      <c r="A185" s="1" t="inlineStr">
        <is>
          <t>82H803E6IN</t>
        </is>
      </c>
      <c r="B185" s="1">
        <f>IF(BL185&lt;40000,"Entry",IF(BL185&gt;65000,"Premium","Mainstream"))</f>
        <v/>
      </c>
      <c r="C185" s="1" t="inlineStr">
        <is>
          <t>Mainstream</t>
        </is>
      </c>
      <c r="D185" s="1" t="inlineStr">
        <is>
          <t>i3 OS Office</t>
        </is>
      </c>
      <c r="E185" s="1" t="inlineStr">
        <is>
          <t>Thin &amp; Light</t>
        </is>
      </c>
      <c r="F185" s="1" t="inlineStr">
        <is>
          <t>Slim 3</t>
        </is>
      </c>
      <c r="G185" s="1" t="inlineStr">
        <is>
          <t>IP 3 15ITL6</t>
        </is>
      </c>
      <c r="H185" s="1" t="inlineStr">
        <is>
          <t>i3</t>
        </is>
      </c>
      <c r="I185" s="1" t="inlineStr">
        <is>
          <t>11th Gen</t>
        </is>
      </c>
      <c r="J185" s="1" t="inlineStr">
        <is>
          <t xml:space="preserve"> I3-1115G4</t>
        </is>
      </c>
      <c r="K185" s="1" t="inlineStr">
        <is>
          <t>8GB</t>
        </is>
      </c>
      <c r="L185" s="1" t="inlineStr">
        <is>
          <t>512GB SSD</t>
        </is>
      </c>
      <c r="M185" s="1" t="inlineStr">
        <is>
          <t>Windows 11</t>
        </is>
      </c>
      <c r="N185" s="1" t="inlineStr">
        <is>
          <t>OFFICE 2021</t>
        </is>
      </c>
      <c r="O185" s="1" t="inlineStr">
        <is>
          <t>INTEGRATED_GRAPHICS</t>
        </is>
      </c>
      <c r="P185" s="1" t="inlineStr">
        <is>
          <t>15.6FHD_TN_AG_250N_N</t>
        </is>
      </c>
      <c r="Q185" s="1" t="inlineStr">
        <is>
          <t>2 Yr Warranty</t>
        </is>
      </c>
      <c r="R185" s="1" t="inlineStr">
        <is>
          <t>Full GTN</t>
        </is>
      </c>
      <c r="S185" s="1" t="n">
        <v>0</v>
      </c>
      <c r="T185" s="2" t="n">
        <v>32901.44797966102</v>
      </c>
      <c r="U185" s="13" t="n">
        <v>34790.57627118644</v>
      </c>
      <c r="V185" s="13" t="n">
        <v>408.6976271186359</v>
      </c>
      <c r="W185" s="13" t="n">
        <v>3275</v>
      </c>
      <c r="X185" s="13" t="n"/>
      <c r="Y185" s="2">
        <f>(U185*0.89-S185-V185-W185-X185)*1.18/0.92</f>
        <v/>
      </c>
      <c r="Z185" s="18">
        <f>AC185</f>
        <v/>
      </c>
      <c r="AA185" s="5" t="inlineStr">
        <is>
          <t>Ok</t>
        </is>
      </c>
      <c r="AB185" s="5" t="n"/>
      <c r="AC185" s="14" t="n">
        <v>34990</v>
      </c>
      <c r="AD185" s="5">
        <f>(Y185-AC185)/1.18*0.92</f>
        <v/>
      </c>
      <c r="AE185" s="5" t="n"/>
      <c r="AF185" s="5">
        <f>W185+X185</f>
        <v/>
      </c>
      <c r="AG185" s="5" t="n"/>
      <c r="AH185" s="13" t="n">
        <v>408.6976271186359</v>
      </c>
      <c r="AI185" s="13" t="n">
        <v>4054</v>
      </c>
      <c r="AJ185" s="5" t="n"/>
      <c r="AL185" s="5" t="n"/>
      <c r="AM185" s="5" t="n">
        <v>33990</v>
      </c>
      <c r="AN185" s="5">
        <f>Y185-AM185</f>
        <v/>
      </c>
      <c r="AO185" s="5" t="n"/>
      <c r="AP185" s="5">
        <f>U185-AL185</f>
        <v/>
      </c>
      <c r="AQ185" s="20" t="n">
        <v>408.6976271186359</v>
      </c>
      <c r="AR185" s="20" t="n">
        <v>4054.237288135599</v>
      </c>
      <c r="AT185" s="3" t="n">
        <v>0</v>
      </c>
      <c r="AV185" s="5">
        <f>ROUNDUP((AT185/8)*80,0)</f>
        <v/>
      </c>
      <c r="AX185" s="38">
        <f>AV185*W185</f>
        <v/>
      </c>
      <c r="BA185" s="3" t="n">
        <v>0</v>
      </c>
      <c r="BB185" s="3" t="n">
        <v>0</v>
      </c>
      <c r="BC185" s="3" t="n">
        <v>0</v>
      </c>
      <c r="BD185" s="3">
        <f>BC185+BB185+BA185</f>
        <v/>
      </c>
      <c r="BE185" s="3" t="n">
        <v>1</v>
      </c>
      <c r="BF185" s="3" t="n">
        <v>0</v>
      </c>
      <c r="BH185" s="3">
        <f>ROUNDUP(BD185*1.85,0)</f>
        <v/>
      </c>
      <c r="BJ185" s="38">
        <f>BH185*V185</f>
        <v/>
      </c>
      <c r="BL185" s="3">
        <f>U185*1.18</f>
        <v/>
      </c>
    </row>
    <row r="186">
      <c r="A186" s="1" t="inlineStr">
        <is>
          <t>82RG00EKIN</t>
        </is>
      </c>
      <c r="B186" s="1">
        <f>IF(BL186&lt;40000,"Entry",IF(BL186&gt;65000,"Premium","Mainstream"))</f>
        <v/>
      </c>
      <c r="C186" s="1" t="inlineStr">
        <is>
          <t>Premium</t>
        </is>
      </c>
      <c r="D186" s="1" t="inlineStr">
        <is>
          <t>R7 OS 8GB Graphics Office</t>
        </is>
      </c>
      <c r="E186" s="1" t="inlineStr">
        <is>
          <t>Gaming</t>
        </is>
      </c>
      <c r="F186" s="1" t="inlineStr">
        <is>
          <t>Legion 5 Pro</t>
        </is>
      </c>
      <c r="G186" s="1" t="inlineStr">
        <is>
          <t>Legion 5 Pro 16ARH7H</t>
        </is>
      </c>
      <c r="H186" s="1" t="inlineStr">
        <is>
          <t>R7</t>
        </is>
      </c>
      <c r="I186" s="1" t="inlineStr">
        <is>
          <t>6XXXH</t>
        </is>
      </c>
      <c r="J186" s="1" t="inlineStr">
        <is>
          <t>R7-6800H</t>
        </is>
      </c>
      <c r="K186" s="1" t="inlineStr">
        <is>
          <t>32GB</t>
        </is>
      </c>
      <c r="L186" s="1" t="inlineStr">
        <is>
          <t>1TB SSD</t>
        </is>
      </c>
      <c r="M186" s="1" t="inlineStr">
        <is>
          <t>Win11</t>
        </is>
      </c>
      <c r="N186" s="1" t="inlineStr">
        <is>
          <t>Office 2021</t>
        </is>
      </c>
      <c r="O186" s="1" t="inlineStr">
        <is>
          <t>RTX 3070 8GB</t>
        </is>
      </c>
      <c r="P186" s="1" t="inlineStr">
        <is>
          <t>16WUXGA_AG_300N_165_N</t>
        </is>
      </c>
      <c r="Q186" s="1" t="inlineStr">
        <is>
          <t>3 Yr Warranty + 3 Yr LUS + 1 Yr ADP</t>
        </is>
      </c>
      <c r="R186" s="1" t="inlineStr">
        <is>
          <t>Full GTN</t>
        </is>
      </c>
      <c r="S186" s="1" t="n">
        <v>2457</v>
      </c>
      <c r="T186" s="2">
        <f>U186*0.98*0.965</f>
        <v/>
      </c>
      <c r="U186" s="13" t="n">
        <v>127227.8474576271</v>
      </c>
      <c r="V186" s="13" t="n">
        <v>0</v>
      </c>
      <c r="W186" s="13" t="n">
        <v>12053.67525423729</v>
      </c>
      <c r="X186" s="13" t="n"/>
      <c r="Y186" s="2">
        <f>(U186*0.88-S186-V186-W186-X186)*1.18/0.92</f>
        <v/>
      </c>
      <c r="Z186" s="1" t="n">
        <v>124990</v>
      </c>
      <c r="AA186" s="5" t="n"/>
      <c r="AB186" s="5" t="n"/>
      <c r="AC186" s="14" t="n">
        <v>124990</v>
      </c>
      <c r="AD186" s="5">
        <f>(Y186-AC186)/1.18*0.92</f>
        <v/>
      </c>
      <c r="AE186" s="5" t="n"/>
      <c r="AF186" s="5">
        <f>W186+X186</f>
        <v/>
      </c>
      <c r="AG186" s="5" t="n"/>
      <c r="AH186" s="13" t="n">
        <v>0</v>
      </c>
      <c r="AI186" s="13" t="n">
        <v>12053.67525423729</v>
      </c>
      <c r="AJ186" s="5" t="n"/>
      <c r="AL186" s="5" t="n"/>
      <c r="AM186" s="5" t="n">
        <v>124990</v>
      </c>
      <c r="AN186" s="5">
        <f>Y186-AM186</f>
        <v/>
      </c>
      <c r="AO186" s="5" t="n"/>
      <c r="AP186" s="5">
        <f>U186-AL186</f>
        <v/>
      </c>
      <c r="AQ186" s="20" t="n">
        <v>0</v>
      </c>
      <c r="AR186" s="20" t="n">
        <v>12053.67525423729</v>
      </c>
      <c r="AT186" s="3" t="n">
        <v>0</v>
      </c>
      <c r="AV186" s="5">
        <f>ROUNDUP((AT186/8)*80,0)</f>
        <v/>
      </c>
      <c r="AX186" s="38">
        <f>AV186*W186</f>
        <v/>
      </c>
      <c r="BA186" s="3" t="n">
        <v>0</v>
      </c>
      <c r="BB186" s="3" t="n">
        <v>0</v>
      </c>
      <c r="BC186" s="3" t="n">
        <v>0</v>
      </c>
      <c r="BD186" s="3">
        <f>BC186+BB186+BA186</f>
        <v/>
      </c>
      <c r="BE186" s="3" t="n">
        <v>0</v>
      </c>
      <c r="BF186" s="3" t="n">
        <v>0</v>
      </c>
      <c r="BH186" s="3">
        <f>ROUNDUP(BD186*1.85,0)</f>
        <v/>
      </c>
      <c r="BJ186" s="38">
        <f>BH186*V186</f>
        <v/>
      </c>
      <c r="BL186" s="3">
        <f>U186*1.18</f>
        <v/>
      </c>
    </row>
    <row r="187">
      <c r="A187" s="1" t="inlineStr">
        <is>
          <t>82RG00AGIN</t>
        </is>
      </c>
      <c r="B187" s="1">
        <f>IF(BL187&lt;40000,"Entry",IF(BL187&gt;65000,"Premium","Mainstream"))</f>
        <v/>
      </c>
      <c r="C187" s="1" t="inlineStr">
        <is>
          <t>Premium</t>
        </is>
      </c>
      <c r="D187" s="1" t="inlineStr">
        <is>
          <t>R7 OS 8GB Graphics Office</t>
        </is>
      </c>
      <c r="E187" s="1" t="inlineStr">
        <is>
          <t>Gaming</t>
        </is>
      </c>
      <c r="F187" s="1" t="inlineStr">
        <is>
          <t>Legion 5 Pro</t>
        </is>
      </c>
      <c r="G187" s="1" t="inlineStr">
        <is>
          <t>Legion 5 Pro 16ARH7H</t>
        </is>
      </c>
      <c r="H187" s="1" t="inlineStr">
        <is>
          <t>R7</t>
        </is>
      </c>
      <c r="I187" s="1" t="inlineStr">
        <is>
          <t>6XXXH</t>
        </is>
      </c>
      <c r="J187" s="1" t="inlineStr">
        <is>
          <t>Ryzen 7 6800H</t>
        </is>
      </c>
      <c r="K187" s="1" t="inlineStr">
        <is>
          <t>32GB</t>
        </is>
      </c>
      <c r="L187" s="1" t="inlineStr">
        <is>
          <t>1TB SSD</t>
        </is>
      </c>
      <c r="M187" s="1" t="inlineStr">
        <is>
          <t>Windows 11</t>
        </is>
      </c>
      <c r="N187" s="1" t="inlineStr">
        <is>
          <t>Office 2021</t>
        </is>
      </c>
      <c r="O187" s="1" t="inlineStr">
        <is>
          <t>RTX 3070 8GB</t>
        </is>
      </c>
      <c r="P187" s="1" t="inlineStr">
        <is>
          <t>16WUXGA_AG_300N_165_N</t>
        </is>
      </c>
      <c r="Q187" s="1" t="inlineStr">
        <is>
          <t>3 Yr Warranty + 3 Yr LUS + 1 Yr ADP</t>
        </is>
      </c>
      <c r="R187" s="1" t="inlineStr">
        <is>
          <t>Full GTN</t>
        </is>
      </c>
      <c r="S187" s="1" t="n">
        <v>2457</v>
      </c>
      <c r="T187" s="2">
        <f>U187*0.98*0.965</f>
        <v/>
      </c>
      <c r="U187" s="13" t="n">
        <v>127227.8474576271</v>
      </c>
      <c r="V187" s="13" t="n">
        <v>0</v>
      </c>
      <c r="W187" s="13" t="n">
        <v>12053.67525423729</v>
      </c>
      <c r="X187" s="13" t="n"/>
      <c r="Y187" s="2">
        <f>(U187*0.88-S187-V187-W187-X187)*1.18/0.92</f>
        <v/>
      </c>
      <c r="Z187" s="1" t="n">
        <v>124990</v>
      </c>
      <c r="AA187" s="5" t="n"/>
      <c r="AB187" s="5" t="n"/>
      <c r="AC187" s="14" t="n">
        <v>124990</v>
      </c>
      <c r="AD187" s="5">
        <f>(Y187-AC187)/1.18*0.92</f>
        <v/>
      </c>
      <c r="AE187" s="5" t="n"/>
      <c r="AF187" s="5">
        <f>W187+X187</f>
        <v/>
      </c>
      <c r="AG187" s="5" t="n"/>
      <c r="AH187" s="13" t="n">
        <v>0</v>
      </c>
      <c r="AI187" s="13" t="n">
        <v>12053.67525423729</v>
      </c>
      <c r="AJ187" s="5" t="n"/>
      <c r="AL187" s="5" t="n"/>
      <c r="AM187" s="5" t="n">
        <v>124990</v>
      </c>
      <c r="AN187" s="5">
        <f>Y187-AM187</f>
        <v/>
      </c>
      <c r="AO187" s="5" t="n"/>
      <c r="AP187" s="5">
        <f>U187-AL187</f>
        <v/>
      </c>
      <c r="AQ187" s="20" t="n">
        <v>0</v>
      </c>
      <c r="AR187" s="20" t="n">
        <v>12053.67525423729</v>
      </c>
      <c r="AT187" s="3" t="n">
        <v>1</v>
      </c>
      <c r="AV187" s="5">
        <f>ROUNDUP((AT187/8)*80,0)</f>
        <v/>
      </c>
      <c r="AX187" s="38">
        <f>AV187*W187</f>
        <v/>
      </c>
      <c r="BA187" s="3" t="n">
        <v>0</v>
      </c>
      <c r="BB187" s="3" t="n">
        <v>0</v>
      </c>
      <c r="BC187" s="3" t="n">
        <v>0</v>
      </c>
      <c r="BD187" s="3">
        <f>BC187+BB187+BA187</f>
        <v/>
      </c>
      <c r="BE187" s="3" t="n">
        <v>22</v>
      </c>
      <c r="BF187" s="3" t="n">
        <v>0</v>
      </c>
      <c r="BH187" s="3">
        <f>ROUNDUP(BD187*1.85,0)</f>
        <v/>
      </c>
      <c r="BJ187" s="38">
        <f>BH187*V187</f>
        <v/>
      </c>
      <c r="BL187" s="3">
        <f>U187*1.18</f>
        <v/>
      </c>
    </row>
    <row r="188">
      <c r="A188" s="1" t="inlineStr">
        <is>
          <t>82RF00E1IN</t>
        </is>
      </c>
      <c r="B188" s="1">
        <f>IF(BL188&lt;40000,"Entry",IF(BL188&gt;65000,"Premium","Mainstream"))</f>
        <v/>
      </c>
      <c r="C188" s="1" t="inlineStr">
        <is>
          <t>Premium</t>
        </is>
      </c>
      <c r="D188" s="1" t="inlineStr">
        <is>
          <t>i7 OS 6GB Graphics Office</t>
        </is>
      </c>
      <c r="E188" s="1" t="inlineStr">
        <is>
          <t>Gaming</t>
        </is>
      </c>
      <c r="F188" s="1" t="inlineStr">
        <is>
          <t>Legion 5 Pro</t>
        </is>
      </c>
      <c r="G188" s="1" t="inlineStr">
        <is>
          <t>Legion 5 Pro 16IAH7H</t>
        </is>
      </c>
      <c r="H188" s="1" t="inlineStr">
        <is>
          <t>i7</t>
        </is>
      </c>
      <c r="I188" s="1" t="inlineStr">
        <is>
          <t>12th Gen</t>
        </is>
      </c>
      <c r="J188" s="1" t="inlineStr">
        <is>
          <t>i7-12700H</t>
        </is>
      </c>
      <c r="K188" s="1" t="inlineStr">
        <is>
          <t>32GB</t>
        </is>
      </c>
      <c r="L188" s="1" t="inlineStr">
        <is>
          <t>1TB SSD</t>
        </is>
      </c>
      <c r="M188" s="1" t="inlineStr">
        <is>
          <t>Windows 11</t>
        </is>
      </c>
      <c r="N188" s="1" t="inlineStr">
        <is>
          <t>Office 2021</t>
        </is>
      </c>
      <c r="O188" s="1" t="inlineStr">
        <is>
          <t>RTX 3070 8GB</t>
        </is>
      </c>
      <c r="P188" s="1" t="inlineStr">
        <is>
          <t>15.6WQHD_AG_300N_165_N_SRGB</t>
        </is>
      </c>
      <c r="Q188" s="1" t="inlineStr">
        <is>
          <t>3 Yr Warranty + 3 Yr LUS + 1 Yr ADP</t>
        </is>
      </c>
      <c r="R188" s="1" t="inlineStr">
        <is>
          <t>Full GTN</t>
        </is>
      </c>
      <c r="S188" s="1" t="n">
        <v>2457</v>
      </c>
      <c r="T188" s="2">
        <f>U188*0.98*0.965</f>
        <v/>
      </c>
      <c r="U188" s="13" t="n">
        <v>145871.9152542373</v>
      </c>
      <c r="V188" s="13" t="n">
        <v>0</v>
      </c>
      <c r="W188" s="13" t="n">
        <v>12867.23457627119</v>
      </c>
      <c r="X188" s="13" t="n"/>
      <c r="Y188" s="2">
        <f>(U188*0.88-S188-V188-W188-X188)*1.18/0.92</f>
        <v/>
      </c>
      <c r="Z188" s="1" t="n">
        <v>144990</v>
      </c>
      <c r="AA188" s="5" t="n"/>
      <c r="AB188" s="5" t="n"/>
      <c r="AC188" s="14" t="n">
        <v>144990</v>
      </c>
      <c r="AD188" s="5">
        <f>(Y188-AC188)/1.18*0.92</f>
        <v/>
      </c>
      <c r="AE188" s="5" t="n"/>
      <c r="AF188" s="5">
        <f>W188+X188</f>
        <v/>
      </c>
      <c r="AG188" s="5" t="n"/>
      <c r="AH188" s="13" t="n">
        <v>0</v>
      </c>
      <c r="AI188" s="13" t="n">
        <v>12867.23457627119</v>
      </c>
      <c r="AJ188" s="5" t="n"/>
      <c r="AL188" s="5" t="n"/>
      <c r="AM188" s="5" t="n">
        <v>144990</v>
      </c>
      <c r="AN188" s="5">
        <f>Y188-AM188</f>
        <v/>
      </c>
      <c r="AO188" s="5" t="n"/>
      <c r="AP188" s="5">
        <f>U188-AL188</f>
        <v/>
      </c>
      <c r="AQ188" s="20" t="n">
        <v>0</v>
      </c>
      <c r="AR188" s="20" t="n">
        <v>12867.23457627119</v>
      </c>
      <c r="AT188" s="3" t="n">
        <v>0</v>
      </c>
      <c r="AV188" s="5">
        <f>ROUNDUP((AT188/8)*80,0)</f>
        <v/>
      </c>
      <c r="AX188" s="38">
        <f>AV188*W188</f>
        <v/>
      </c>
      <c r="BA188" s="3" t="n">
        <v>2</v>
      </c>
      <c r="BB188" s="3" t="n">
        <v>3</v>
      </c>
      <c r="BC188" s="3" t="n">
        <v>0</v>
      </c>
      <c r="BD188" s="3">
        <f>BC188+BB188+BA188</f>
        <v/>
      </c>
      <c r="BE188" s="3" t="n">
        <v>1</v>
      </c>
      <c r="BF188" s="3" t="n">
        <v>0</v>
      </c>
      <c r="BH188" s="3">
        <f>ROUNDUP(BD188*1.85,0)</f>
        <v/>
      </c>
      <c r="BJ188" s="38">
        <f>BH188*V188</f>
        <v/>
      </c>
      <c r="BL188" s="3">
        <f>U188*1.18</f>
        <v/>
      </c>
    </row>
    <row r="189">
      <c r="A189" s="1" t="inlineStr">
        <is>
          <t>82H801LJIN</t>
        </is>
      </c>
      <c r="B189" s="1">
        <f>IF(BL189&lt;40000,"Entry",IF(BL189&gt;65000,"Premium","Mainstream"))</f>
        <v/>
      </c>
      <c r="C189" s="1" t="inlineStr">
        <is>
          <t>Mainstream</t>
        </is>
      </c>
      <c r="D189" s="1" t="inlineStr">
        <is>
          <t>i3 OS Office</t>
        </is>
      </c>
      <c r="E189" s="1" t="inlineStr">
        <is>
          <t>Thin &amp; Light</t>
        </is>
      </c>
      <c r="F189" s="1" t="inlineStr">
        <is>
          <t>Slim 3</t>
        </is>
      </c>
      <c r="G189" s="1" t="inlineStr">
        <is>
          <t>IP 3 15ITL6</t>
        </is>
      </c>
      <c r="H189" s="1" t="inlineStr">
        <is>
          <t>i3</t>
        </is>
      </c>
      <c r="I189" s="1" t="inlineStr">
        <is>
          <t>11th Gen</t>
        </is>
      </c>
      <c r="J189" s="1" t="inlineStr">
        <is>
          <t>i3-1115G4</t>
        </is>
      </c>
      <c r="K189" s="1" t="inlineStr">
        <is>
          <t>8GB</t>
        </is>
      </c>
      <c r="L189" s="1" t="inlineStr">
        <is>
          <t>512GB SSD</t>
        </is>
      </c>
      <c r="M189" s="1" t="inlineStr">
        <is>
          <t>Win11</t>
        </is>
      </c>
      <c r="N189" s="1" t="inlineStr">
        <is>
          <t>Office 2021</t>
        </is>
      </c>
      <c r="O189" s="1" t="inlineStr">
        <is>
          <t>INTEGRATED_GRAPHICS</t>
        </is>
      </c>
      <c r="P189" s="1" t="inlineStr">
        <is>
          <t>15.6FHD_TN_AG_250N_N</t>
        </is>
      </c>
      <c r="Q189" s="1" t="inlineStr">
        <is>
          <t>2 Yr Warranty</t>
        </is>
      </c>
      <c r="R189" s="7" t="inlineStr">
        <is>
          <t>Full GTN</t>
        </is>
      </c>
      <c r="S189" s="1" t="n">
        <v>725</v>
      </c>
      <c r="T189" s="2" t="n">
        <v>33237.5459055418</v>
      </c>
      <c r="U189" s="13" t="n">
        <v>35145.97219577224</v>
      </c>
      <c r="V189" s="13" t="n">
        <v>0</v>
      </c>
      <c r="W189" s="13" t="n">
        <v>3275</v>
      </c>
      <c r="X189" s="13" t="n"/>
      <c r="Y189" s="2">
        <f>(U189*0.89-S189-V189-W189-X189)*1.18/0.92</f>
        <v/>
      </c>
      <c r="Z189" s="18">
        <f>AC189</f>
        <v/>
      </c>
      <c r="AA189" s="5" t="inlineStr">
        <is>
          <t>Ok</t>
        </is>
      </c>
      <c r="AB189" s="5" t="n"/>
      <c r="AC189" s="14" t="n">
        <v>34990</v>
      </c>
      <c r="AD189" s="5">
        <f>(Y189-AC189)/1.18*0.92</f>
        <v/>
      </c>
      <c r="AE189" s="5" t="n"/>
      <c r="AF189" s="5">
        <f>W189+X189</f>
        <v/>
      </c>
      <c r="AG189" s="5" t="n"/>
      <c r="AH189" s="13" t="n">
        <v>0</v>
      </c>
      <c r="AI189" s="13" t="n">
        <v>4054</v>
      </c>
      <c r="AJ189" s="5" t="n"/>
      <c r="AL189" s="5" t="n"/>
      <c r="AM189" s="5" t="n">
        <v>33990</v>
      </c>
      <c r="AN189" s="5">
        <f>Y189-AM189</f>
        <v/>
      </c>
      <c r="AO189" s="5" t="n"/>
      <c r="AP189" s="5">
        <f>U189-AL189</f>
        <v/>
      </c>
      <c r="AQ189" s="20" t="n">
        <v>0</v>
      </c>
      <c r="AR189" s="20" t="n">
        <v>4054.237288135595</v>
      </c>
      <c r="AT189" s="3" t="n">
        <v>0</v>
      </c>
      <c r="AV189" s="5">
        <f>ROUNDUP((AT189/8)*80,0)</f>
        <v/>
      </c>
      <c r="AX189" s="38">
        <f>AV189*W189</f>
        <v/>
      </c>
      <c r="BA189" s="3" t="n">
        <v>0</v>
      </c>
      <c r="BB189" s="3" t="n">
        <v>0</v>
      </c>
      <c r="BC189" s="3" t="n">
        <v>0</v>
      </c>
      <c r="BD189" s="3">
        <f>BC189+BB189+BA189</f>
        <v/>
      </c>
      <c r="BE189" s="3" t="n">
        <v>0</v>
      </c>
      <c r="BF189" s="3" t="n">
        <v>0</v>
      </c>
      <c r="BH189" s="3">
        <f>ROUNDUP(BD189*1.85,0)</f>
        <v/>
      </c>
      <c r="BJ189" s="38">
        <f>BH189*V189</f>
        <v/>
      </c>
      <c r="BL189" s="3">
        <f>U189*1.18</f>
        <v/>
      </c>
    </row>
    <row r="190">
      <c r="A190" s="1" t="inlineStr">
        <is>
          <t>82H801LHIN</t>
        </is>
      </c>
      <c r="B190" s="1">
        <f>IF(BL190&lt;40000,"Entry",IF(BL190&gt;65000,"Premium","Mainstream"))</f>
        <v/>
      </c>
      <c r="C190" s="1" t="inlineStr">
        <is>
          <t>Mainstream</t>
        </is>
      </c>
      <c r="D190" s="1" t="inlineStr">
        <is>
          <t>i3 OS Office</t>
        </is>
      </c>
      <c r="E190" s="1" t="inlineStr">
        <is>
          <t>Thin &amp; Light</t>
        </is>
      </c>
      <c r="F190" s="1" t="inlineStr">
        <is>
          <t>Slim 3</t>
        </is>
      </c>
      <c r="G190" s="1" t="inlineStr">
        <is>
          <t>IP 3 15ITL6</t>
        </is>
      </c>
      <c r="H190" s="1" t="inlineStr">
        <is>
          <t>i3</t>
        </is>
      </c>
      <c r="I190" s="1" t="inlineStr">
        <is>
          <t>11th Gen</t>
        </is>
      </c>
      <c r="J190" s="1" t="inlineStr">
        <is>
          <t>i3-1115G4</t>
        </is>
      </c>
      <c r="K190" s="1" t="inlineStr">
        <is>
          <t>8GB</t>
        </is>
      </c>
      <c r="L190" s="1" t="inlineStr">
        <is>
          <t>512GB SSD</t>
        </is>
      </c>
      <c r="M190" s="1" t="inlineStr">
        <is>
          <t>Win11</t>
        </is>
      </c>
      <c r="N190" s="1" t="inlineStr">
        <is>
          <t>Office 2021</t>
        </is>
      </c>
      <c r="O190" s="1" t="inlineStr">
        <is>
          <t>INTEGRATED_GRAPHICS</t>
        </is>
      </c>
      <c r="P190" s="1" t="inlineStr">
        <is>
          <t>15.6FHD_TN_AG_250N_N</t>
        </is>
      </c>
      <c r="Q190" s="1" t="inlineStr">
        <is>
          <t>2 Yr Warranty</t>
        </is>
      </c>
      <c r="R190" s="7" t="inlineStr">
        <is>
          <t>Full GTN</t>
        </is>
      </c>
      <c r="S190" s="1" t="n">
        <v>725</v>
      </c>
      <c r="T190" s="2" t="n">
        <v>33237.5459055418</v>
      </c>
      <c r="U190" s="13" t="n">
        <v>35145.97219577224</v>
      </c>
      <c r="V190" s="13" t="n">
        <v>0</v>
      </c>
      <c r="W190" s="13" t="n">
        <v>3275</v>
      </c>
      <c r="X190" s="13" t="n"/>
      <c r="Y190" s="2">
        <f>(U190*0.89-S190-V190-W190-X190)*1.18/0.92</f>
        <v/>
      </c>
      <c r="Z190" s="18">
        <f>AC190</f>
        <v/>
      </c>
      <c r="AA190" s="5" t="inlineStr">
        <is>
          <t>Ok</t>
        </is>
      </c>
      <c r="AB190" s="5" t="n"/>
      <c r="AC190" s="14" t="n">
        <v>34990</v>
      </c>
      <c r="AD190" s="5">
        <f>(Y190-AC190)/1.18*0.92</f>
        <v/>
      </c>
      <c r="AE190" s="5" t="n"/>
      <c r="AF190" s="5">
        <f>W190+X190</f>
        <v/>
      </c>
      <c r="AG190" s="5" t="n"/>
      <c r="AH190" s="13" t="n">
        <v>0</v>
      </c>
      <c r="AI190" s="13" t="n">
        <v>4054</v>
      </c>
      <c r="AJ190" s="5" t="n"/>
      <c r="AL190" s="5" t="n"/>
      <c r="AM190" s="5" t="n">
        <v>33990</v>
      </c>
      <c r="AN190" s="5">
        <f>Y190-AM190</f>
        <v/>
      </c>
      <c r="AO190" s="5" t="n"/>
      <c r="AP190" s="5">
        <f>U190-AL190</f>
        <v/>
      </c>
      <c r="AQ190" s="20" t="n">
        <v>0</v>
      </c>
      <c r="AR190" s="20" t="n">
        <v>4054.237288135595</v>
      </c>
      <c r="AT190" s="3" t="n">
        <v>1</v>
      </c>
      <c r="AV190" s="5">
        <f>ROUNDUP((AT190/8)*80,0)</f>
        <v/>
      </c>
      <c r="AX190" s="38">
        <f>AV190*W190</f>
        <v/>
      </c>
      <c r="BA190" s="3" t="n">
        <v>-1</v>
      </c>
      <c r="BB190" s="3" t="n">
        <v>0</v>
      </c>
      <c r="BC190" s="3" t="n">
        <v>0</v>
      </c>
      <c r="BD190" s="3">
        <f>BC190+BB190+BA190</f>
        <v/>
      </c>
      <c r="BE190" s="3" t="n">
        <v>1</v>
      </c>
      <c r="BF190" s="3" t="n">
        <v>0</v>
      </c>
      <c r="BH190" s="3">
        <f>ROUNDUP(BD190*1.85,0)</f>
        <v/>
      </c>
      <c r="BJ190" s="38">
        <f>BH190*V190</f>
        <v/>
      </c>
      <c r="BL190" s="3">
        <f>U190*1.18</f>
        <v/>
      </c>
    </row>
    <row r="191">
      <c r="A191" s="1" t="inlineStr">
        <is>
          <t>82H803LLIN</t>
        </is>
      </c>
      <c r="B191" s="1">
        <f>IF(BL191&lt;40000,"Entry",IF(BL191&gt;65000,"Premium","Mainstream"))</f>
        <v/>
      </c>
      <c r="C191" s="1" t="inlineStr">
        <is>
          <t>Mainstream</t>
        </is>
      </c>
      <c r="D191" s="1" t="inlineStr">
        <is>
          <t>i3 OS Office</t>
        </is>
      </c>
      <c r="E191" s="1" t="inlineStr">
        <is>
          <t>Thin &amp; Light</t>
        </is>
      </c>
      <c r="F191" s="1" t="inlineStr">
        <is>
          <t>Slim 3</t>
        </is>
      </c>
      <c r="G191" s="1" t="inlineStr">
        <is>
          <t>IP 3 15ITL6</t>
        </is>
      </c>
      <c r="H191" s="1" t="inlineStr">
        <is>
          <t>i3</t>
        </is>
      </c>
      <c r="I191" s="1" t="inlineStr">
        <is>
          <t>11th Gen</t>
        </is>
      </c>
      <c r="J191" s="1" t="inlineStr">
        <is>
          <t>i3-1115G4</t>
        </is>
      </c>
      <c r="K191" s="1" t="inlineStr">
        <is>
          <t>8GB</t>
        </is>
      </c>
      <c r="L191" s="1" t="inlineStr">
        <is>
          <t>256GB SSD</t>
        </is>
      </c>
      <c r="M191" s="1" t="inlineStr">
        <is>
          <t>Windows 11</t>
        </is>
      </c>
      <c r="N191" s="1" t="inlineStr">
        <is>
          <t>Office 2021</t>
        </is>
      </c>
      <c r="O191" s="1" t="inlineStr">
        <is>
          <t>INTEGRATED_GRAPHICS</t>
        </is>
      </c>
      <c r="P191" s="1" t="inlineStr">
        <is>
          <t>15.6FHD_TN_AG_250N_N</t>
        </is>
      </c>
      <c r="Q191" s="1" t="inlineStr">
        <is>
          <t>1 Yr. Onsite + 1 Yr. ADP</t>
        </is>
      </c>
      <c r="R191" s="1" t="inlineStr">
        <is>
          <t>Zero GTN</t>
        </is>
      </c>
      <c r="S191" s="1" t="n">
        <v>0</v>
      </c>
      <c r="T191" s="2" t="n">
        <v>28618.29220338983</v>
      </c>
      <c r="U191" s="13" t="n">
        <v>29798.30508474576</v>
      </c>
      <c r="V191" s="13" t="n">
        <v>0</v>
      </c>
      <c r="W191" s="13" t="n">
        <v>4261</v>
      </c>
      <c r="X191" s="13" t="n"/>
      <c r="Y191" s="2">
        <f>(U191*0.98-S191-V191-W191-X191)*1.18/0.92</f>
        <v/>
      </c>
      <c r="Z191" s="18">
        <f>AC191</f>
        <v/>
      </c>
      <c r="AA191" s="5" t="inlineStr">
        <is>
          <t>Ok</t>
        </is>
      </c>
      <c r="AB191" s="5" t="n"/>
      <c r="AC191" s="14" t="n">
        <v>31990</v>
      </c>
      <c r="AD191" s="5">
        <f>(Y191-AC191)/1.18*0.92</f>
        <v/>
      </c>
      <c r="AE191" s="5" t="n"/>
      <c r="AF191" s="5">
        <f>W191+X191</f>
        <v/>
      </c>
      <c r="AG191" s="5" t="n"/>
      <c r="AH191" s="13" t="n">
        <v>0</v>
      </c>
      <c r="AI191" s="13" t="n">
        <v>5041</v>
      </c>
      <c r="AJ191" s="5" t="n"/>
      <c r="AL191" s="5" t="n"/>
      <c r="AM191" s="5" t="n">
        <v>30990</v>
      </c>
      <c r="AN191" s="5">
        <f>Y191-AM191</f>
        <v/>
      </c>
      <c r="AO191" s="5" t="n"/>
      <c r="AP191" s="5">
        <f>U191-AL191</f>
        <v/>
      </c>
      <c r="AQ191" s="20" t="n">
        <v>0</v>
      </c>
      <c r="AR191" s="20" t="n">
        <v>5040.644067796609</v>
      </c>
      <c r="AT191" s="3" t="n">
        <v>4</v>
      </c>
      <c r="AV191" s="5">
        <f>ROUNDUP((AT191/8)*80,0)</f>
        <v/>
      </c>
      <c r="AX191" s="38">
        <f>AV191*W191</f>
        <v/>
      </c>
      <c r="BA191" s="3" t="n">
        <v>0</v>
      </c>
      <c r="BB191" s="3" t="n">
        <v>0</v>
      </c>
      <c r="BC191" s="3" t="n">
        <v>0</v>
      </c>
      <c r="BD191" s="3">
        <f>BC191+BB191+BA191</f>
        <v/>
      </c>
      <c r="BE191" s="3" t="n">
        <v>0</v>
      </c>
      <c r="BF191" s="3" t="n">
        <v>0</v>
      </c>
      <c r="BH191" s="3">
        <f>ROUNDUP(BD191*1.85,0)</f>
        <v/>
      </c>
      <c r="BJ191" s="38">
        <f>BH191*V191</f>
        <v/>
      </c>
      <c r="BL191" s="3">
        <f>U191*1.18</f>
        <v/>
      </c>
    </row>
    <row r="192">
      <c r="A192" s="1" t="inlineStr">
        <is>
          <t>82H803U0IN</t>
        </is>
      </c>
      <c r="B192" s="1">
        <f>IF(BL192&lt;40000,"Entry",IF(BL192&gt;65000,"Premium","Mainstream"))</f>
        <v/>
      </c>
      <c r="C192" s="1" t="inlineStr">
        <is>
          <t>Mainstream</t>
        </is>
      </c>
      <c r="D192" s="1" t="inlineStr">
        <is>
          <t>i3 OS Office</t>
        </is>
      </c>
      <c r="E192" s="1" t="inlineStr">
        <is>
          <t>Thin &amp; Light</t>
        </is>
      </c>
      <c r="F192" s="1" t="inlineStr">
        <is>
          <t>Slim 3</t>
        </is>
      </c>
      <c r="G192" s="1" t="inlineStr">
        <is>
          <t>IP 3 15ITL6</t>
        </is>
      </c>
      <c r="H192" s="1" t="inlineStr">
        <is>
          <t>i3</t>
        </is>
      </c>
      <c r="I192" s="1" t="inlineStr">
        <is>
          <t>11th Gen</t>
        </is>
      </c>
      <c r="J192" s="1" t="inlineStr">
        <is>
          <t>i3-1115G4</t>
        </is>
      </c>
      <c r="K192" s="1" t="inlineStr">
        <is>
          <t>8GB</t>
        </is>
      </c>
      <c r="L192" s="1" t="inlineStr">
        <is>
          <t>256GB SSD</t>
        </is>
      </c>
      <c r="M192" s="1" t="inlineStr">
        <is>
          <t>Windows 11</t>
        </is>
      </c>
      <c r="N192" s="1" t="inlineStr">
        <is>
          <t>Office 2021</t>
        </is>
      </c>
      <c r="O192" s="1" t="inlineStr">
        <is>
          <t>INTEGRATED_GRAPHICS</t>
        </is>
      </c>
      <c r="P192" s="1" t="inlineStr">
        <is>
          <t>15.6FHD_TN_AG_250N_N</t>
        </is>
      </c>
      <c r="Q192" s="1" t="inlineStr">
        <is>
          <t>1 Yr. Onsite + 1 Yr. ADP</t>
        </is>
      </c>
      <c r="R192" s="1" t="inlineStr">
        <is>
          <t>Zero GTN</t>
        </is>
      </c>
      <c r="S192" s="1" t="n">
        <v>0</v>
      </c>
      <c r="T192" s="2" t="n">
        <v>28618.29220338983</v>
      </c>
      <c r="U192" s="13" t="n">
        <v>29798.30508474576</v>
      </c>
      <c r="V192" s="13" t="n">
        <v>0</v>
      </c>
      <c r="W192" s="13" t="n">
        <v>4261</v>
      </c>
      <c r="X192" s="13" t="n"/>
      <c r="Y192" s="2">
        <f>(U192*0.98-S192-V192-W192-X192)*1.18/0.92</f>
        <v/>
      </c>
      <c r="Z192" s="18">
        <f>AC192</f>
        <v/>
      </c>
      <c r="AA192" s="5" t="inlineStr">
        <is>
          <t>Ok</t>
        </is>
      </c>
      <c r="AB192" s="5" t="n"/>
      <c r="AC192" s="14" t="n">
        <v>31990</v>
      </c>
      <c r="AD192" s="5">
        <f>(Y192-AC192)/1.18*0.92</f>
        <v/>
      </c>
      <c r="AE192" s="5" t="n"/>
      <c r="AF192" s="5">
        <f>W192+X192</f>
        <v/>
      </c>
      <c r="AG192" s="5" t="n"/>
      <c r="AH192" s="13" t="n">
        <v>0</v>
      </c>
      <c r="AI192" s="13" t="n">
        <v>5041</v>
      </c>
      <c r="AJ192" s="5" t="n"/>
      <c r="AL192" s="5" t="n"/>
      <c r="AM192" s="5" t="n">
        <v>30990</v>
      </c>
      <c r="AN192" s="5">
        <f>Y192-AM192</f>
        <v/>
      </c>
      <c r="AO192" s="5" t="n"/>
      <c r="AP192" s="5">
        <f>U192-AL192</f>
        <v/>
      </c>
      <c r="AQ192" s="20" t="n">
        <v>0</v>
      </c>
      <c r="AR192" s="20" t="n">
        <v>5040.644067796609</v>
      </c>
      <c r="AT192" s="3" t="n">
        <v>0</v>
      </c>
      <c r="AV192" s="5">
        <f>ROUNDUP((AT192/8)*80,0)</f>
        <v/>
      </c>
      <c r="AX192" s="38">
        <f>AV192*W192</f>
        <v/>
      </c>
      <c r="BA192" s="3" t="n">
        <v>0</v>
      </c>
      <c r="BB192" s="3" t="n">
        <v>-1</v>
      </c>
      <c r="BC192" s="3" t="n">
        <v>0</v>
      </c>
      <c r="BD192" s="3">
        <f>BC192+BB192+BA192</f>
        <v/>
      </c>
      <c r="BE192" s="3" t="n">
        <v>0</v>
      </c>
      <c r="BF192" s="3" t="n">
        <v>0</v>
      </c>
      <c r="BH192" s="3">
        <f>ROUNDUP(BD192*1.85,0)</f>
        <v/>
      </c>
      <c r="BJ192" s="38">
        <f>BH192*V192</f>
        <v/>
      </c>
      <c r="BL192" s="3">
        <f>U192*1.18</f>
        <v/>
      </c>
    </row>
    <row r="193">
      <c r="A193" s="1" t="inlineStr">
        <is>
          <t>82h803GTIN</t>
        </is>
      </c>
      <c r="B193" s="1">
        <f>IF(BL193&lt;40000,"Entry",IF(BL193&gt;65000,"Premium","Mainstream"))</f>
        <v/>
      </c>
      <c r="C193" s="1" t="inlineStr">
        <is>
          <t>Mainstream</t>
        </is>
      </c>
      <c r="D193" s="1" t="inlineStr">
        <is>
          <t>i3 OS Office</t>
        </is>
      </c>
      <c r="E193" s="1" t="inlineStr">
        <is>
          <t>Thin &amp; Light</t>
        </is>
      </c>
      <c r="F193" s="1" t="inlineStr">
        <is>
          <t>Slim 3</t>
        </is>
      </c>
      <c r="G193" s="1" t="inlineStr">
        <is>
          <t>IP 3 15ITL6</t>
        </is>
      </c>
      <c r="H193" s="1" t="inlineStr">
        <is>
          <t>i3</t>
        </is>
      </c>
      <c r="I193" s="1" t="inlineStr">
        <is>
          <t>11th Gen</t>
        </is>
      </c>
      <c r="J193" s="1" t="inlineStr">
        <is>
          <t>i3-1115G4</t>
        </is>
      </c>
      <c r="K193" s="1" t="inlineStr">
        <is>
          <t>8GB</t>
        </is>
      </c>
      <c r="L193" s="1" t="inlineStr">
        <is>
          <t>256GB SSD</t>
        </is>
      </c>
      <c r="M193" s="1" t="inlineStr">
        <is>
          <t>Windows 11</t>
        </is>
      </c>
      <c r="N193" s="1" t="inlineStr">
        <is>
          <t>Office 2021</t>
        </is>
      </c>
      <c r="O193" s="1" t="inlineStr">
        <is>
          <t>INTEGRATED_GRAPHICS</t>
        </is>
      </c>
      <c r="P193" s="1" t="inlineStr">
        <is>
          <t>15.6FHD_TN_AG_250N_N</t>
        </is>
      </c>
      <c r="Q193" s="1" t="inlineStr">
        <is>
          <t>1 Yr. Onsite + 1 Yr. ADP</t>
        </is>
      </c>
      <c r="R193" s="1" t="inlineStr">
        <is>
          <t>Zero GTN</t>
        </is>
      </c>
      <c r="S193" s="1" t="n">
        <v>0</v>
      </c>
      <c r="T193" s="2" t="n">
        <v>28617.9992</v>
      </c>
      <c r="U193" s="13" t="n">
        <v>29798</v>
      </c>
      <c r="V193" s="13" t="n">
        <v>0</v>
      </c>
      <c r="W193" s="13" t="n">
        <v>4261</v>
      </c>
      <c r="X193" s="13" t="n"/>
      <c r="Y193" s="2">
        <f>(U193*0.98-S193-V193-W193-X193)*1.18/0.92</f>
        <v/>
      </c>
      <c r="Z193" s="18">
        <f>AC193</f>
        <v/>
      </c>
      <c r="AA193" s="5" t="inlineStr">
        <is>
          <t>Ok</t>
        </is>
      </c>
      <c r="AB193" s="5" t="n"/>
      <c r="AC193" s="14" t="n">
        <v>31990</v>
      </c>
      <c r="AD193" s="5">
        <f>(Y193-AC193)/1.18*0.92</f>
        <v/>
      </c>
      <c r="AE193" s="5" t="n"/>
      <c r="AF193" s="5">
        <f>W193+X193</f>
        <v/>
      </c>
      <c r="AG193" s="5" t="n"/>
      <c r="AH193" s="13" t="n">
        <v>0</v>
      </c>
      <c r="AI193" s="13" t="n">
        <v>5041</v>
      </c>
      <c r="AJ193" s="5" t="n"/>
      <c r="AL193" s="5" t="n"/>
      <c r="AM193" s="5" t="n">
        <v>30990</v>
      </c>
      <c r="AN193" s="5">
        <f>Y193-AM193</f>
        <v/>
      </c>
      <c r="AO193" s="5" t="n"/>
      <c r="AP193" s="5">
        <f>U193-AL193</f>
        <v/>
      </c>
      <c r="AQ193" s="20" t="n">
        <v>0</v>
      </c>
      <c r="AR193" s="20" t="n">
        <v>5040.345084745764</v>
      </c>
      <c r="AT193" s="3" t="n">
        <v>0</v>
      </c>
      <c r="AV193" s="5">
        <f>ROUNDUP((AT193/8)*80,0)</f>
        <v/>
      </c>
      <c r="AX193" s="38">
        <f>AV193*W193</f>
        <v/>
      </c>
      <c r="BA193" s="3" t="n">
        <v>0</v>
      </c>
      <c r="BB193" s="3" t="n">
        <v>0</v>
      </c>
      <c r="BC193" s="3" t="n">
        <v>0</v>
      </c>
      <c r="BD193" s="3">
        <f>BC193+BB193+BA193</f>
        <v/>
      </c>
      <c r="BE193" s="3" t="n">
        <v>0</v>
      </c>
      <c r="BF193" s="3" t="n">
        <v>0</v>
      </c>
      <c r="BH193" s="3">
        <f>ROUNDUP(BD193*1.85,0)</f>
        <v/>
      </c>
      <c r="BJ193" s="38">
        <f>BH193*V193</f>
        <v/>
      </c>
      <c r="BL193" s="3">
        <f>U193*1.18</f>
        <v/>
      </c>
    </row>
    <row r="194">
      <c r="A194" s="1" t="inlineStr">
        <is>
          <t>82H803TXIN</t>
        </is>
      </c>
      <c r="B194" s="1">
        <f>IF(BL194&lt;40000,"Entry",IF(BL194&gt;65000,"Premium","Mainstream"))</f>
        <v/>
      </c>
      <c r="C194" s="1" t="inlineStr">
        <is>
          <t>Mainstream</t>
        </is>
      </c>
      <c r="D194" s="1" t="inlineStr">
        <is>
          <t>i3 OS Office</t>
        </is>
      </c>
      <c r="E194" s="1" t="inlineStr">
        <is>
          <t>Thin &amp; Light</t>
        </is>
      </c>
      <c r="F194" s="1" t="inlineStr">
        <is>
          <t>Slim 3</t>
        </is>
      </c>
      <c r="G194" s="1" t="inlineStr">
        <is>
          <t>IP 3 15ITL6</t>
        </is>
      </c>
      <c r="H194" s="1" t="inlineStr">
        <is>
          <t>i3</t>
        </is>
      </c>
      <c r="I194" s="1" t="inlineStr">
        <is>
          <t>11th Gen</t>
        </is>
      </c>
      <c r="J194" s="1" t="inlineStr">
        <is>
          <t>I3-1115G4</t>
        </is>
      </c>
      <c r="K194" s="1" t="inlineStr">
        <is>
          <t>8GB</t>
        </is>
      </c>
      <c r="L194" s="1" t="inlineStr">
        <is>
          <t>256GB SSD</t>
        </is>
      </c>
      <c r="M194" s="1" t="inlineStr">
        <is>
          <t>Windows 11</t>
        </is>
      </c>
      <c r="N194" s="1" t="inlineStr">
        <is>
          <t>OFFICE 2021</t>
        </is>
      </c>
      <c r="O194" s="1" t="inlineStr">
        <is>
          <t>INTEGRATED_GRAPHICS</t>
        </is>
      </c>
      <c r="P194" s="1" t="inlineStr">
        <is>
          <t>15.6FHD_TN_AG_250N_N</t>
        </is>
      </c>
      <c r="Q194" s="1" t="inlineStr">
        <is>
          <t>1 Yr. Onsite + 1 Yr. ADP</t>
        </is>
      </c>
      <c r="R194" s="1" t="inlineStr">
        <is>
          <t>Zero GTN</t>
        </is>
      </c>
      <c r="S194" s="1" t="n"/>
      <c r="T194" s="2" t="n">
        <v>28617.9992</v>
      </c>
      <c r="U194" s="13" t="n">
        <v>29798</v>
      </c>
      <c r="V194" s="13" t="n">
        <v>0</v>
      </c>
      <c r="W194" s="13" t="n">
        <v>4261</v>
      </c>
      <c r="X194" s="13" t="n"/>
      <c r="Y194" s="2">
        <f>(U194*0.98-S194-V194-W194-X194)*1.18/0.92</f>
        <v/>
      </c>
      <c r="Z194" s="18">
        <f>AC194</f>
        <v/>
      </c>
      <c r="AA194" s="5" t="inlineStr">
        <is>
          <t>Ok</t>
        </is>
      </c>
      <c r="AB194" s="5" t="n"/>
      <c r="AC194" s="14" t="n">
        <v>31990</v>
      </c>
      <c r="AD194" s="5">
        <f>(Y194-AC194)/1.18*0.92</f>
        <v/>
      </c>
      <c r="AE194" s="5" t="n"/>
      <c r="AF194" s="5">
        <f>W194+X194</f>
        <v/>
      </c>
      <c r="AG194" s="5" t="n"/>
      <c r="AH194" s="13" t="n">
        <v>0</v>
      </c>
      <c r="AI194" s="13" t="n">
        <v>5041</v>
      </c>
      <c r="AJ194" s="5" t="n"/>
      <c r="AL194" s="5" t="n"/>
      <c r="AM194" s="5" t="n">
        <v>30990</v>
      </c>
      <c r="AN194" s="5">
        <f>Y194-AM194</f>
        <v/>
      </c>
      <c r="AO194" s="5" t="n"/>
      <c r="AP194" s="5">
        <f>U194-AL194</f>
        <v/>
      </c>
      <c r="AQ194" s="20" t="n">
        <v>0</v>
      </c>
      <c r="AR194" s="20" t="n">
        <v>5040.345084745764</v>
      </c>
      <c r="AT194" s="3" t="n">
        <v>6</v>
      </c>
      <c r="AV194" s="5">
        <f>ROUNDUP((AT194/8)*80,0)</f>
        <v/>
      </c>
      <c r="AX194" s="38">
        <f>AV194*W194</f>
        <v/>
      </c>
      <c r="BA194" s="3" t="n">
        <v>9</v>
      </c>
      <c r="BB194" s="3" t="n">
        <v>0</v>
      </c>
      <c r="BC194" s="3" t="n">
        <v>0</v>
      </c>
      <c r="BD194" s="3">
        <f>BC194+BB194+BA194</f>
        <v/>
      </c>
      <c r="BE194" s="3" t="n">
        <v>2</v>
      </c>
      <c r="BF194" s="3" t="n">
        <v>0</v>
      </c>
      <c r="BH194" s="3">
        <f>ROUNDUP(BD194*1.85,0)</f>
        <v/>
      </c>
      <c r="BJ194" s="38">
        <f>BH194*V194</f>
        <v/>
      </c>
      <c r="BL194" s="3">
        <f>U194*1.18</f>
        <v/>
      </c>
    </row>
    <row r="195">
      <c r="A195" s="1" t="inlineStr">
        <is>
          <t>81X800LGIN</t>
        </is>
      </c>
      <c r="B195" s="1">
        <f>IF(BL195&lt;40000,"Entry",IF(BL195&gt;65000,"Premium","Mainstream"))</f>
        <v/>
      </c>
      <c r="C195" s="1" t="inlineStr">
        <is>
          <t>Mainstream</t>
        </is>
      </c>
      <c r="D195" s="1" t="inlineStr">
        <is>
          <t>i3 OS Office</t>
        </is>
      </c>
      <c r="E195" s="1" t="inlineStr">
        <is>
          <t>Thin &amp; Light</t>
        </is>
      </c>
      <c r="F195" s="1" t="inlineStr">
        <is>
          <t>Slim 3</t>
        </is>
      </c>
      <c r="G195" s="1" t="inlineStr">
        <is>
          <t>IdeaPad 3 15ITL05</t>
        </is>
      </c>
      <c r="H195" s="1" t="inlineStr">
        <is>
          <t>i3</t>
        </is>
      </c>
      <c r="I195" s="1" t="inlineStr">
        <is>
          <t>11th Gen</t>
        </is>
      </c>
      <c r="J195" s="1" t="inlineStr">
        <is>
          <t>i3-1115G4</t>
        </is>
      </c>
      <c r="K195" s="1" t="inlineStr">
        <is>
          <t>8GB</t>
        </is>
      </c>
      <c r="L195" s="1" t="inlineStr">
        <is>
          <t>512GB SSD</t>
        </is>
      </c>
      <c r="M195" s="1" t="inlineStr">
        <is>
          <t>Win11</t>
        </is>
      </c>
      <c r="N195" s="1" t="inlineStr">
        <is>
          <t>Office 2021</t>
        </is>
      </c>
      <c r="O195" s="1" t="inlineStr">
        <is>
          <t>INTEGRATED_GRAPHICS</t>
        </is>
      </c>
      <c r="P195" s="1" t="inlineStr">
        <is>
          <t>15.6FHD_TN_AG_220N_N</t>
        </is>
      </c>
      <c r="Q195" s="1" t="inlineStr">
        <is>
          <t>2 Yr Warranty</t>
        </is>
      </c>
      <c r="R195" s="1" t="inlineStr">
        <is>
          <t>Full GTN</t>
        </is>
      </c>
      <c r="S195" s="1" t="n"/>
      <c r="T195" s="2" t="n">
        <v>32290.39754915254</v>
      </c>
      <c r="U195" s="13" t="n">
        <v>34144.4406779661</v>
      </c>
      <c r="V195" s="13" t="n">
        <v>0</v>
      </c>
      <c r="W195" s="13" t="n">
        <v>3108</v>
      </c>
      <c r="X195" s="13" t="n"/>
      <c r="Y195" s="2">
        <f>(U195*0.89-S195-V195-W195-X195)*1.18/0.92</f>
        <v/>
      </c>
      <c r="Z195" s="18">
        <f>AC195</f>
        <v/>
      </c>
      <c r="AA195" s="5" t="inlineStr">
        <is>
          <t>Ok</t>
        </is>
      </c>
      <c r="AB195" s="5" t="n"/>
      <c r="AC195" s="14" t="n">
        <v>34990</v>
      </c>
      <c r="AD195" s="5">
        <f>(Y195-AC195)/1.18*0.92</f>
        <v/>
      </c>
      <c r="AE195" s="5" t="n"/>
      <c r="AF195" s="5">
        <f>W195+X195</f>
        <v/>
      </c>
      <c r="AG195" s="5" t="n"/>
      <c r="AH195" s="13" t="n">
        <v>0</v>
      </c>
      <c r="AI195" s="13" t="n">
        <v>3888</v>
      </c>
      <c r="AJ195" s="5" t="n"/>
      <c r="AL195" s="5" t="n"/>
      <c r="AM195" s="5" t="n">
        <v>33990</v>
      </c>
      <c r="AN195" s="5">
        <f>Y195-AM195</f>
        <v/>
      </c>
      <c r="AO195" s="5" t="n"/>
      <c r="AP195" s="5">
        <f>U195-AL195</f>
        <v/>
      </c>
      <c r="AQ195" s="20" t="n">
        <v>0</v>
      </c>
      <c r="AR195" s="20" t="n">
        <v>3887.874237288135</v>
      </c>
      <c r="AT195" s="3" t="n">
        <v>1</v>
      </c>
      <c r="AV195" s="5">
        <f>ROUNDUP((AT195/8)*80,0)</f>
        <v/>
      </c>
      <c r="AX195" s="38">
        <f>AV195*W195</f>
        <v/>
      </c>
      <c r="BA195" s="3" t="n">
        <v>0</v>
      </c>
      <c r="BB195" s="3" t="n">
        <v>0</v>
      </c>
      <c r="BC195" s="3" t="n">
        <v>0</v>
      </c>
      <c r="BD195" s="3">
        <f>BC195+BB195+BA195</f>
        <v/>
      </c>
      <c r="BE195" s="3" t="n">
        <v>0</v>
      </c>
      <c r="BF195" s="3" t="n">
        <v>0</v>
      </c>
      <c r="BH195" s="3">
        <f>ROUNDUP(BD195*1.85,0)</f>
        <v/>
      </c>
      <c r="BJ195" s="38">
        <f>BH195*V195</f>
        <v/>
      </c>
      <c r="BL195" s="3">
        <f>U195*1.18</f>
        <v/>
      </c>
    </row>
    <row r="196">
      <c r="A196" s="1" t="inlineStr">
        <is>
          <t>82SB00V2IN</t>
        </is>
      </c>
      <c r="B196" s="1">
        <f>IF(BL196&lt;40000,"Entry",IF(BL196&gt;65000,"Premium","Mainstream"))</f>
        <v/>
      </c>
      <c r="C196" s="1" t="inlineStr">
        <is>
          <t>Premium</t>
        </is>
      </c>
      <c r="D196" s="1" t="inlineStr">
        <is>
          <t>R5 OS 4GB Graphics Office</t>
        </is>
      </c>
      <c r="E196" s="1" t="inlineStr">
        <is>
          <t>Gaming</t>
        </is>
      </c>
      <c r="F196" s="1" t="inlineStr">
        <is>
          <t>IP Gaming 3</t>
        </is>
      </c>
      <c r="G196" s="1" t="inlineStr">
        <is>
          <t>IdeaPad Gaming 3 15ARH7</t>
        </is>
      </c>
      <c r="H196" s="1" t="inlineStr">
        <is>
          <t>R5</t>
        </is>
      </c>
      <c r="I196" s="1" t="inlineStr">
        <is>
          <t>6XXXH</t>
        </is>
      </c>
      <c r="J196" s="1" t="inlineStr">
        <is>
          <t>R5-6600H</t>
        </is>
      </c>
      <c r="K196" s="1" t="inlineStr">
        <is>
          <t>8GB</t>
        </is>
      </c>
      <c r="L196" s="1" t="inlineStr">
        <is>
          <t>512GB SSD</t>
        </is>
      </c>
      <c r="M196" s="1" t="inlineStr">
        <is>
          <t>Windows 11</t>
        </is>
      </c>
      <c r="N196" s="1" t="inlineStr">
        <is>
          <t>Office 2021</t>
        </is>
      </c>
      <c r="O196" s="1" t="inlineStr">
        <is>
          <t>RTX 3050 4GB</t>
        </is>
      </c>
      <c r="P196" s="1" t="inlineStr">
        <is>
          <t>15.6_FHD_AG_250N_120Hz</t>
        </is>
      </c>
      <c r="Q196" s="1" t="inlineStr">
        <is>
          <t>1 year Onsite</t>
        </is>
      </c>
      <c r="R196" s="1" t="inlineStr">
        <is>
          <t>Zero GTN</t>
        </is>
      </c>
      <c r="S196" s="1" t="n">
        <v>0</v>
      </c>
      <c r="T196" s="2">
        <f>U196*0.98*0.98</f>
        <v/>
      </c>
      <c r="U196" s="13" t="n">
        <v>52884.74576271186</v>
      </c>
      <c r="V196" s="13" t="n">
        <v>0</v>
      </c>
      <c r="W196" s="13" t="n">
        <v>1157</v>
      </c>
      <c r="X196" s="13" t="n">
        <v>3898.186440677963</v>
      </c>
      <c r="Y196" s="2">
        <f>(U196*0.98-S196-V196-W196-X196)*1.18/0.92</f>
        <v/>
      </c>
      <c r="Z196" s="1" t="n">
        <v>59990</v>
      </c>
      <c r="AA196" s="5" t="n"/>
      <c r="AB196" s="5" t="n"/>
      <c r="AC196" s="14" t="n">
        <v>59990</v>
      </c>
      <c r="AD196" s="5">
        <f>(Y196-AC196)/1.18*0.92</f>
        <v/>
      </c>
      <c r="AE196" s="5" t="n"/>
      <c r="AF196" s="5">
        <f>W196+X196</f>
        <v/>
      </c>
      <c r="AG196" s="5" t="n"/>
      <c r="AH196" s="13" t="n">
        <v>0</v>
      </c>
      <c r="AI196" s="13" t="n">
        <v>1157</v>
      </c>
      <c r="AJ196" s="5" t="n"/>
      <c r="AL196" s="5" t="n"/>
      <c r="AM196" s="5" t="n">
        <v>64989.84782608695</v>
      </c>
      <c r="AN196" s="5">
        <f>Y196-AM196</f>
        <v/>
      </c>
      <c r="AO196" s="5" t="n"/>
      <c r="AP196" s="5">
        <f>U196-AL196</f>
        <v/>
      </c>
      <c r="AQ196" s="20" t="n">
        <v>0</v>
      </c>
      <c r="AR196" s="20" t="n">
        <v>1157</v>
      </c>
      <c r="AT196" s="3" t="n">
        <v>0</v>
      </c>
      <c r="AV196" s="5">
        <f>ROUNDUP((AT196/8)*80,0)</f>
        <v/>
      </c>
      <c r="AX196" s="38">
        <f>AV196*W196</f>
        <v/>
      </c>
      <c r="BA196" s="3" t="n">
        <v>0</v>
      </c>
      <c r="BB196" s="3" t="n">
        <v>0</v>
      </c>
      <c r="BC196" s="3" t="n">
        <v>0</v>
      </c>
      <c r="BD196" s="3">
        <f>BC196+BB196+BA196</f>
        <v/>
      </c>
      <c r="BE196" s="3" t="n">
        <v>16</v>
      </c>
      <c r="BF196" s="3" t="n">
        <v>0</v>
      </c>
      <c r="BH196" s="3">
        <f>ROUNDUP(BD196*1.85,0)</f>
        <v/>
      </c>
      <c r="BJ196" s="38">
        <f>BH196*V196</f>
        <v/>
      </c>
      <c r="BL196" s="3">
        <f>U196*1.18</f>
        <v/>
      </c>
    </row>
    <row r="197">
      <c r="A197" s="1" t="inlineStr">
        <is>
          <t>82RK00EMIN</t>
        </is>
      </c>
      <c r="B197" s="1">
        <f>IF(BL197&lt;40000,"Entry",IF(BL197&gt;65000,"Premium","Mainstream"))</f>
        <v/>
      </c>
      <c r="C197" s="1" t="inlineStr">
        <is>
          <t>Premium</t>
        </is>
      </c>
      <c r="D197" s="1" t="inlineStr">
        <is>
          <t>i5 OS Office</t>
        </is>
      </c>
      <c r="E197" s="1" t="inlineStr">
        <is>
          <t>Thin &amp; Light</t>
        </is>
      </c>
      <c r="F197" s="1" t="inlineStr">
        <is>
          <t>Slim 3</t>
        </is>
      </c>
      <c r="G197" s="1" t="inlineStr">
        <is>
          <t>IdeaPad 3 15IAU7</t>
        </is>
      </c>
      <c r="H197" s="1" t="inlineStr">
        <is>
          <t>i5</t>
        </is>
      </c>
      <c r="I197" s="1" t="inlineStr">
        <is>
          <t>12th Gen</t>
        </is>
      </c>
      <c r="J197" s="1" t="inlineStr">
        <is>
          <t>i5 1235U</t>
        </is>
      </c>
      <c r="K197" s="1" t="inlineStr">
        <is>
          <t>8GB</t>
        </is>
      </c>
      <c r="L197" s="1" t="inlineStr">
        <is>
          <t>512GB SSD</t>
        </is>
      </c>
      <c r="M197" s="1" t="inlineStr">
        <is>
          <t>Windows 11</t>
        </is>
      </c>
      <c r="N197" s="1" t="inlineStr">
        <is>
          <t>Office 2021</t>
        </is>
      </c>
      <c r="O197" s="1" t="inlineStr">
        <is>
          <t>INTEGRATED_GRAPHICS</t>
        </is>
      </c>
      <c r="P197" s="1" t="inlineStr">
        <is>
          <t>15.6FHD_TN_AG_250N_N</t>
        </is>
      </c>
      <c r="Q197" s="1" t="inlineStr">
        <is>
          <t>2 Yr Warranty</t>
        </is>
      </c>
      <c r="R197" s="1" t="inlineStr">
        <is>
          <t>Full GTN</t>
        </is>
      </c>
      <c r="S197" s="1" t="n">
        <v>725</v>
      </c>
      <c r="T197" s="2" t="n">
        <v>46824.44409999999</v>
      </c>
      <c r="U197" s="13" t="n">
        <v>49513</v>
      </c>
      <c r="V197" s="13" t="n">
        <v>0</v>
      </c>
      <c r="W197" s="13" t="n">
        <v>3587</v>
      </c>
      <c r="X197" s="13" t="n"/>
      <c r="Y197" s="2">
        <f>(U197*0.89-S197-V197-W197-X197)*1.18/0.92</f>
        <v/>
      </c>
      <c r="Z197" s="18">
        <f>AC197</f>
        <v/>
      </c>
      <c r="AA197" s="5" t="n"/>
      <c r="AB197" s="5" t="n"/>
      <c r="AC197" s="14" t="n">
        <v>50990</v>
      </c>
      <c r="AD197" s="5">
        <f>(Y197-AC197)/1.18*0.92</f>
        <v/>
      </c>
      <c r="AE197" s="5" t="inlineStr">
        <is>
          <t>Ok</t>
        </is>
      </c>
      <c r="AF197" s="5">
        <f>W197+X197</f>
        <v/>
      </c>
      <c r="AG197" s="5" t="n"/>
      <c r="AH197" s="13" t="n">
        <v>0</v>
      </c>
      <c r="AI197" s="13" t="n">
        <v>3091.524745762712</v>
      </c>
      <c r="AJ197" s="5" t="n"/>
      <c r="AL197" s="5" t="n"/>
      <c r="AM197" s="5" t="n">
        <v>50990</v>
      </c>
      <c r="AN197" s="5">
        <f>Y197-AM197</f>
        <v/>
      </c>
      <c r="AO197" s="5" t="n"/>
      <c r="AP197" s="5">
        <f>U197-AL197</f>
        <v/>
      </c>
      <c r="AQ197" s="20" t="n">
        <v>0</v>
      </c>
      <c r="AR197" s="20" t="n">
        <v>3091.524745762712</v>
      </c>
      <c r="AT197" s="3" t="n">
        <v>0</v>
      </c>
      <c r="AV197" s="5">
        <f>ROUNDUP((AT197/8)*80,0)</f>
        <v/>
      </c>
      <c r="AX197" s="38">
        <f>AV197*W197</f>
        <v/>
      </c>
      <c r="BA197" s="3" t="n">
        <v>0</v>
      </c>
      <c r="BB197" s="3" t="n">
        <v>0</v>
      </c>
      <c r="BC197" s="3" t="n">
        <v>0</v>
      </c>
      <c r="BD197" s="3">
        <f>BC197+BB197+BA197</f>
        <v/>
      </c>
      <c r="BE197" s="3" t="n">
        <v>10</v>
      </c>
      <c r="BF197" s="3" t="n">
        <v>0</v>
      </c>
      <c r="BH197" s="3">
        <f>ROUNDUP(BD197*1.85,0)</f>
        <v/>
      </c>
      <c r="BJ197" s="38">
        <f>BH197*V197</f>
        <v/>
      </c>
      <c r="BL197" s="3">
        <f>U197*1.18</f>
        <v/>
      </c>
    </row>
    <row r="198">
      <c r="A198" s="1" t="inlineStr">
        <is>
          <t>82H802XVIN</t>
        </is>
      </c>
      <c r="B198" s="1">
        <f>IF(BL198&lt;40000,"Entry",IF(BL198&gt;65000,"Premium","Mainstream"))</f>
        <v/>
      </c>
      <c r="C198" s="1" t="inlineStr">
        <is>
          <t>Mainstream</t>
        </is>
      </c>
      <c r="D198" s="1" t="inlineStr">
        <is>
          <t>i3 OS Office</t>
        </is>
      </c>
      <c r="E198" s="1" t="inlineStr">
        <is>
          <t>Thin &amp; Light</t>
        </is>
      </c>
      <c r="F198" s="1" t="inlineStr">
        <is>
          <t>Slim 3</t>
        </is>
      </c>
      <c r="G198" s="1" t="inlineStr">
        <is>
          <t>IP 3 15ITL6</t>
        </is>
      </c>
      <c r="H198" s="1" t="inlineStr">
        <is>
          <t>i3</t>
        </is>
      </c>
      <c r="I198" s="1" t="inlineStr">
        <is>
          <t>11th Gen</t>
        </is>
      </c>
      <c r="J198" s="1" t="inlineStr">
        <is>
          <t>i3-1115G4</t>
        </is>
      </c>
      <c r="K198" s="1" t="inlineStr">
        <is>
          <t>8GB</t>
        </is>
      </c>
      <c r="L198" s="1" t="inlineStr">
        <is>
          <t>256GB SSD</t>
        </is>
      </c>
      <c r="M198" s="1" t="inlineStr">
        <is>
          <t>Win11</t>
        </is>
      </c>
      <c r="N198" s="1" t="inlineStr">
        <is>
          <t>Office 2021</t>
        </is>
      </c>
      <c r="O198" s="1" t="inlineStr">
        <is>
          <t>INTEGRATED_GRAPHICS</t>
        </is>
      </c>
      <c r="P198" s="1" t="inlineStr">
        <is>
          <t>15.6FHD_TN_AG_250N_N</t>
        </is>
      </c>
      <c r="Q198" s="1" t="inlineStr">
        <is>
          <t>2 Yr Warranty</t>
        </is>
      </c>
      <c r="R198" s="7" t="inlineStr">
        <is>
          <t>Full GTN</t>
        </is>
      </c>
      <c r="S198" s="1" t="n">
        <v>725</v>
      </c>
      <c r="T198" s="2" t="n">
        <v>31247.85145762712</v>
      </c>
      <c r="U198" s="13" t="n">
        <v>33042.03389830509</v>
      </c>
      <c r="V198" s="13" t="n">
        <v>656.2711864406774</v>
      </c>
      <c r="W198" s="13" t="n">
        <v>3085</v>
      </c>
      <c r="X198" s="13" t="n"/>
      <c r="Y198" s="2">
        <f>(U198*0.89-S198-V198-W198-X198)*1.18/0.92</f>
        <v/>
      </c>
      <c r="Z198" s="18">
        <f>AC198</f>
        <v/>
      </c>
      <c r="AA198" s="5" t="inlineStr">
        <is>
          <t>Ok</t>
        </is>
      </c>
      <c r="AB198" s="5" t="n"/>
      <c r="AC198" s="14" t="n">
        <v>31990</v>
      </c>
      <c r="AD198" s="5">
        <f>(Y198-AC198)/1.18*0.92</f>
        <v/>
      </c>
      <c r="AE198" s="5" t="n"/>
      <c r="AF198" s="5">
        <f>W198+X198</f>
        <v/>
      </c>
      <c r="AG198" s="5" t="n"/>
      <c r="AH198" s="13" t="n">
        <v>656.2711864406774</v>
      </c>
      <c r="AI198" s="13" t="n">
        <v>3864</v>
      </c>
      <c r="AJ198" s="5" t="n"/>
      <c r="AL198" s="5" t="n"/>
      <c r="AM198" s="5" t="n">
        <v>30990</v>
      </c>
      <c r="AN198" s="5">
        <f>Y198-AM198</f>
        <v/>
      </c>
      <c r="AO198" s="5" t="n"/>
      <c r="AP198" s="5">
        <f>U198-AL198</f>
        <v/>
      </c>
      <c r="AQ198" s="20" t="n">
        <v>656.2711864406774</v>
      </c>
      <c r="AR198" s="20" t="n">
        <v>3864.444067796616</v>
      </c>
      <c r="AT198" s="3" t="n">
        <v>0</v>
      </c>
      <c r="AV198" s="5">
        <f>ROUNDUP((AT198/8)*80,0)</f>
        <v/>
      </c>
      <c r="AX198" s="38">
        <f>AV198*W198</f>
        <v/>
      </c>
      <c r="BA198" s="3" t="n">
        <v>0</v>
      </c>
      <c r="BB198" s="3" t="n">
        <v>0</v>
      </c>
      <c r="BC198" s="3" t="n">
        <v>0</v>
      </c>
      <c r="BD198" s="3">
        <f>BC198+BB198+BA198</f>
        <v/>
      </c>
      <c r="BE198" s="3" t="n">
        <v>1</v>
      </c>
      <c r="BF198" s="3" t="n">
        <v>0</v>
      </c>
      <c r="BH198" s="3">
        <f>ROUNDUP(BD198*1.85,0)</f>
        <v/>
      </c>
      <c r="BJ198" s="38">
        <f>BH198*V198</f>
        <v/>
      </c>
      <c r="BL198" s="3">
        <f>U198*1.18</f>
        <v/>
      </c>
    </row>
    <row r="199">
      <c r="A199" s="1" t="inlineStr">
        <is>
          <t>82V6005CIN</t>
        </is>
      </c>
      <c r="B199" s="1">
        <f>IF(BL199&lt;40000,"Entry",IF(BL199&gt;65000,"Premium","Mainstream"))</f>
        <v/>
      </c>
      <c r="C199" s="1" t="inlineStr">
        <is>
          <t>Entry</t>
        </is>
      </c>
      <c r="D199" s="1" t="inlineStr">
        <is>
          <t>CDC OS</t>
        </is>
      </c>
      <c r="E199" s="1" t="inlineStr">
        <is>
          <t>Thin &amp; Light</t>
        </is>
      </c>
      <c r="F199" s="1" t="inlineStr">
        <is>
          <t>Slim 1</t>
        </is>
      </c>
      <c r="G199" s="1" t="inlineStr">
        <is>
          <t>IP1 14IGL7</t>
        </is>
      </c>
      <c r="H199" s="1" t="inlineStr">
        <is>
          <t>Celeron</t>
        </is>
      </c>
      <c r="I199" s="1" t="inlineStr">
        <is>
          <t>4xxx</t>
        </is>
      </c>
      <c r="J199" s="1" t="inlineStr">
        <is>
          <t>N4020</t>
        </is>
      </c>
      <c r="K199" s="1" t="inlineStr">
        <is>
          <t>4GB</t>
        </is>
      </c>
      <c r="L199" s="1" t="inlineStr">
        <is>
          <t>256GB SSD</t>
        </is>
      </c>
      <c r="M199" s="1" t="inlineStr">
        <is>
          <t>Windows 11</t>
        </is>
      </c>
      <c r="N199" s="1" t="inlineStr">
        <is>
          <t>No Office</t>
        </is>
      </c>
      <c r="O199" s="1" t="inlineStr">
        <is>
          <t>INTEGRATED_GRAPHICS</t>
        </is>
      </c>
      <c r="P199" s="1" t="inlineStr">
        <is>
          <t>14.0HD_TN_AG_220N_N</t>
        </is>
      </c>
      <c r="Q199" s="1" t="inlineStr">
        <is>
          <t>1 Yr. Onsite + 1 Yr. ADP</t>
        </is>
      </c>
      <c r="R199" s="1" t="inlineStr">
        <is>
          <t>Zero GTN</t>
        </is>
      </c>
      <c r="S199" s="1" t="n">
        <v>0</v>
      </c>
      <c r="T199" s="2" t="n">
        <v>19468</v>
      </c>
      <c r="U199" s="13" t="n">
        <v>20271.18644067797</v>
      </c>
      <c r="V199" s="13" t="n">
        <v>0</v>
      </c>
      <c r="W199" s="13" t="n">
        <v>2331</v>
      </c>
      <c r="X199" s="13" t="n"/>
      <c r="Y199" s="2">
        <f>(U199*0.98-S199-V199-W199-X199)*1.18/0.92</f>
        <v/>
      </c>
      <c r="Z199" s="18">
        <f>AC199</f>
        <v/>
      </c>
      <c r="AA199" s="5" t="inlineStr">
        <is>
          <t>Ok</t>
        </is>
      </c>
      <c r="AB199" s="5" t="n"/>
      <c r="AC199" s="14" t="n">
        <v>22490</v>
      </c>
      <c r="AD199" s="5">
        <f>(Y199-AC199)/1.18*0.92</f>
        <v/>
      </c>
      <c r="AE199" s="5" t="n"/>
      <c r="AF199" s="5">
        <f>W199+X199</f>
        <v/>
      </c>
      <c r="AG199" s="5" t="n"/>
      <c r="AH199" s="13" t="n">
        <v>0</v>
      </c>
      <c r="AI199" s="13" t="n">
        <v>2331</v>
      </c>
      <c r="AJ199" s="5" t="n"/>
      <c r="AL199" s="5" t="n"/>
      <c r="AM199" s="5" t="n">
        <v>22490</v>
      </c>
      <c r="AN199" s="5">
        <f>Y199-AM199</f>
        <v/>
      </c>
      <c r="AO199" s="5" t="n"/>
      <c r="AP199" s="5">
        <f>U199-AL199</f>
        <v/>
      </c>
      <c r="AQ199" s="20" t="n">
        <v>0</v>
      </c>
      <c r="AR199" s="20" t="n">
        <v>2331.186440677968</v>
      </c>
      <c r="AT199" s="3" t="n">
        <v>7</v>
      </c>
      <c r="AV199" s="5">
        <f>ROUNDUP((AT199/8)*80,0)</f>
        <v/>
      </c>
      <c r="AX199" s="38">
        <f>AV199*W199</f>
        <v/>
      </c>
      <c r="BA199" s="3" t="n">
        <v>0</v>
      </c>
      <c r="BB199" s="3" t="n">
        <v>260</v>
      </c>
      <c r="BC199" s="3" t="n">
        <v>0</v>
      </c>
      <c r="BD199" s="3">
        <f>BC199+BB199+BA199</f>
        <v/>
      </c>
      <c r="BE199" s="3" t="n">
        <v>79</v>
      </c>
      <c r="BF199" s="3" t="n">
        <v>105</v>
      </c>
      <c r="BH199" s="3">
        <f>ROUNDUP(BD199*1.85,0)</f>
        <v/>
      </c>
      <c r="BJ199" s="38">
        <f>BH199*V199</f>
        <v/>
      </c>
      <c r="BL199" s="3">
        <f>U199*1.18</f>
        <v/>
      </c>
    </row>
    <row r="200">
      <c r="A200" s="1" t="inlineStr">
        <is>
          <t>82K101FTIN</t>
        </is>
      </c>
      <c r="B200" s="1">
        <f>IF(BL200&lt;40000,"Entry",IF(BL200&gt;65000,"Premium","Mainstream"))</f>
        <v/>
      </c>
      <c r="C200" s="1" t="inlineStr">
        <is>
          <t>Premium</t>
        </is>
      </c>
      <c r="D200" s="1" t="inlineStr">
        <is>
          <t>i5 OS 4GB Graphics</t>
        </is>
      </c>
      <c r="E200" s="1" t="inlineStr">
        <is>
          <t>Gaming</t>
        </is>
      </c>
      <c r="F200" s="1" t="inlineStr">
        <is>
          <t>IP Gaming 3</t>
        </is>
      </c>
      <c r="G200" s="1" t="inlineStr">
        <is>
          <t>IdeaPad Gaming 3 15IHU6</t>
        </is>
      </c>
      <c r="H200" s="1" t="inlineStr">
        <is>
          <t>i5</t>
        </is>
      </c>
      <c r="I200" s="1" t="inlineStr">
        <is>
          <t>11th Gen</t>
        </is>
      </c>
      <c r="J200" s="1" t="inlineStr">
        <is>
          <t>Ci5-11300H</t>
        </is>
      </c>
      <c r="K200" s="1" t="inlineStr">
        <is>
          <t>8GB</t>
        </is>
      </c>
      <c r="L200" s="1" t="inlineStr">
        <is>
          <t>512GB SSD</t>
        </is>
      </c>
      <c r="M200" s="1" t="inlineStr">
        <is>
          <t>Win11</t>
        </is>
      </c>
      <c r="N200" s="1" t="inlineStr">
        <is>
          <t>No Office</t>
        </is>
      </c>
      <c r="O200" s="1" t="inlineStr">
        <is>
          <t>GTX 1650 4GB</t>
        </is>
      </c>
      <c r="P200" s="1" t="inlineStr">
        <is>
          <t>15.6FHD_AG_250N_60_N</t>
        </is>
      </c>
      <c r="Q200" s="1" t="inlineStr">
        <is>
          <t>1 Yr Onsite + 1 Yr PC + 1 Yr ADP</t>
        </is>
      </c>
      <c r="R200" s="1" t="inlineStr">
        <is>
          <t>Zero GTN</t>
        </is>
      </c>
      <c r="S200" s="1" t="n">
        <v>725</v>
      </c>
      <c r="T200" s="2">
        <f>U200*0.98*0.98</f>
        <v/>
      </c>
      <c r="U200" s="13" t="n">
        <v>45077.01694915255</v>
      </c>
      <c r="V200" s="13" t="n">
        <v>1200.646101694918</v>
      </c>
      <c r="W200" s="13" t="n">
        <v>4054.237288135599</v>
      </c>
      <c r="X200" s="13" t="n"/>
      <c r="Y200" s="2">
        <f>(U200*0.98-S200-V200-W200-X200)*1.18/0.92</f>
        <v/>
      </c>
      <c r="Z200" s="1" t="n">
        <v>48990</v>
      </c>
      <c r="AA200" s="5" t="n"/>
      <c r="AB200" s="5" t="n"/>
      <c r="AC200" s="14" t="n">
        <v>48990</v>
      </c>
      <c r="AD200" s="5">
        <f>(Y200-AC200)/1.18*0.92</f>
        <v/>
      </c>
      <c r="AE200" s="5" t="n"/>
      <c r="AF200" s="5">
        <f>W200+X200</f>
        <v/>
      </c>
      <c r="AG200" s="5" t="n"/>
      <c r="AH200" s="13" t="n">
        <v>1200.646101694918</v>
      </c>
      <c r="AI200" s="13" t="n">
        <v>4054.237288135599</v>
      </c>
      <c r="AJ200" s="5" t="n"/>
      <c r="AL200" s="5" t="n"/>
      <c r="AM200" s="5" t="n">
        <v>48989.99999999999</v>
      </c>
      <c r="AN200" s="5">
        <f>Y200-AM200</f>
        <v/>
      </c>
      <c r="AO200" s="5" t="n"/>
      <c r="AP200" s="5">
        <f>U200-AL200</f>
        <v/>
      </c>
      <c r="AQ200" s="20" t="n">
        <v>1200.646101694918</v>
      </c>
      <c r="AR200" s="20" t="n">
        <v>4054.237288135599</v>
      </c>
      <c r="AT200" s="3" t="n">
        <v>0</v>
      </c>
      <c r="AV200" s="5">
        <f>ROUNDUP((AT200/8)*80,0)</f>
        <v/>
      </c>
      <c r="AX200" s="38">
        <f>AV200*W200</f>
        <v/>
      </c>
      <c r="BA200" s="3" t="n">
        <v>-1</v>
      </c>
      <c r="BB200" s="3" t="n">
        <v>0</v>
      </c>
      <c r="BC200" s="3" t="n">
        <v>0</v>
      </c>
      <c r="BD200" s="3">
        <f>BC200+BB200+BA200</f>
        <v/>
      </c>
      <c r="BE200" s="3" t="n">
        <v>0</v>
      </c>
      <c r="BF200" s="3" t="n">
        <v>0</v>
      </c>
      <c r="BH200" s="3">
        <f>ROUNDUP(BD200*1.85,0)</f>
        <v/>
      </c>
      <c r="BJ200" s="38">
        <f>BH200*V200</f>
        <v/>
      </c>
      <c r="BL200" s="3">
        <f>U200*1.18</f>
        <v/>
      </c>
    </row>
    <row r="201">
      <c r="A201" s="1" t="inlineStr">
        <is>
          <t>82SB00Y8IN</t>
        </is>
      </c>
      <c r="B201" s="1">
        <f>IF(BL201&lt;40000,"Entry",IF(BL201&gt;65000,"Premium","Mainstream"))</f>
        <v/>
      </c>
      <c r="C201" s="1" t="inlineStr">
        <is>
          <t>Premium</t>
        </is>
      </c>
      <c r="D201" s="1" t="inlineStr">
        <is>
          <t>R7 OS 4GB Graphics Office</t>
        </is>
      </c>
      <c r="E201" s="1" t="inlineStr">
        <is>
          <t>Gaming</t>
        </is>
      </c>
      <c r="F201" s="1" t="inlineStr">
        <is>
          <t>IP Gaming 3</t>
        </is>
      </c>
      <c r="G201" s="1" t="inlineStr">
        <is>
          <t>IdeaPad Gaming 3 15ARH7</t>
        </is>
      </c>
      <c r="H201" s="1" t="inlineStr">
        <is>
          <t>R7</t>
        </is>
      </c>
      <c r="I201" s="1" t="inlineStr">
        <is>
          <t>6XXXH</t>
        </is>
      </c>
      <c r="J201" s="1" t="inlineStr">
        <is>
          <t>R7 6800H</t>
        </is>
      </c>
      <c r="K201" s="1" t="inlineStr">
        <is>
          <t>16GB</t>
        </is>
      </c>
      <c r="L201" s="1" t="inlineStr">
        <is>
          <t>512GB SSD</t>
        </is>
      </c>
      <c r="M201" s="1" t="inlineStr">
        <is>
          <t>Windows 11</t>
        </is>
      </c>
      <c r="N201" s="1" t="inlineStr">
        <is>
          <t>OFFICE 2021</t>
        </is>
      </c>
      <c r="O201" s="1" t="inlineStr">
        <is>
          <t>RTX 3050 4GB</t>
        </is>
      </c>
      <c r="P201" s="1" t="inlineStr">
        <is>
          <t>15.6FHD_AG_250N_120_N</t>
        </is>
      </c>
      <c r="Q201" s="1" t="inlineStr">
        <is>
          <t>1 Year onsite</t>
        </is>
      </c>
      <c r="R201" s="1" t="inlineStr">
        <is>
          <t>Zero GTN</t>
        </is>
      </c>
      <c r="S201" s="1" t="n">
        <v>0</v>
      </c>
      <c r="T201" s="2">
        <f>U201*0.98*0.98</f>
        <v/>
      </c>
      <c r="U201" s="13" t="n">
        <v>63416.94915254237</v>
      </c>
      <c r="V201" s="13" t="n">
        <v>7580</v>
      </c>
      <c r="W201" s="13" t="n">
        <v>1559</v>
      </c>
      <c r="X201" s="13" t="n"/>
      <c r="Y201" s="2">
        <f>(U201*0.98-S201-V201-W201-X201)*1.18/0.92</f>
        <v/>
      </c>
      <c r="Z201" s="1" t="n">
        <v>67990</v>
      </c>
      <c r="AA201" s="5" t="n"/>
      <c r="AB201" s="5" t="n"/>
      <c r="AC201" s="14" t="n">
        <v>67990</v>
      </c>
      <c r="AD201" s="5">
        <f>(Y201-AC201)/1.18*0.92</f>
        <v/>
      </c>
      <c r="AE201" s="5" t="n"/>
      <c r="AF201" s="5">
        <f>W201+X201</f>
        <v/>
      </c>
      <c r="AG201" s="5" t="n"/>
      <c r="AH201" s="13" t="n">
        <v>7580</v>
      </c>
      <c r="AI201" s="13" t="n">
        <v>1559</v>
      </c>
      <c r="AJ201" s="5" t="n"/>
      <c r="AL201" s="5" t="n"/>
      <c r="AM201" s="5" t="n">
        <v>67990.58695652173</v>
      </c>
      <c r="AN201" s="5">
        <f>Y201-AM201</f>
        <v/>
      </c>
      <c r="AO201" s="5" t="n"/>
      <c r="AP201" s="5">
        <f>U201-AL201</f>
        <v/>
      </c>
      <c r="AQ201" s="20" t="n">
        <v>7580</v>
      </c>
      <c r="AR201" s="20" t="n"/>
      <c r="AT201" s="3" t="n">
        <v>33</v>
      </c>
      <c r="AV201" s="5">
        <f>ROUNDUP((AT201/8)*80,0)</f>
        <v/>
      </c>
      <c r="AX201" s="38">
        <f>AV201*W201</f>
        <v/>
      </c>
      <c r="BA201" s="3" t="n">
        <v>29</v>
      </c>
      <c r="BB201" s="3" t="n">
        <v>257</v>
      </c>
      <c r="BC201" s="3" t="n">
        <v>797</v>
      </c>
      <c r="BD201" s="3">
        <f>BC201+BB201+BA201</f>
        <v/>
      </c>
      <c r="BE201" s="3" t="n">
        <v>392</v>
      </c>
      <c r="BF201" s="3" t="n">
        <v>0</v>
      </c>
      <c r="BH201" s="3">
        <f>ROUNDUP(BD201*1.85,0)</f>
        <v/>
      </c>
      <c r="BJ201" s="38">
        <f>BH201*V201</f>
        <v/>
      </c>
      <c r="BL201" s="3">
        <f>U201*1.18</f>
        <v/>
      </c>
    </row>
    <row r="202">
      <c r="A202" s="1" t="inlineStr">
        <is>
          <t>81X800LCIN</t>
        </is>
      </c>
      <c r="B202" s="1">
        <f>IF(BL202&lt;40000,"Entry",IF(BL202&gt;65000,"Premium","Mainstream"))</f>
        <v/>
      </c>
      <c r="C202" s="1" t="inlineStr">
        <is>
          <t>Mainstream</t>
        </is>
      </c>
      <c r="D202" s="1" t="inlineStr">
        <is>
          <t>i3 OS Office</t>
        </is>
      </c>
      <c r="E202" s="1" t="inlineStr">
        <is>
          <t>Thin &amp; Light</t>
        </is>
      </c>
      <c r="F202" s="1" t="inlineStr">
        <is>
          <t>Slim 3</t>
        </is>
      </c>
      <c r="G202" s="1" t="inlineStr">
        <is>
          <t>IdeaPad 3 15ITL05</t>
        </is>
      </c>
      <c r="H202" s="1" t="inlineStr">
        <is>
          <t>i3</t>
        </is>
      </c>
      <c r="I202" s="1" t="inlineStr">
        <is>
          <t>11th Gen</t>
        </is>
      </c>
      <c r="J202" s="1" t="inlineStr">
        <is>
          <t>i3-1115G4</t>
        </is>
      </c>
      <c r="K202" s="1" t="inlineStr">
        <is>
          <t>8GB</t>
        </is>
      </c>
      <c r="L202" s="1" t="inlineStr">
        <is>
          <t>256GB SSD</t>
        </is>
      </c>
      <c r="M202" s="1" t="inlineStr">
        <is>
          <t>Win11</t>
        </is>
      </c>
      <c r="N202" s="1" t="inlineStr">
        <is>
          <t>OFFICE 2021</t>
        </is>
      </c>
      <c r="O202" s="1" t="inlineStr">
        <is>
          <t>INTEGRATED_GRAPHICS</t>
        </is>
      </c>
      <c r="P202" s="1" t="inlineStr">
        <is>
          <t>15.6FHD_TN_AG_220N_N</t>
        </is>
      </c>
      <c r="Q202" s="1" t="inlineStr">
        <is>
          <t>2 Yr Warranty</t>
        </is>
      </c>
      <c r="R202" s="1" t="inlineStr">
        <is>
          <t>Full GTN</t>
        </is>
      </c>
      <c r="S202" s="1" t="n"/>
      <c r="T202" s="2" t="n">
        <v>29905.02157288135</v>
      </c>
      <c r="U202" s="13" t="n">
        <v>31622.10169491525</v>
      </c>
      <c r="V202" s="13" t="n">
        <v>692.1525423728744</v>
      </c>
      <c r="W202" s="13" t="n">
        <v>2510</v>
      </c>
      <c r="X202" s="13" t="n"/>
      <c r="Y202" s="2">
        <f>(U202*0.89-S202-V202-W202-X202)*1.18/0.92</f>
        <v/>
      </c>
      <c r="Z202" s="18">
        <f>AC202</f>
        <v/>
      </c>
      <c r="AA202" s="5" t="inlineStr">
        <is>
          <t>Ok</t>
        </is>
      </c>
      <c r="AB202" s="5" t="n"/>
      <c r="AC202" s="14" t="n">
        <v>31990</v>
      </c>
      <c r="AD202" s="5">
        <f>(Y202-AC202)/1.18*0.92</f>
        <v/>
      </c>
      <c r="AE202" s="5" t="n"/>
      <c r="AF202" s="5">
        <f>W202+X202</f>
        <v/>
      </c>
      <c r="AG202" s="5" t="n"/>
      <c r="AH202" s="13" t="n">
        <v>692.1525423728744</v>
      </c>
      <c r="AI202" s="13" t="n">
        <v>3290</v>
      </c>
      <c r="AJ202" s="5" t="n"/>
      <c r="AL202" s="5" t="n"/>
      <c r="AM202" s="5" t="n">
        <v>30990</v>
      </c>
      <c r="AN202" s="5">
        <f>Y202-AM202</f>
        <v/>
      </c>
      <c r="AO202" s="5" t="n"/>
      <c r="AP202" s="5">
        <f>U202-AL202</f>
        <v/>
      </c>
      <c r="AQ202" s="20" t="n">
        <v>692.1525423728744</v>
      </c>
      <c r="AR202" s="20" t="n">
        <v>3289.823050847463</v>
      </c>
      <c r="AT202" s="3" t="n">
        <v>0</v>
      </c>
      <c r="AV202" s="5">
        <f>ROUNDUP((AT202/8)*80,0)</f>
        <v/>
      </c>
      <c r="AX202" s="38">
        <f>AV202*W202</f>
        <v/>
      </c>
      <c r="BA202" s="3" t="n">
        <v>0</v>
      </c>
      <c r="BB202" s="3" t="n">
        <v>-1</v>
      </c>
      <c r="BC202" s="3" t="n">
        <v>0</v>
      </c>
      <c r="BD202" s="3">
        <f>BC202+BB202+BA202</f>
        <v/>
      </c>
      <c r="BE202" s="3" t="n">
        <v>0</v>
      </c>
      <c r="BF202" s="3" t="n">
        <v>0</v>
      </c>
      <c r="BH202" s="3">
        <f>ROUNDUP(BD202*1.85,0)</f>
        <v/>
      </c>
      <c r="BJ202" s="38">
        <f>BH202*V202</f>
        <v/>
      </c>
      <c r="BL202" s="3">
        <f>U202*1.18</f>
        <v/>
      </c>
    </row>
    <row r="203">
      <c r="A203" s="1" t="inlineStr">
        <is>
          <t>81X800LAIN</t>
        </is>
      </c>
      <c r="B203" s="1">
        <f>IF(BL203&lt;40000,"Entry",IF(BL203&gt;65000,"Premium","Mainstream"))</f>
        <v/>
      </c>
      <c r="C203" s="1" t="inlineStr">
        <is>
          <t>Mainstream</t>
        </is>
      </c>
      <c r="D203" s="1" t="inlineStr">
        <is>
          <t>i3 OS Office</t>
        </is>
      </c>
      <c r="E203" s="1" t="inlineStr">
        <is>
          <t>Thin &amp; Light</t>
        </is>
      </c>
      <c r="F203" s="1" t="inlineStr">
        <is>
          <t>Slim 3</t>
        </is>
      </c>
      <c r="G203" s="1" t="inlineStr">
        <is>
          <t>IdeaPad 3 15ITL05</t>
        </is>
      </c>
      <c r="H203" s="1" t="inlineStr">
        <is>
          <t>I3</t>
        </is>
      </c>
      <c r="I203" s="1" t="inlineStr">
        <is>
          <t>11th Gen</t>
        </is>
      </c>
      <c r="J203" s="1" t="inlineStr">
        <is>
          <t>i3-1115G4</t>
        </is>
      </c>
      <c r="K203" s="1" t="inlineStr">
        <is>
          <t>8GB</t>
        </is>
      </c>
      <c r="L203" s="1" t="inlineStr">
        <is>
          <t>512GB SSD</t>
        </is>
      </c>
      <c r="M203" s="1" t="inlineStr">
        <is>
          <t>Win11</t>
        </is>
      </c>
      <c r="N203" s="1" t="inlineStr">
        <is>
          <t>Office 2021</t>
        </is>
      </c>
      <c r="O203" s="1" t="inlineStr">
        <is>
          <t>INTEGRATED_GRAPHICS</t>
        </is>
      </c>
      <c r="P203" s="1" t="inlineStr">
        <is>
          <t>15.6FHD_TN_AG_220N_N</t>
        </is>
      </c>
      <c r="Q203" s="1" t="inlineStr">
        <is>
          <t>2 Yr Warranty</t>
        </is>
      </c>
      <c r="R203" s="1" t="inlineStr">
        <is>
          <t>Full GTN</t>
        </is>
      </c>
      <c r="S203" s="1" t="n"/>
      <c r="T203" s="2" t="n">
        <v>32851.24573559322</v>
      </c>
      <c r="U203" s="13" t="n">
        <v>34737.49152542373</v>
      </c>
      <c r="V203" s="13" t="n">
        <v>1141.113220338979</v>
      </c>
      <c r="W203" s="13" t="n">
        <v>2495</v>
      </c>
      <c r="X203" s="13" t="n"/>
      <c r="Y203" s="2">
        <f>(U203*0.89-S203-V203-W203-X203)*1.18/0.92</f>
        <v/>
      </c>
      <c r="Z203" s="18">
        <f>AC203</f>
        <v/>
      </c>
      <c r="AA203" s="5" t="inlineStr">
        <is>
          <t>Ok</t>
        </is>
      </c>
      <c r="AB203" s="5" t="n"/>
      <c r="AC203" s="14" t="n">
        <v>34990</v>
      </c>
      <c r="AD203" s="5">
        <f>(Y203-AC203)/1.18*0.92</f>
        <v/>
      </c>
      <c r="AE203" s="5" t="n"/>
      <c r="AF203" s="5">
        <f>W203+X203</f>
        <v/>
      </c>
      <c r="AG203" s="5" t="n"/>
      <c r="AH203" s="13" t="n">
        <v>1141.113220338979</v>
      </c>
      <c r="AI203" s="13" t="n">
        <v>3275</v>
      </c>
      <c r="AJ203" s="5" t="n"/>
      <c r="AL203" s="5" t="n"/>
      <c r="AM203" s="5" t="n">
        <v>33990</v>
      </c>
      <c r="AN203" s="5">
        <f>Y203-AM203</f>
        <v/>
      </c>
      <c r="AO203" s="5" t="n"/>
      <c r="AP203" s="5">
        <f>U203-AL203</f>
        <v/>
      </c>
      <c r="AQ203" s="20" t="n">
        <v>1141.113220338979</v>
      </c>
      <c r="AR203" s="20" t="n">
        <v>3274.576271186445</v>
      </c>
      <c r="AT203" s="3" t="n">
        <v>0</v>
      </c>
      <c r="AV203" s="5">
        <f>ROUNDUP((AT203/8)*80,0)</f>
        <v/>
      </c>
      <c r="AX203" s="38">
        <f>AV203*W203</f>
        <v/>
      </c>
      <c r="BA203" s="3" t="n">
        <v>0</v>
      </c>
      <c r="BB203" s="3" t="n">
        <v>-1</v>
      </c>
      <c r="BC203" s="3" t="n">
        <v>0</v>
      </c>
      <c r="BD203" s="3">
        <f>BC203+BB203+BA203</f>
        <v/>
      </c>
      <c r="BE203" s="3" t="n">
        <v>0</v>
      </c>
      <c r="BF203" s="3" t="n">
        <v>0</v>
      </c>
      <c r="BH203" s="3">
        <f>ROUNDUP(BD203*1.85,0)</f>
        <v/>
      </c>
      <c r="BJ203" s="38">
        <f>BH203*V203</f>
        <v/>
      </c>
      <c r="BL203" s="3">
        <f>U203*1.18</f>
        <v/>
      </c>
    </row>
    <row r="204">
      <c r="A204" s="1" t="inlineStr">
        <is>
          <t>81X800N2IN</t>
        </is>
      </c>
      <c r="B204" s="1">
        <f>IF(BL204&lt;40000,"Entry",IF(BL204&gt;65000,"Premium","Mainstream"))</f>
        <v/>
      </c>
      <c r="C204" s="1" t="inlineStr">
        <is>
          <t>Mainstream</t>
        </is>
      </c>
      <c r="D204" s="1" t="inlineStr">
        <is>
          <t>i3 OS Office</t>
        </is>
      </c>
      <c r="E204" s="1" t="inlineStr">
        <is>
          <t>Thin &amp; Light</t>
        </is>
      </c>
      <c r="F204" s="1" t="inlineStr">
        <is>
          <t>Slim 3</t>
        </is>
      </c>
      <c r="G204" s="1" t="inlineStr">
        <is>
          <t>IdeaPad 3 15ITL05</t>
        </is>
      </c>
      <c r="H204" s="1" t="inlineStr">
        <is>
          <t>i3</t>
        </is>
      </c>
      <c r="I204" s="1" t="inlineStr">
        <is>
          <t>11th Gen</t>
        </is>
      </c>
      <c r="J204" s="1" t="inlineStr">
        <is>
          <t>i3-1115G4</t>
        </is>
      </c>
      <c r="K204" s="1" t="inlineStr">
        <is>
          <t>8GB</t>
        </is>
      </c>
      <c r="L204" s="1" t="inlineStr">
        <is>
          <t>512GB SSD</t>
        </is>
      </c>
      <c r="M204" s="1" t="inlineStr">
        <is>
          <t>Win11</t>
        </is>
      </c>
      <c r="N204" s="1" t="inlineStr">
        <is>
          <t>Office 2021</t>
        </is>
      </c>
      <c r="O204" s="1" t="inlineStr">
        <is>
          <t>INTEGRATED_GRAPHICS</t>
        </is>
      </c>
      <c r="P204" s="1" t="inlineStr">
        <is>
          <t>15.6FHD_TN_AG_220N_N</t>
        </is>
      </c>
      <c r="Q204" s="1" t="inlineStr">
        <is>
          <t>2 Yr Warranty</t>
        </is>
      </c>
      <c r="R204" s="1" t="inlineStr">
        <is>
          <t>Full GTN</t>
        </is>
      </c>
      <c r="S204" s="1" t="n"/>
      <c r="T204" s="2" t="n">
        <v>32054.10077966102</v>
      </c>
      <c r="U204" s="13" t="n">
        <v>33894.57627118644</v>
      </c>
      <c r="V204" s="13" t="n">
        <v>391</v>
      </c>
      <c r="W204" s="13" t="n">
        <v>2495</v>
      </c>
      <c r="X204" s="13" t="n"/>
      <c r="Y204" s="2">
        <f>(U204*0.89-S204-V204-W204-X204)*1.18/0.92</f>
        <v/>
      </c>
      <c r="Z204" s="18">
        <f>AC204</f>
        <v/>
      </c>
      <c r="AA204" s="5" t="inlineStr">
        <is>
          <t>Ok</t>
        </is>
      </c>
      <c r="AB204" s="5" t="n"/>
      <c r="AC204" s="14" t="n">
        <v>34990</v>
      </c>
      <c r="AD204" s="5">
        <f>(Y204-AC204)/1.18*0.92</f>
        <v/>
      </c>
      <c r="AE204" s="5" t="n"/>
      <c r="AF204" s="5">
        <f>W204+X204</f>
        <v/>
      </c>
      <c r="AG204" s="5" t="n"/>
      <c r="AH204" s="13" t="n">
        <v>391</v>
      </c>
      <c r="AI204" s="13" t="n">
        <v>3275</v>
      </c>
      <c r="AJ204" s="5" t="n"/>
      <c r="AL204" s="5" t="n"/>
      <c r="AM204" s="5" t="n">
        <v>33990</v>
      </c>
      <c r="AN204" s="5">
        <f>Y204-AM204</f>
        <v/>
      </c>
      <c r="AO204" s="5" t="n"/>
      <c r="AP204" s="5">
        <f>U204-AL204</f>
        <v/>
      </c>
      <c r="AQ204" s="20" t="n">
        <v>391</v>
      </c>
      <c r="AR204" s="20" t="n">
        <v>3274.494915254239</v>
      </c>
      <c r="AT204" s="3" t="n">
        <v>68</v>
      </c>
      <c r="AV204" s="5">
        <f>ROUNDUP((AT204/8)*80,0)</f>
        <v/>
      </c>
      <c r="AX204" s="38">
        <f>AV204*W204</f>
        <v/>
      </c>
      <c r="BA204" s="3" t="n">
        <v>-1</v>
      </c>
      <c r="BB204" s="3" t="n">
        <v>0</v>
      </c>
      <c r="BC204" s="3" t="n">
        <v>0</v>
      </c>
      <c r="BD204" s="3">
        <f>BC204+BB204+BA204</f>
        <v/>
      </c>
      <c r="BE204" s="3" t="n">
        <v>0</v>
      </c>
      <c r="BF204" s="3" t="n">
        <v>0</v>
      </c>
      <c r="BH204" s="3">
        <f>ROUNDUP(BD204*1.85,0)</f>
        <v/>
      </c>
      <c r="BJ204" s="38">
        <f>BH204*V204</f>
        <v/>
      </c>
      <c r="BL204" s="3">
        <f>U204*1.18</f>
        <v/>
      </c>
    </row>
    <row r="205">
      <c r="A205" s="1" t="inlineStr">
        <is>
          <t>81X800HYIN</t>
        </is>
      </c>
      <c r="B205" s="1">
        <f>IF(BL205&lt;40000,"Entry",IF(BL205&gt;65000,"Premium","Mainstream"))</f>
        <v/>
      </c>
      <c r="C205" s="1" t="inlineStr">
        <is>
          <t>Mainstream</t>
        </is>
      </c>
      <c r="D205" s="1" t="inlineStr">
        <is>
          <t>i3 OS Office</t>
        </is>
      </c>
      <c r="E205" s="1" t="inlineStr">
        <is>
          <t>Thin &amp; Light</t>
        </is>
      </c>
      <c r="F205" s="1" t="inlineStr">
        <is>
          <t>Slim 3</t>
        </is>
      </c>
      <c r="G205" s="1" t="inlineStr">
        <is>
          <t>IdeaPad 3 15ITL05</t>
        </is>
      </c>
      <c r="H205" s="1" t="inlineStr">
        <is>
          <t>i3</t>
        </is>
      </c>
      <c r="I205" s="1" t="inlineStr">
        <is>
          <t>11th Gen</t>
        </is>
      </c>
      <c r="J205" s="1" t="inlineStr">
        <is>
          <t>i3-1115G4</t>
        </is>
      </c>
      <c r="K205" s="1" t="inlineStr">
        <is>
          <t>8GB</t>
        </is>
      </c>
      <c r="L205" s="1" t="inlineStr">
        <is>
          <t>256GB SSD</t>
        </is>
      </c>
      <c r="M205" s="1" t="inlineStr">
        <is>
          <t>Win11</t>
        </is>
      </c>
      <c r="N205" s="1" t="inlineStr">
        <is>
          <t>OFFICE 2021</t>
        </is>
      </c>
      <c r="O205" s="1" t="inlineStr">
        <is>
          <t>INTEGRATED_GRAPHICS</t>
        </is>
      </c>
      <c r="P205" s="1" t="inlineStr">
        <is>
          <t>15.6FHD_TN_AG_220N_N</t>
        </is>
      </c>
      <c r="Q205" s="1" t="inlineStr">
        <is>
          <t>2 Yr Warranty</t>
        </is>
      </c>
      <c r="R205" s="1" t="inlineStr">
        <is>
          <t>Full GTN</t>
        </is>
      </c>
      <c r="S205" s="1" t="n"/>
      <c r="T205" s="2" t="n">
        <v>30446.15431864407</v>
      </c>
      <c r="U205" s="13" t="n">
        <v>32194.30508474577</v>
      </c>
      <c r="V205" s="13" t="n">
        <v>1264.355932203394</v>
      </c>
      <c r="W205" s="13" t="n">
        <v>2447</v>
      </c>
      <c r="X205" s="13" t="n"/>
      <c r="Y205" s="2">
        <f>(U205*0.89-S205-V205-W205-X205)*1.18/0.92</f>
        <v/>
      </c>
      <c r="Z205" s="18">
        <f>AC205</f>
        <v/>
      </c>
      <c r="AA205" s="5" t="inlineStr">
        <is>
          <t>Ok</t>
        </is>
      </c>
      <c r="AB205" s="5" t="n"/>
      <c r="AC205" s="14" t="n">
        <v>31990</v>
      </c>
      <c r="AD205" s="5">
        <f>(Y205-AC205)/1.18*0.92</f>
        <v/>
      </c>
      <c r="AE205" s="5" t="n"/>
      <c r="AF205" s="5">
        <f>W205+X205</f>
        <v/>
      </c>
      <c r="AG205" s="5" t="n"/>
      <c r="AH205" s="13" t="n">
        <v>1264.355932203394</v>
      </c>
      <c r="AI205" s="13" t="n">
        <v>3227</v>
      </c>
      <c r="AJ205" s="5" t="n"/>
      <c r="AL205" s="5" t="n"/>
      <c r="AM205" s="5" t="n">
        <v>30990</v>
      </c>
      <c r="AN205" s="5">
        <f>Y205-AM205</f>
        <v/>
      </c>
      <c r="AO205" s="5" t="n"/>
      <c r="AP205" s="5">
        <f>U205-AL205</f>
        <v/>
      </c>
      <c r="AQ205" s="20" t="n">
        <v>1264.355932203394</v>
      </c>
      <c r="AR205" s="20" t="n">
        <v>3226.880677966106</v>
      </c>
      <c r="AT205" s="3" t="n">
        <v>0</v>
      </c>
      <c r="AV205" s="5">
        <f>ROUNDUP((AT205/8)*80,0)</f>
        <v/>
      </c>
      <c r="AX205" s="38">
        <f>AV205*W205</f>
        <v/>
      </c>
      <c r="BA205" s="3" t="n">
        <v>0</v>
      </c>
      <c r="BB205" s="3" t="n">
        <v>0</v>
      </c>
      <c r="BC205" s="3" t="n">
        <v>0</v>
      </c>
      <c r="BD205" s="3">
        <f>BC205+BB205+BA205</f>
        <v/>
      </c>
      <c r="BE205" s="3" t="n">
        <v>0</v>
      </c>
      <c r="BF205" s="3" t="n">
        <v>0</v>
      </c>
      <c r="BH205" s="3">
        <f>ROUNDUP(BD205*1.85,0)</f>
        <v/>
      </c>
      <c r="BJ205" s="38">
        <f>BH205*V205</f>
        <v/>
      </c>
      <c r="BL205" s="3">
        <f>U205*1.18</f>
        <v/>
      </c>
    </row>
    <row r="206">
      <c r="A206" s="1" t="inlineStr">
        <is>
          <t>82H801LGIN</t>
        </is>
      </c>
      <c r="B206" s="1">
        <f>IF(BL206&lt;40000,"Entry",IF(BL206&gt;65000,"Premium","Mainstream"))</f>
        <v/>
      </c>
      <c r="C206" s="1" t="inlineStr">
        <is>
          <t>Mainstream</t>
        </is>
      </c>
      <c r="D206" s="1" t="inlineStr">
        <is>
          <t>i3 OS Office</t>
        </is>
      </c>
      <c r="E206" s="1" t="inlineStr">
        <is>
          <t>Thin &amp; Light</t>
        </is>
      </c>
      <c r="F206" s="1" t="inlineStr">
        <is>
          <t>Slim 3</t>
        </is>
      </c>
      <c r="G206" s="1" t="inlineStr">
        <is>
          <t>IP 3 15ITL6</t>
        </is>
      </c>
      <c r="H206" s="1" t="inlineStr">
        <is>
          <t>i3</t>
        </is>
      </c>
      <c r="I206" s="1" t="inlineStr">
        <is>
          <t>11th Gen</t>
        </is>
      </c>
      <c r="J206" s="1" t="inlineStr">
        <is>
          <t>i3-1115G4</t>
        </is>
      </c>
      <c r="K206" s="1" t="inlineStr">
        <is>
          <t>8GB</t>
        </is>
      </c>
      <c r="L206" s="1" t="inlineStr">
        <is>
          <t>256GB SSD</t>
        </is>
      </c>
      <c r="M206" s="1" t="inlineStr">
        <is>
          <t>Win11</t>
        </is>
      </c>
      <c r="N206" s="1" t="inlineStr">
        <is>
          <t>Office 2021</t>
        </is>
      </c>
      <c r="O206" s="1" t="inlineStr">
        <is>
          <t>INTEGRATED_GRAPHICS</t>
        </is>
      </c>
      <c r="P206" s="1" t="inlineStr">
        <is>
          <t>15.6FHD_TN_AG_250N_N</t>
        </is>
      </c>
      <c r="Q206" s="1" t="inlineStr">
        <is>
          <t>2 Yr Warranty</t>
        </is>
      </c>
      <c r="R206" s="7" t="inlineStr">
        <is>
          <t>Full GTN</t>
        </is>
      </c>
      <c r="S206" s="1" t="n">
        <v>725</v>
      </c>
      <c r="T206" s="2" t="n">
        <v>31247.85145762712</v>
      </c>
      <c r="U206" s="13" t="n">
        <v>33042.03389830509</v>
      </c>
      <c r="V206" s="13" t="n">
        <v>1402.071186440677</v>
      </c>
      <c r="W206" s="13" t="n">
        <v>2339</v>
      </c>
      <c r="X206" s="13" t="n"/>
      <c r="Y206" s="2">
        <f>(U206*0.89-S206-V206-W206-X206)*1.18/0.92</f>
        <v/>
      </c>
      <c r="Z206" s="18">
        <f>AC206</f>
        <v/>
      </c>
      <c r="AA206" s="5" t="inlineStr">
        <is>
          <t>Ok</t>
        </is>
      </c>
      <c r="AB206" s="5" t="n"/>
      <c r="AC206" s="14" t="n">
        <v>31990</v>
      </c>
      <c r="AD206" s="5">
        <f>(Y206-AC206)/1.18*0.92</f>
        <v/>
      </c>
      <c r="AE206" s="5" t="n"/>
      <c r="AF206" s="5">
        <f>W206+X206</f>
        <v/>
      </c>
      <c r="AG206" s="5" t="n"/>
      <c r="AH206" s="13" t="n">
        <v>1402.071186440677</v>
      </c>
      <c r="AI206" s="13" t="n">
        <v>3119</v>
      </c>
      <c r="AJ206" s="5" t="n"/>
      <c r="AL206" s="5" t="n"/>
      <c r="AM206" s="5" t="n">
        <v>30990</v>
      </c>
      <c r="AN206" s="5">
        <f>Y206-AM206</f>
        <v/>
      </c>
      <c r="AO206" s="5" t="n"/>
      <c r="AP206" s="5">
        <f>U206-AL206</f>
        <v/>
      </c>
      <c r="AQ206" s="20" t="n">
        <v>1402.071186440677</v>
      </c>
      <c r="AR206" s="20" t="n">
        <v>3118.644067796617</v>
      </c>
      <c r="AT206" s="3" t="n">
        <v>0</v>
      </c>
      <c r="AV206" s="5">
        <f>ROUNDUP((AT206/8)*80,0)</f>
        <v/>
      </c>
      <c r="AX206" s="38">
        <f>AV206*W206</f>
        <v/>
      </c>
      <c r="BA206" s="3" t="n">
        <v>0</v>
      </c>
      <c r="BB206" s="3" t="n">
        <v>0</v>
      </c>
      <c r="BC206" s="3" t="n">
        <v>0</v>
      </c>
      <c r="BD206" s="3">
        <f>BC206+BB206+BA206</f>
        <v/>
      </c>
      <c r="BE206" s="3" t="n">
        <v>1</v>
      </c>
      <c r="BF206" s="3" t="n">
        <v>3</v>
      </c>
      <c r="BH206" s="3">
        <f>ROUNDUP(BD206*1.85,0)</f>
        <v/>
      </c>
      <c r="BJ206" s="38">
        <f>BH206*V206</f>
        <v/>
      </c>
      <c r="BL206" s="3">
        <f>U206*1.18</f>
        <v/>
      </c>
    </row>
    <row r="207">
      <c r="A207" s="1" t="inlineStr">
        <is>
          <t>82SB00V4IN</t>
        </is>
      </c>
      <c r="B207" s="1">
        <f>IF(BL207&lt;40000,"Entry",IF(BL207&gt;65000,"Premium","Mainstream"))</f>
        <v/>
      </c>
      <c r="C207" s="1" t="inlineStr">
        <is>
          <t>Premium</t>
        </is>
      </c>
      <c r="D207" s="1" t="inlineStr">
        <is>
          <t>R5 OS 4GB Graphics</t>
        </is>
      </c>
      <c r="E207" s="1" t="inlineStr">
        <is>
          <t>Gaming</t>
        </is>
      </c>
      <c r="F207" s="1" t="inlineStr">
        <is>
          <t>IP Gaming 3</t>
        </is>
      </c>
      <c r="G207" s="1" t="inlineStr">
        <is>
          <t>IdeaPad Gaming 3 15ARH7</t>
        </is>
      </c>
      <c r="H207" s="1" t="inlineStr">
        <is>
          <t>R5</t>
        </is>
      </c>
      <c r="I207" s="1" t="inlineStr">
        <is>
          <t>6XXXH</t>
        </is>
      </c>
      <c r="J207" s="1" t="inlineStr">
        <is>
          <t>R5-6600H</t>
        </is>
      </c>
      <c r="K207" s="1" t="inlineStr">
        <is>
          <t>8GB</t>
        </is>
      </c>
      <c r="L207" s="1" t="inlineStr">
        <is>
          <t>512GB SSD</t>
        </is>
      </c>
      <c r="M207" s="1" t="inlineStr">
        <is>
          <t>Windows 11</t>
        </is>
      </c>
      <c r="N207" s="1" t="inlineStr">
        <is>
          <t>No Office</t>
        </is>
      </c>
      <c r="O207" s="1" t="inlineStr">
        <is>
          <t>RTX 3050 4GB</t>
        </is>
      </c>
      <c r="P207" s="1" t="inlineStr">
        <is>
          <t>15.6_FHD_AG_250N_120Hz</t>
        </is>
      </c>
      <c r="Q207" s="1" t="inlineStr">
        <is>
          <t>1 year Onsite</t>
        </is>
      </c>
      <c r="R207" s="1" t="inlineStr">
        <is>
          <t>Zero GTN</t>
        </is>
      </c>
      <c r="S207" s="1" t="n">
        <v>0</v>
      </c>
      <c r="T207" s="2">
        <f>U207*0.98*0.98</f>
        <v/>
      </c>
      <c r="U207" s="13" t="n">
        <v>51283.05084745763</v>
      </c>
      <c r="V207" s="13" t="n">
        <v>0</v>
      </c>
      <c r="W207" s="13" t="n">
        <v>360</v>
      </c>
      <c r="X207" s="13" t="n"/>
      <c r="Y207" s="2">
        <f>(U207*0.98-S207-V207-W207-X207)*1.18/0.92</f>
        <v/>
      </c>
      <c r="Z207" s="18" t="n">
        <v>63990</v>
      </c>
      <c r="AA207" s="5" t="n"/>
      <c r="AB207" s="5" t="n"/>
      <c r="AC207" s="14" t="n">
        <v>0</v>
      </c>
      <c r="AD207" s="5" t="n">
        <v>0</v>
      </c>
      <c r="AE207" s="5" t="n"/>
      <c r="AF207" s="5">
        <f>W207+X207</f>
        <v/>
      </c>
      <c r="AG207" s="5" t="n"/>
      <c r="AH207" s="13" t="n">
        <v>0</v>
      </c>
      <c r="AI207" s="13" t="n">
        <v>360</v>
      </c>
      <c r="AJ207" s="5" t="n"/>
      <c r="AL207" s="5" t="n"/>
      <c r="AM207" s="5" t="n">
        <v>63998.82608695652</v>
      </c>
      <c r="AN207" s="5">
        <f>Y207-AM207</f>
        <v/>
      </c>
      <c r="AO207" s="5" t="n"/>
      <c r="AP207" s="5">
        <f>U207-AL207</f>
        <v/>
      </c>
      <c r="AQ207" s="20" t="n">
        <v>0</v>
      </c>
      <c r="AR207" s="20" t="n">
        <v>360</v>
      </c>
      <c r="AT207" s="3" t="n">
        <v>0</v>
      </c>
      <c r="AV207" s="5">
        <f>ROUNDUP((AT207/8)*80,0)</f>
        <v/>
      </c>
      <c r="AX207" s="38">
        <f>AV207*W207</f>
        <v/>
      </c>
      <c r="BA207" s="3" t="n">
        <v>0</v>
      </c>
      <c r="BB207" s="3" t="n">
        <v>0</v>
      </c>
      <c r="BC207" s="3" t="n">
        <v>0</v>
      </c>
      <c r="BD207" s="3">
        <f>BC207+BB207+BA207</f>
        <v/>
      </c>
      <c r="BE207" s="3" t="n">
        <v>0</v>
      </c>
      <c r="BF207" s="3" t="n">
        <v>0</v>
      </c>
      <c r="BH207" s="3">
        <f>ROUNDUP(BD207*1.85,0)</f>
        <v/>
      </c>
      <c r="BJ207" s="38">
        <f>BH207*V207</f>
        <v/>
      </c>
      <c r="BL207" s="3">
        <f>U207*1.18</f>
        <v/>
      </c>
    </row>
    <row r="208">
      <c r="A208" s="1" t="inlineStr">
        <is>
          <t>82H8038WIN</t>
        </is>
      </c>
      <c r="B208" s="1">
        <f>IF(BL208&lt;40000,"Entry",IF(BL208&gt;65000,"Premium","Mainstream"))</f>
        <v/>
      </c>
      <c r="C208" s="1" t="inlineStr">
        <is>
          <t>Mainstream</t>
        </is>
      </c>
      <c r="D208" s="1" t="inlineStr">
        <is>
          <t>i3 OS Office</t>
        </is>
      </c>
      <c r="E208" s="1" t="inlineStr">
        <is>
          <t>Thin &amp; Light</t>
        </is>
      </c>
      <c r="F208" s="1" t="inlineStr">
        <is>
          <t>Slim 3</t>
        </is>
      </c>
      <c r="G208" s="1" t="inlineStr">
        <is>
          <t>IP 3 15ITL6</t>
        </is>
      </c>
      <c r="H208" s="1" t="inlineStr">
        <is>
          <t>i3</t>
        </is>
      </c>
      <c r="I208" s="1" t="inlineStr">
        <is>
          <t>11th Gen</t>
        </is>
      </c>
      <c r="J208" s="1" t="inlineStr">
        <is>
          <t>i3-1115G4</t>
        </is>
      </c>
      <c r="K208" s="1" t="inlineStr">
        <is>
          <t>8GB</t>
        </is>
      </c>
      <c r="L208" s="1" t="inlineStr">
        <is>
          <t>512GB SSD</t>
        </is>
      </c>
      <c r="M208" s="1" t="inlineStr">
        <is>
          <t>Windows 11</t>
        </is>
      </c>
      <c r="N208" s="1" t="inlineStr">
        <is>
          <t>OFFICE 2021</t>
        </is>
      </c>
      <c r="O208" s="1" t="inlineStr">
        <is>
          <t>INTEGRATED_GRAPHICS</t>
        </is>
      </c>
      <c r="P208" s="1" t="inlineStr">
        <is>
          <t>15.6FHD_TN_AG_250N_N</t>
        </is>
      </c>
      <c r="Q208" s="1" t="inlineStr">
        <is>
          <t>2 Yr Warranty</t>
        </is>
      </c>
      <c r="R208" s="1" t="inlineStr">
        <is>
          <t>Full GTN</t>
        </is>
      </c>
      <c r="S208" s="1" t="n">
        <v>725</v>
      </c>
      <c r="T208" s="2" t="n">
        <v>32210.14127966102</v>
      </c>
      <c r="U208" s="13" t="n">
        <v>34059.57627118644</v>
      </c>
      <c r="V208" s="13" t="n">
        <v>0</v>
      </c>
      <c r="W208" s="13" t="n">
        <v>2308</v>
      </c>
      <c r="X208" s="13" t="n"/>
      <c r="Y208" s="2">
        <f>(U208*0.89-S208-V208-W208-X208)*1.18/0.92</f>
        <v/>
      </c>
      <c r="Z208" s="18">
        <f>AC208</f>
        <v/>
      </c>
      <c r="AA208" s="5" t="inlineStr">
        <is>
          <t>Ok</t>
        </is>
      </c>
      <c r="AB208" s="5" t="n"/>
      <c r="AC208" s="14" t="n">
        <v>34990</v>
      </c>
      <c r="AD208" s="5">
        <f>(Y208-AC208)/1.18*0.92</f>
        <v/>
      </c>
      <c r="AE208" s="5" t="n"/>
      <c r="AF208" s="5">
        <f>W208+X208</f>
        <v/>
      </c>
      <c r="AG208" s="5" t="n"/>
      <c r="AH208" s="13" t="n">
        <v>0</v>
      </c>
      <c r="AI208" s="13" t="n">
        <v>3087</v>
      </c>
      <c r="AJ208" s="5" t="n"/>
      <c r="AL208" s="5" t="n"/>
      <c r="AM208" s="5" t="n">
        <v>33990</v>
      </c>
      <c r="AN208" s="5">
        <f>Y208-AM208</f>
        <v/>
      </c>
      <c r="AO208" s="5" t="n"/>
      <c r="AP208" s="5">
        <f>U208-AL208</f>
        <v/>
      </c>
      <c r="AQ208" s="20" t="n">
        <v>0</v>
      </c>
      <c r="AR208" s="20" t="n">
        <v>3087.344915254242</v>
      </c>
      <c r="AT208" s="3" t="n">
        <v>0</v>
      </c>
      <c r="AV208" s="5">
        <f>ROUNDUP((AT208/8)*80,0)</f>
        <v/>
      </c>
      <c r="AX208" s="38">
        <f>AV208*W208</f>
        <v/>
      </c>
      <c r="BA208" s="3" t="n">
        <v>0</v>
      </c>
      <c r="BB208" s="3" t="n">
        <v>0</v>
      </c>
      <c r="BC208" s="3" t="n">
        <v>0</v>
      </c>
      <c r="BD208" s="3">
        <f>BC208+BB208+BA208</f>
        <v/>
      </c>
      <c r="BE208" s="3" t="n">
        <v>0</v>
      </c>
      <c r="BF208" s="3" t="n">
        <v>0</v>
      </c>
      <c r="BH208" s="3">
        <f>ROUNDUP(BD208*1.85,0)</f>
        <v/>
      </c>
      <c r="BJ208" s="38">
        <f>BH208*V208</f>
        <v/>
      </c>
      <c r="BL208" s="3">
        <f>U208*1.18</f>
        <v/>
      </c>
    </row>
    <row r="209">
      <c r="A209" s="1" t="inlineStr">
        <is>
          <t>82H701DNIN</t>
        </is>
      </c>
      <c r="B209" s="1">
        <f>IF(BL209&lt;40000,"Entry",IF(BL209&gt;65000,"Premium","Mainstream"))</f>
        <v/>
      </c>
      <c r="C209" s="1" t="inlineStr">
        <is>
          <t>Mainstream</t>
        </is>
      </c>
      <c r="D209" s="1" t="inlineStr">
        <is>
          <t>i3 OS Office</t>
        </is>
      </c>
      <c r="E209" s="1" t="inlineStr">
        <is>
          <t>Thin &amp; Light</t>
        </is>
      </c>
      <c r="F209" s="1" t="inlineStr">
        <is>
          <t>Slim 3</t>
        </is>
      </c>
      <c r="G209" s="1" t="inlineStr">
        <is>
          <t>IdeaPad 3 14ITL6</t>
        </is>
      </c>
      <c r="H209" s="1" t="inlineStr">
        <is>
          <t>i3</t>
        </is>
      </c>
      <c r="I209" s="1" t="inlineStr">
        <is>
          <t>11th Gen</t>
        </is>
      </c>
      <c r="J209" s="1" t="inlineStr">
        <is>
          <t>i3-1115G4</t>
        </is>
      </c>
      <c r="K209" s="1" t="inlineStr">
        <is>
          <t>8GB</t>
        </is>
      </c>
      <c r="L209" s="1" t="inlineStr">
        <is>
          <t>512GB SSD</t>
        </is>
      </c>
      <c r="M209" s="1" t="inlineStr">
        <is>
          <t>Win11</t>
        </is>
      </c>
      <c r="N209" s="1" t="inlineStr">
        <is>
          <t>Office 2021</t>
        </is>
      </c>
      <c r="O209" s="1" t="inlineStr">
        <is>
          <t>INTEGRATED_GRAPHICS</t>
        </is>
      </c>
      <c r="P209" s="1" t="inlineStr">
        <is>
          <t>14.0FHD_TN_AG_250N_N</t>
        </is>
      </c>
      <c r="Q209" s="1" t="inlineStr">
        <is>
          <t>2 Yr Warranty</t>
        </is>
      </c>
      <c r="R209" s="1" t="inlineStr">
        <is>
          <t>Full GTN</t>
        </is>
      </c>
      <c r="S209" s="1" t="n"/>
      <c r="T209" s="2" t="n">
        <v>31473.0256713007</v>
      </c>
      <c r="U209" s="13" t="n">
        <v>33280.13711673967</v>
      </c>
      <c r="V209" s="13" t="n">
        <v>0</v>
      </c>
      <c r="W209" s="13" t="n">
        <v>3119</v>
      </c>
      <c r="X209" s="13" t="n"/>
      <c r="Y209" s="2">
        <f>(U209*0.89-S209-V209-W209-X209)*1.18/0.92</f>
        <v/>
      </c>
      <c r="Z209" s="18">
        <f>AC209</f>
        <v/>
      </c>
      <c r="AA209" s="5" t="inlineStr">
        <is>
          <t>Ok</t>
        </is>
      </c>
      <c r="AB209" s="5" t="n"/>
      <c r="AC209" s="14" t="n">
        <v>33990</v>
      </c>
      <c r="AD209" s="5">
        <f>(Y209-AC209)/1.18*0.92</f>
        <v/>
      </c>
      <c r="AE209" s="5" t="n"/>
      <c r="AF209" s="5">
        <f>W209+X209</f>
        <v/>
      </c>
      <c r="AG209" s="5" t="n"/>
      <c r="AH209" s="13" t="n">
        <v>0</v>
      </c>
      <c r="AI209" s="13" t="n">
        <v>3898</v>
      </c>
      <c r="AJ209" s="5" t="n"/>
      <c r="AL209" s="5" t="n"/>
      <c r="AM209" s="5" t="n">
        <v>32990</v>
      </c>
      <c r="AN209" s="5">
        <f>Y209-AM209</f>
        <v/>
      </c>
      <c r="AO209" s="5" t="n"/>
      <c r="AP209" s="5">
        <f>U209-AL209</f>
        <v/>
      </c>
      <c r="AQ209" s="20" t="n">
        <v>0</v>
      </c>
      <c r="AR209" s="20" t="n">
        <v>3898.305084745763</v>
      </c>
      <c r="AT209" s="3" t="n">
        <v>1</v>
      </c>
      <c r="AV209" s="5">
        <f>ROUNDUP((AT209/8)*80,0)</f>
        <v/>
      </c>
      <c r="AX209" s="38">
        <f>AV209*W209</f>
        <v/>
      </c>
      <c r="BA209" s="3" t="n">
        <v>0</v>
      </c>
      <c r="BB209" s="3" t="n">
        <v>0</v>
      </c>
      <c r="BC209" s="3" t="n">
        <v>0</v>
      </c>
      <c r="BD209" s="3">
        <f>BC209+BB209+BA209</f>
        <v/>
      </c>
      <c r="BE209" s="3" t="n">
        <v>0</v>
      </c>
      <c r="BF209" s="3" t="n">
        <v>0</v>
      </c>
      <c r="BH209" s="3">
        <f>ROUNDUP(BD209*1.85,0)</f>
        <v/>
      </c>
      <c r="BJ209" s="38">
        <f>BH209*V209</f>
        <v/>
      </c>
      <c r="BL209" s="3">
        <f>U209*1.18</f>
        <v/>
      </c>
    </row>
    <row r="210">
      <c r="A210" s="1" t="inlineStr">
        <is>
          <t>82H803LPIN</t>
        </is>
      </c>
      <c r="B210" s="1">
        <f>IF(BL210&lt;40000,"Entry",IF(BL210&gt;65000,"Premium","Mainstream"))</f>
        <v/>
      </c>
      <c r="C210" s="1" t="inlineStr">
        <is>
          <t>Premium</t>
        </is>
      </c>
      <c r="D210" s="1" t="inlineStr">
        <is>
          <t>i7 OS Office</t>
        </is>
      </c>
      <c r="E210" s="1" t="inlineStr">
        <is>
          <t>Thin &amp; Light</t>
        </is>
      </c>
      <c r="F210" s="1" t="inlineStr">
        <is>
          <t>Slim 3</t>
        </is>
      </c>
      <c r="G210" s="1" t="inlineStr">
        <is>
          <t>IP 3 15ITL6</t>
        </is>
      </c>
      <c r="H210" s="1" t="inlineStr">
        <is>
          <t>i7</t>
        </is>
      </c>
      <c r="I210" s="1" t="inlineStr">
        <is>
          <t>11th Gen</t>
        </is>
      </c>
      <c r="J210" s="1" t="inlineStr">
        <is>
          <t>I7-1165G7</t>
        </is>
      </c>
      <c r="K210" s="1" t="inlineStr">
        <is>
          <t>16GB</t>
        </is>
      </c>
      <c r="L210" s="1" t="inlineStr">
        <is>
          <t>512GB SSD</t>
        </is>
      </c>
      <c r="M210" s="1" t="inlineStr">
        <is>
          <t>Windows 11</t>
        </is>
      </c>
      <c r="N210" s="1" t="inlineStr">
        <is>
          <t>OFFICE 2021</t>
        </is>
      </c>
      <c r="O210" s="1" t="inlineStr">
        <is>
          <t>INTEGRATED_GRAPHICS</t>
        </is>
      </c>
      <c r="P210" s="1" t="inlineStr">
        <is>
          <t>15.6FHD_AG_300N_N</t>
        </is>
      </c>
      <c r="Q210" s="1" t="inlineStr">
        <is>
          <t>1 Yr. Onsite + 1 Yr. ADP</t>
        </is>
      </c>
      <c r="R210" s="1" t="inlineStr">
        <is>
          <t>Full GTN</t>
        </is>
      </c>
      <c r="S210" s="1" t="n">
        <v>725</v>
      </c>
      <c r="T210" s="2" t="n">
        <v>51444</v>
      </c>
      <c r="U210" s="13" t="n">
        <v>54398.30508474576</v>
      </c>
      <c r="V210" s="13" t="n">
        <v>0</v>
      </c>
      <c r="W210" s="13" t="n">
        <v>762</v>
      </c>
      <c r="X210" s="13" t="n"/>
      <c r="Y210" s="2">
        <f>(U210*0.89-S210-V210-W210-X210)*1.18/0.92</f>
        <v/>
      </c>
      <c r="Z210" s="18">
        <f>AC210</f>
        <v/>
      </c>
      <c r="AA210" s="5" t="inlineStr">
        <is>
          <t>Ok</t>
        </is>
      </c>
      <c r="AB210" s="5" t="n"/>
      <c r="AC210" s="14" t="n">
        <v>60190</v>
      </c>
      <c r="AD210" s="5">
        <f>(Y210-AC210)/1.18*0.92</f>
        <v/>
      </c>
      <c r="AE210" s="5" t="n"/>
      <c r="AF210" s="5">
        <f>W210+X210</f>
        <v/>
      </c>
      <c r="AG210" s="5" t="n"/>
      <c r="AH210" s="13" t="n">
        <v>0</v>
      </c>
      <c r="AI210" s="13" t="n">
        <v>217.7118644067814</v>
      </c>
      <c r="AJ210" s="5" t="n"/>
      <c r="AL210" s="5" t="n"/>
      <c r="AM210" s="5" t="n">
        <v>60189.99999999999</v>
      </c>
      <c r="AN210" s="5">
        <f>Y210-AM210</f>
        <v/>
      </c>
      <c r="AO210" s="5" t="n"/>
      <c r="AP210" s="5">
        <f>U210-AL210</f>
        <v/>
      </c>
      <c r="AQ210" s="20" t="n">
        <v>0</v>
      </c>
      <c r="AR210" s="20" t="n">
        <v>217.7118644067814</v>
      </c>
      <c r="AT210" s="3" t="n">
        <v>2</v>
      </c>
      <c r="AV210" s="5">
        <f>ROUNDUP((AT210/8)*80,0)</f>
        <v/>
      </c>
      <c r="AX210" s="38">
        <f>AV210*W210</f>
        <v/>
      </c>
      <c r="BA210" s="3" t="n">
        <v>0</v>
      </c>
      <c r="BB210" s="3" t="n">
        <v>0</v>
      </c>
      <c r="BC210" s="3" t="n">
        <v>0</v>
      </c>
      <c r="BD210" s="3">
        <f>BC210+BB210+BA210</f>
        <v/>
      </c>
      <c r="BE210" s="3" t="n">
        <v>0</v>
      </c>
      <c r="BF210" s="3" t="n">
        <v>0</v>
      </c>
      <c r="BH210" s="3">
        <f>ROUNDUP(BD210*1.85,0)</f>
        <v/>
      </c>
      <c r="BJ210" s="38">
        <f>BH210*V210</f>
        <v/>
      </c>
      <c r="BL210" s="3">
        <f>U210*1.18</f>
        <v/>
      </c>
    </row>
    <row r="211">
      <c r="A211" s="4" t="inlineStr">
        <is>
          <t>82S9017TIN</t>
        </is>
      </c>
      <c r="B211" s="1">
        <f>IF(BL211&lt;40000,"Entry",IF(BL211&gt;65000,"Premium","Mainstream"))</f>
        <v/>
      </c>
      <c r="C211" s="1" t="inlineStr">
        <is>
          <t>Premium</t>
        </is>
      </c>
      <c r="D211" s="1" t="inlineStr">
        <is>
          <t>i5 OS 4GB Graphics Office</t>
        </is>
      </c>
      <c r="E211" s="1" t="inlineStr">
        <is>
          <t>Gaming</t>
        </is>
      </c>
      <c r="F211" s="1" t="inlineStr">
        <is>
          <t>IP Gaming 3</t>
        </is>
      </c>
      <c r="G211" s="1" t="inlineStr">
        <is>
          <t>IdeaPad Gaming 3 15IAH7</t>
        </is>
      </c>
      <c r="H211" s="1" t="inlineStr">
        <is>
          <t>i5</t>
        </is>
      </c>
      <c r="I211" s="1" t="inlineStr">
        <is>
          <t>12th Gen</t>
        </is>
      </c>
      <c r="J211" s="1" t="inlineStr">
        <is>
          <t>i5 12450H</t>
        </is>
      </c>
      <c r="K211" s="1" t="inlineStr">
        <is>
          <t>16GB</t>
        </is>
      </c>
      <c r="L211" s="1" t="inlineStr">
        <is>
          <t>512GB SSD</t>
        </is>
      </c>
      <c r="M211" s="1" t="inlineStr">
        <is>
          <t>Windows 11</t>
        </is>
      </c>
      <c r="N211" s="1" t="inlineStr">
        <is>
          <t>Office 2021</t>
        </is>
      </c>
      <c r="O211" s="1" t="inlineStr">
        <is>
          <t>RTX 3050 4GB</t>
        </is>
      </c>
      <c r="P211" s="1" t="inlineStr">
        <is>
          <t>15.6FHD_AG_250N_120_N</t>
        </is>
      </c>
      <c r="Q211" s="1" t="inlineStr">
        <is>
          <t>1 Year Onsite</t>
        </is>
      </c>
      <c r="R211" s="1" t="inlineStr">
        <is>
          <t>Zero GTN</t>
        </is>
      </c>
      <c r="S211" s="1" t="n">
        <v>0</v>
      </c>
      <c r="T211" s="2">
        <f>U211*0.98*0.98</f>
        <v/>
      </c>
      <c r="U211" s="13" t="n">
        <v>56682.20338983051</v>
      </c>
      <c r="V211" s="13" t="n">
        <v>0</v>
      </c>
      <c r="W211" s="13" t="n">
        <v>0</v>
      </c>
      <c r="X211" s="13" t="n">
        <v>2539.406779661023</v>
      </c>
      <c r="Y211" s="2">
        <f>(U211*0.98-S211-V211-W211-X211)*1.18/0.92</f>
        <v/>
      </c>
      <c r="Z211" s="1" t="n">
        <v>67990</v>
      </c>
      <c r="AA211" s="5" t="n"/>
      <c r="AB211" s="5" t="n"/>
      <c r="AC211" s="14" t="n">
        <v>67990</v>
      </c>
      <c r="AD211" s="5">
        <f>(Y211-AC211)/1.18*0.92</f>
        <v/>
      </c>
      <c r="AE211" s="5" t="n"/>
      <c r="AF211" s="5">
        <f>W211+X211</f>
        <v/>
      </c>
      <c r="AG211" s="5" t="n"/>
      <c r="AH211" s="13" t="n">
        <v>0</v>
      </c>
      <c r="AI211" s="13" t="n"/>
      <c r="AJ211" s="5" t="n"/>
      <c r="AL211" s="5" t="n"/>
      <c r="AM211" s="5" t="n">
        <v>71247.06521739131</v>
      </c>
      <c r="AN211" s="5">
        <f>Y211-AM211</f>
        <v/>
      </c>
      <c r="AO211" s="5" t="n"/>
      <c r="AP211" s="5">
        <f>U211-AL211</f>
        <v/>
      </c>
      <c r="AQ211" s="20" t="n">
        <v>0</v>
      </c>
      <c r="AR211" s="20" t="n"/>
      <c r="AT211" s="3" t="n">
        <v>2</v>
      </c>
      <c r="AV211" s="5">
        <f>ROUNDUP((AT211/8)*80,0)</f>
        <v/>
      </c>
      <c r="AX211" s="38">
        <f>AV211*W211</f>
        <v/>
      </c>
      <c r="BA211" s="3" t="n">
        <v>0</v>
      </c>
      <c r="BB211" s="3" t="n">
        <v>0</v>
      </c>
      <c r="BC211" s="3" t="n">
        <v>0</v>
      </c>
      <c r="BD211" s="3">
        <f>BC211+BB211+BA211</f>
        <v/>
      </c>
      <c r="BE211" s="3" t="n">
        <v>690</v>
      </c>
      <c r="BF211" s="3" t="n">
        <v>25</v>
      </c>
      <c r="BH211" s="3">
        <f>ROUNDUP(BD211*1.85,0)</f>
        <v/>
      </c>
      <c r="BJ211" s="38">
        <f>BH211*V211</f>
        <v/>
      </c>
      <c r="BL211" s="3">
        <f>U211*1.18</f>
        <v/>
      </c>
    </row>
    <row r="212">
      <c r="A212" s="1" t="inlineStr">
        <is>
          <t>82H803B6IN</t>
        </is>
      </c>
      <c r="B212" s="1">
        <f>IF(BL212&lt;40000,"Entry",IF(BL212&gt;65000,"Premium","Mainstream"))</f>
        <v/>
      </c>
      <c r="C212" s="1" t="inlineStr">
        <is>
          <t>Premium</t>
        </is>
      </c>
      <c r="D212" s="1" t="inlineStr">
        <is>
          <t>i7 OS Office</t>
        </is>
      </c>
      <c r="E212" s="1" t="inlineStr">
        <is>
          <t>Thin &amp; Light</t>
        </is>
      </c>
      <c r="F212" s="1" t="inlineStr">
        <is>
          <t>Slim 3</t>
        </is>
      </c>
      <c r="G212" s="1" t="inlineStr">
        <is>
          <t>IP 3 15ITL6</t>
        </is>
      </c>
      <c r="H212" s="1" t="inlineStr">
        <is>
          <t>i7</t>
        </is>
      </c>
      <c r="I212" s="1" t="inlineStr">
        <is>
          <t>11th Gen</t>
        </is>
      </c>
      <c r="J212" s="1" t="inlineStr">
        <is>
          <t xml:space="preserve"> I7-1165G7</t>
        </is>
      </c>
      <c r="K212" s="1" t="inlineStr">
        <is>
          <t>16GB</t>
        </is>
      </c>
      <c r="L212" s="1" t="inlineStr">
        <is>
          <t>512GB SSD</t>
        </is>
      </c>
      <c r="M212" s="1" t="inlineStr">
        <is>
          <t>Win11</t>
        </is>
      </c>
      <c r="N212" s="1" t="inlineStr">
        <is>
          <t>OFFICE 2021</t>
        </is>
      </c>
      <c r="O212" s="1" t="inlineStr">
        <is>
          <t>INTEGRATED_GRAPHICS</t>
        </is>
      </c>
      <c r="P212" s="1" t="inlineStr">
        <is>
          <t>15.6FHD_AG_300N_N</t>
        </is>
      </c>
      <c r="Q212" s="1" t="inlineStr">
        <is>
          <t>2 Yr Warranty</t>
        </is>
      </c>
      <c r="R212" s="1" t="inlineStr">
        <is>
          <t>Zero GTN</t>
        </is>
      </c>
      <c r="S212" s="26" t="n">
        <v>0</v>
      </c>
      <c r="T212" s="2" t="n">
        <v>45844</v>
      </c>
      <c r="U212" s="33" t="n">
        <v>47734</v>
      </c>
      <c r="V212" s="13" t="n">
        <v>0</v>
      </c>
      <c r="W212" s="13" t="n">
        <v>0</v>
      </c>
      <c r="X212" s="13" t="n"/>
      <c r="Y212" s="2">
        <f>(U212*0.98-S212-V212-W212-X212)*1.18/0.92</f>
        <v/>
      </c>
      <c r="Z212" s="18">
        <f>AC212</f>
        <v/>
      </c>
      <c r="AA212" s="5" t="inlineStr">
        <is>
          <t>Ok</t>
        </is>
      </c>
      <c r="AB212" s="5" t="n"/>
      <c r="AC212" s="14" t="n">
        <v>60190</v>
      </c>
      <c r="AD212" s="5">
        <f>(Y212-AC212)/1.18*0.92</f>
        <v/>
      </c>
      <c r="AE212" s="5" t="n"/>
      <c r="AF212" s="5">
        <f>W212+X212</f>
        <v/>
      </c>
      <c r="AG212" s="5" t="n"/>
      <c r="AH212" s="13" t="n">
        <v>0</v>
      </c>
      <c r="AI212" s="13" t="n"/>
      <c r="AJ212" s="5" t="n"/>
      <c r="AL212" s="5" t="n"/>
      <c r="AM212" s="5" t="n">
        <v>59999.56260869564</v>
      </c>
      <c r="AN212" s="5">
        <f>Y212-AM212</f>
        <v/>
      </c>
      <c r="AO212" s="5" t="n"/>
      <c r="AP212" s="5">
        <f>U212-AL212</f>
        <v/>
      </c>
      <c r="AQ212" s="20" t="n">
        <v>0</v>
      </c>
      <c r="AR212" s="20" t="n"/>
      <c r="AT212" s="3" t="n">
        <v>0</v>
      </c>
      <c r="AV212" s="5">
        <f>ROUNDUP((AT212/8)*80,0)</f>
        <v/>
      </c>
      <c r="AX212" s="38">
        <f>AV212*W212</f>
        <v/>
      </c>
      <c r="BA212" s="3" t="n">
        <v>0</v>
      </c>
      <c r="BB212" s="3" t="n">
        <v>0</v>
      </c>
      <c r="BC212" s="3" t="n">
        <v>0</v>
      </c>
      <c r="BD212" s="3">
        <f>BC212+BB212+BA212</f>
        <v/>
      </c>
      <c r="BE212" s="3" t="n">
        <v>1</v>
      </c>
      <c r="BF212" s="3" t="n">
        <v>0</v>
      </c>
      <c r="BH212" s="3">
        <f>ROUNDUP(BD212*1.85,0)</f>
        <v/>
      </c>
      <c r="BJ212" s="38">
        <f>BH212*V212</f>
        <v/>
      </c>
      <c r="BL212" s="3">
        <f>U212*1.18</f>
        <v/>
      </c>
    </row>
    <row r="213">
      <c r="A213" s="1" t="inlineStr">
        <is>
          <t>82K201ULIN</t>
        </is>
      </c>
      <c r="B213" s="1">
        <f>IF(BL213&lt;40000,"Entry",IF(BL213&gt;65000,"Premium","Mainstream"))</f>
        <v/>
      </c>
      <c r="C213" s="1" t="inlineStr">
        <is>
          <t>Premium</t>
        </is>
      </c>
      <c r="D213" s="1" t="inlineStr">
        <is>
          <t>R5 OS 4GB Graphics Office</t>
        </is>
      </c>
      <c r="E213" s="1" t="inlineStr">
        <is>
          <t>Gaming</t>
        </is>
      </c>
      <c r="F213" s="1" t="inlineStr">
        <is>
          <t>IP Gaming 3</t>
        </is>
      </c>
      <c r="G213" s="1" t="inlineStr">
        <is>
          <t>IdeaPad Gaming 3 15ACH6</t>
        </is>
      </c>
      <c r="H213" s="1" t="inlineStr">
        <is>
          <t>R5</t>
        </is>
      </c>
      <c r="I213" s="1" t="inlineStr">
        <is>
          <t>5XXXH</t>
        </is>
      </c>
      <c r="J213" s="1" t="inlineStr">
        <is>
          <t>Ryzen 5 5600H</t>
        </is>
      </c>
      <c r="K213" s="1" t="inlineStr">
        <is>
          <t>16GB</t>
        </is>
      </c>
      <c r="L213" s="1" t="inlineStr">
        <is>
          <t>512GB SSD</t>
        </is>
      </c>
      <c r="M213" s="1" t="inlineStr">
        <is>
          <t>Win11</t>
        </is>
      </c>
      <c r="N213" s="1" t="inlineStr">
        <is>
          <t>Office 2021</t>
        </is>
      </c>
      <c r="O213" s="1" t="inlineStr">
        <is>
          <t>RTX 3050 4GB</t>
        </is>
      </c>
      <c r="P213" s="1" t="inlineStr">
        <is>
          <t>15.6FHD_AG_250N_120_N</t>
        </is>
      </c>
      <c r="Q213" s="1" t="inlineStr">
        <is>
          <t>1 Yr Onsite + 1 Yr PC + 1 Yr ADP</t>
        </is>
      </c>
      <c r="R213" s="1" t="inlineStr">
        <is>
          <t>Zero GTN</t>
        </is>
      </c>
      <c r="S213" s="1" t="n">
        <v>725</v>
      </c>
      <c r="T213" s="2">
        <f>U213*0.98*0.98</f>
        <v/>
      </c>
      <c r="U213" s="13" t="n">
        <v>56262.55932203389</v>
      </c>
      <c r="V213" s="13" t="n">
        <v>2182.816610169482</v>
      </c>
      <c r="W213" s="13" t="n">
        <v>0</v>
      </c>
      <c r="X213" s="13" t="n"/>
      <c r="Y213" s="2">
        <f>(U213*0.98-S213-V213-W213-X213)*1.18/0.92</f>
        <v/>
      </c>
      <c r="Z213" s="18" t="n">
        <v>66990</v>
      </c>
      <c r="AA213" s="5" t="n"/>
      <c r="AB213" s="5" t="n"/>
      <c r="AC213" s="14" t="n">
        <v>0</v>
      </c>
      <c r="AD213" s="5" t="n">
        <v>0</v>
      </c>
      <c r="AE213" s="5" t="n"/>
      <c r="AF213" s="5">
        <f>W213+X213</f>
        <v/>
      </c>
      <c r="AG213" s="5" t="n"/>
      <c r="AH213" s="13" t="n">
        <v>2182.816610169482</v>
      </c>
      <c r="AI213" s="13" t="n"/>
      <c r="AJ213" s="5" t="n"/>
      <c r="AL213" s="5" t="n"/>
      <c r="AM213" s="5" t="n">
        <v>66990</v>
      </c>
      <c r="AN213" s="5">
        <f>Y213-AM213</f>
        <v/>
      </c>
      <c r="AO213" s="5" t="n"/>
      <c r="AP213" s="5">
        <f>U213-AL213</f>
        <v/>
      </c>
      <c r="AQ213" s="20" t="n">
        <v>2182.816610169482</v>
      </c>
      <c r="AR213" s="20" t="n"/>
      <c r="AT213" s="3" t="n">
        <v>0</v>
      </c>
      <c r="AV213" s="5">
        <f>ROUNDUP((AT213/8)*80,0)</f>
        <v/>
      </c>
      <c r="AX213" s="38">
        <f>AV213*W213</f>
        <v/>
      </c>
      <c r="BA213" s="3" t="n">
        <v>0</v>
      </c>
      <c r="BB213" s="3" t="n">
        <v>-1</v>
      </c>
      <c r="BC213" s="3" t="n">
        <v>0</v>
      </c>
      <c r="BD213" s="3">
        <f>BC213+BB213+BA213</f>
        <v/>
      </c>
      <c r="BE213" s="3" t="n">
        <v>0</v>
      </c>
      <c r="BF213" s="3" t="n">
        <v>0</v>
      </c>
      <c r="BH213" s="3">
        <f>ROUNDUP(BD213*1.85,0)</f>
        <v/>
      </c>
      <c r="BJ213" s="38">
        <f>BH213*V213</f>
        <v/>
      </c>
      <c r="BL213" s="3">
        <f>U213*1.18</f>
        <v/>
      </c>
    </row>
    <row r="214">
      <c r="A214" s="1" t="inlineStr">
        <is>
          <t>82XV00F5IN</t>
        </is>
      </c>
      <c r="B214" s="1">
        <f>IF(BL214&lt;40000,"Entry",IF(BL214&gt;65000,"Premium","Mainstream"))</f>
        <v/>
      </c>
      <c r="C214" s="1" t="inlineStr">
        <is>
          <t>Premium</t>
        </is>
      </c>
      <c r="D214" s="1" t="inlineStr">
        <is>
          <t>i5 OS 6GB Graphics Office</t>
        </is>
      </c>
      <c r="E214" s="1" t="inlineStr">
        <is>
          <t>Gaming</t>
        </is>
      </c>
      <c r="F214" s="1" t="inlineStr">
        <is>
          <t>LOQ</t>
        </is>
      </c>
      <c r="G214" s="1" t="inlineStr">
        <is>
          <t>LOQ 15IRH8</t>
        </is>
      </c>
      <c r="H214" s="1" t="inlineStr">
        <is>
          <t>i5</t>
        </is>
      </c>
      <c r="I214" s="1" t="inlineStr">
        <is>
          <t>12th Gen</t>
        </is>
      </c>
      <c r="J214" s="1" t="inlineStr">
        <is>
          <t>i5-12450H</t>
        </is>
      </c>
      <c r="K214" s="1" t="inlineStr">
        <is>
          <t>16GB</t>
        </is>
      </c>
      <c r="L214" s="1" t="inlineStr">
        <is>
          <t>512GB SSD</t>
        </is>
      </c>
      <c r="M214" s="1" t="inlineStr">
        <is>
          <t>Windows 11</t>
        </is>
      </c>
      <c r="N214" s="1" t="inlineStr">
        <is>
          <t xml:space="preserve">OFFICE H&amp;S 2021  </t>
        </is>
      </c>
      <c r="O214" s="1" t="inlineStr">
        <is>
          <t>RTX 3050 6GB</t>
        </is>
      </c>
      <c r="P214" s="1" t="inlineStr">
        <is>
          <t>15.6FHD_AG_350N_144_N</t>
        </is>
      </c>
      <c r="Q214" s="1" t="inlineStr">
        <is>
          <t>1 Year Onsite</t>
        </is>
      </c>
      <c r="R214" s="1" t="inlineStr">
        <is>
          <t>Zero GTN</t>
        </is>
      </c>
      <c r="S214" s="1" t="n">
        <v>725</v>
      </c>
      <c r="T214" s="2">
        <f>U214*0.98*0.98</f>
        <v/>
      </c>
      <c r="U214" s="13" t="n">
        <v>64315.25423728814</v>
      </c>
      <c r="V214" s="13" t="n">
        <v>0</v>
      </c>
      <c r="W214" s="13" t="n">
        <v>0</v>
      </c>
      <c r="X214" s="13" t="n">
        <v>8515.135593220331</v>
      </c>
      <c r="Y214" s="2">
        <f>(U214*0.98-S214-V214-W214-X214)*1.18/0.92</f>
        <v/>
      </c>
      <c r="Z214" s="1" t="n">
        <v>68990</v>
      </c>
      <c r="AA214" s="5" t="n"/>
      <c r="AB214" s="5" t="n"/>
      <c r="AC214" s="14" t="n">
        <v>68990</v>
      </c>
      <c r="AD214" s="5">
        <f>(Y214-AC214)/1.18*0.92</f>
        <v/>
      </c>
      <c r="AE214" s="5" t="n"/>
      <c r="AF214" s="5">
        <f>W214+X214</f>
        <v/>
      </c>
      <c r="AG214" s="5" t="n"/>
      <c r="AH214" s="13" t="n">
        <v>0</v>
      </c>
      <c r="AI214" s="13" t="n"/>
      <c r="AJ214" s="5" t="n"/>
      <c r="AL214" s="5" t="n"/>
      <c r="AM214" s="5" t="n">
        <v>79911.58695652173</v>
      </c>
      <c r="AN214" s="5">
        <f>Y214-AM214</f>
        <v/>
      </c>
      <c r="AO214" s="5" t="n"/>
      <c r="AP214" s="5">
        <f>U214-AL214</f>
        <v/>
      </c>
      <c r="AQ214" s="20" t="n">
        <v>0</v>
      </c>
      <c r="AR214" s="20" t="n"/>
      <c r="AT214" s="3" t="n">
        <v>0</v>
      </c>
      <c r="AV214" s="5">
        <f>ROUNDUP((AT214/8)*80,0)</f>
        <v/>
      </c>
      <c r="AX214" s="38">
        <f>AV214*W214</f>
        <v/>
      </c>
      <c r="BA214" s="3" t="n">
        <v>0</v>
      </c>
      <c r="BB214" s="3" t="n">
        <v>0</v>
      </c>
      <c r="BC214" s="3" t="n">
        <v>-1</v>
      </c>
      <c r="BD214" s="3">
        <f>BC214+BB214+BA214</f>
        <v/>
      </c>
      <c r="BE214" s="3" t="n">
        <v>215</v>
      </c>
      <c r="BF214" s="3" t="n">
        <v>0</v>
      </c>
      <c r="BH214" s="3">
        <f>ROUNDUP(BD214*1.85,0)</f>
        <v/>
      </c>
      <c r="BJ214" s="38">
        <f>BH214*V214</f>
        <v/>
      </c>
      <c r="BL214" s="3">
        <f>U214*1.18</f>
        <v/>
      </c>
    </row>
    <row r="215">
      <c r="A215" s="1" t="inlineStr">
        <is>
          <t>82K2022UIN</t>
        </is>
      </c>
      <c r="B215" s="1">
        <f>IF(BL215&lt;40000,"Entry",IF(BL215&gt;65000,"Premium","Mainstream"))</f>
        <v/>
      </c>
      <c r="C215" s="1" t="inlineStr">
        <is>
          <t>Premium</t>
        </is>
      </c>
      <c r="D215" s="1" t="inlineStr">
        <is>
          <t>R5 OS 4GB Graphics Office</t>
        </is>
      </c>
      <c r="E215" s="1" t="inlineStr">
        <is>
          <t>Gaming</t>
        </is>
      </c>
      <c r="F215" s="1" t="inlineStr">
        <is>
          <t>IP Gaming 3</t>
        </is>
      </c>
      <c r="G215" s="1" t="inlineStr">
        <is>
          <t>IdeaPad Gaming 3 15ACH6</t>
        </is>
      </c>
      <c r="H215" s="1" t="inlineStr">
        <is>
          <t>R5</t>
        </is>
      </c>
      <c r="I215" s="1" t="inlineStr">
        <is>
          <t>5XXXH</t>
        </is>
      </c>
      <c r="J215" s="1" t="inlineStr">
        <is>
          <t>Ryzen 5 5600H</t>
        </is>
      </c>
      <c r="K215" s="1" t="inlineStr">
        <is>
          <t>16GB</t>
        </is>
      </c>
      <c r="L215" s="1" t="inlineStr">
        <is>
          <t>512GB SSD</t>
        </is>
      </c>
      <c r="M215" s="1" t="inlineStr">
        <is>
          <t>Win11</t>
        </is>
      </c>
      <c r="N215" s="1" t="inlineStr">
        <is>
          <t>Office 2021</t>
        </is>
      </c>
      <c r="O215" s="1" t="inlineStr">
        <is>
          <t>RTX 3050 4GB</t>
        </is>
      </c>
      <c r="P215" s="1" t="inlineStr">
        <is>
          <t>15.6FHD_AG_250N_120_N</t>
        </is>
      </c>
      <c r="Q215" s="1" t="inlineStr">
        <is>
          <t>1 Yr Onsite + 1 Yr PC + 1 Yr ADP</t>
        </is>
      </c>
      <c r="R215" s="1" t="inlineStr">
        <is>
          <t>Full GTN</t>
        </is>
      </c>
      <c r="S215" s="1" t="n">
        <v>725</v>
      </c>
      <c r="T215" s="2">
        <f>U215*0.98*0.965</f>
        <v/>
      </c>
      <c r="U215" s="13" t="n">
        <v>62124.71109399077</v>
      </c>
      <c r="V215" s="13" t="n">
        <v>1715.254237288136</v>
      </c>
      <c r="W215" s="13" t="n">
        <v>0</v>
      </c>
      <c r="X215" s="13" t="n"/>
      <c r="Y215" s="2">
        <f>(U215*0.88-S215-V215-W215-X215)*1.18/0.92</f>
        <v/>
      </c>
      <c r="Z215" s="18" t="n">
        <v>66990</v>
      </c>
      <c r="AA215" s="5" t="n"/>
      <c r="AB215" s="5" t="n"/>
      <c r="AC215" s="14" t="n">
        <v>0</v>
      </c>
      <c r="AD215" s="5" t="n">
        <v>0</v>
      </c>
      <c r="AE215" s="5" t="n"/>
      <c r="AF215" s="5">
        <f>W215+X215</f>
        <v/>
      </c>
      <c r="AG215" s="5" t="n"/>
      <c r="AH215" s="13" t="n">
        <v>1715.254237288136</v>
      </c>
      <c r="AI215" s="13" t="n"/>
      <c r="AJ215" s="5" t="n"/>
      <c r="AL215" s="5" t="n"/>
      <c r="AM215" s="5" t="n">
        <v>66990</v>
      </c>
      <c r="AN215" s="5">
        <f>Y215-AM215</f>
        <v/>
      </c>
      <c r="AO215" s="5" t="n"/>
      <c r="AP215" s="5">
        <f>U215-AL215</f>
        <v/>
      </c>
      <c r="AQ215" s="20" t="n">
        <v>1715.254237288136</v>
      </c>
      <c r="AR215" s="20" t="n"/>
      <c r="AT215" s="3" t="n">
        <v>0</v>
      </c>
      <c r="AV215" s="5">
        <f>ROUNDUP((AT215/8)*80,0)</f>
        <v/>
      </c>
      <c r="AX215" s="38">
        <f>AV215*W215</f>
        <v/>
      </c>
      <c r="BA215" s="3" t="n">
        <v>0</v>
      </c>
      <c r="BB215" s="3" t="n">
        <v>0</v>
      </c>
      <c r="BC215" s="3" t="n">
        <v>0</v>
      </c>
      <c r="BD215" s="3">
        <f>BC215+BB215+BA215</f>
        <v/>
      </c>
      <c r="BE215" s="3" t="n">
        <v>0</v>
      </c>
      <c r="BF215" s="3" t="n">
        <v>0</v>
      </c>
      <c r="BH215" s="3">
        <f>ROUNDUP(BD215*1.85,0)</f>
        <v/>
      </c>
      <c r="BJ215" s="38">
        <f>BH215*V215</f>
        <v/>
      </c>
      <c r="BL215" s="3">
        <f>U215*1.18</f>
        <v/>
      </c>
    </row>
    <row r="216">
      <c r="A216" s="1" t="inlineStr">
        <is>
          <t>82H803WAIN</t>
        </is>
      </c>
      <c r="B216" s="1">
        <f>IF(BL216&lt;40000,"Entry",IF(BL216&gt;65000,"Premium","Mainstream"))</f>
        <v/>
      </c>
      <c r="C216" s="1" t="inlineStr">
        <is>
          <t>Premium</t>
        </is>
      </c>
      <c r="D216" s="1" t="inlineStr">
        <is>
          <t>i7 OS Office</t>
        </is>
      </c>
      <c r="E216" s="1" t="inlineStr">
        <is>
          <t>Thin &amp; Light</t>
        </is>
      </c>
      <c r="F216" s="1" t="inlineStr">
        <is>
          <t>Slim 3</t>
        </is>
      </c>
      <c r="G216" s="1" t="inlineStr">
        <is>
          <t>IP 3 15ITL6</t>
        </is>
      </c>
      <c r="H216" s="1" t="inlineStr">
        <is>
          <t>i7</t>
        </is>
      </c>
      <c r="I216" s="1" t="inlineStr">
        <is>
          <t>11th Gen</t>
        </is>
      </c>
      <c r="J216" s="1" t="inlineStr">
        <is>
          <t>I7-1165G7</t>
        </is>
      </c>
      <c r="K216" s="1" t="inlineStr">
        <is>
          <t>16GB</t>
        </is>
      </c>
      <c r="L216" s="1" t="inlineStr">
        <is>
          <t>512GB SSD</t>
        </is>
      </c>
      <c r="M216" s="1" t="inlineStr">
        <is>
          <t>Windows 11</t>
        </is>
      </c>
      <c r="N216" s="1" t="inlineStr">
        <is>
          <t>OFFICE 2021</t>
        </is>
      </c>
      <c r="O216" s="1" t="inlineStr">
        <is>
          <t>INTEGRATED_GRAPHICS</t>
        </is>
      </c>
      <c r="P216" s="1" t="inlineStr">
        <is>
          <t>15.6FHD_AG_300N_N</t>
        </is>
      </c>
      <c r="Q216" s="1" t="inlineStr">
        <is>
          <t>1 Yr. Onsite + 1 Yr. ADP</t>
        </is>
      </c>
      <c r="R216" s="1" t="inlineStr">
        <is>
          <t>Zero GTN</t>
        </is>
      </c>
      <c r="S216" s="1" t="n">
        <v>0</v>
      </c>
      <c r="T216" s="2" t="n">
        <v>45977</v>
      </c>
      <c r="U216" s="13" t="n">
        <v>47872.88135593221</v>
      </c>
      <c r="V216" s="13" t="n">
        <v>0</v>
      </c>
      <c r="W216" s="13" t="n">
        <v>0</v>
      </c>
      <c r="X216" s="13" t="n"/>
      <c r="Y216" s="2">
        <f>(U216*0.98-S216-V216-W216-X216)*1.18/0.92</f>
        <v/>
      </c>
      <c r="Z216" s="18">
        <f>AC216</f>
        <v/>
      </c>
      <c r="AA216" s="5" t="inlineStr">
        <is>
          <t>Ok</t>
        </is>
      </c>
      <c r="AB216" s="5" t="n"/>
      <c r="AC216" s="14" t="n">
        <v>60190</v>
      </c>
      <c r="AD216" s="5">
        <f>(Y216-AC216)/1.18*0.92</f>
        <v/>
      </c>
      <c r="AE216" s="5" t="n"/>
      <c r="AF216" s="5">
        <f>W216+X216</f>
        <v/>
      </c>
      <c r="AG216" s="5" t="n"/>
      <c r="AH216" s="13" t="n">
        <v>0</v>
      </c>
      <c r="AI216" s="13" t="n"/>
      <c r="AJ216" s="5" t="n"/>
      <c r="AL216" s="5" t="n"/>
      <c r="AM216" s="5" t="n">
        <v>60174.13043478261</v>
      </c>
      <c r="AN216" s="5">
        <f>Y216-AM216</f>
        <v/>
      </c>
      <c r="AO216" s="5" t="n"/>
      <c r="AP216" s="5">
        <f>U216-AL216</f>
        <v/>
      </c>
      <c r="AQ216" s="20" t="n">
        <v>0</v>
      </c>
      <c r="AR216" s="20" t="n"/>
      <c r="AT216" s="3" t="n">
        <v>0</v>
      </c>
      <c r="AV216" s="5">
        <f>ROUNDUP((AT216/8)*80,0)</f>
        <v/>
      </c>
      <c r="AX216" s="38">
        <f>AV216*W216</f>
        <v/>
      </c>
      <c r="BA216" s="3" t="n">
        <v>0</v>
      </c>
      <c r="BB216" s="3" t="n">
        <v>0</v>
      </c>
      <c r="BC216" s="3" t="n">
        <v>0</v>
      </c>
      <c r="BD216" s="3">
        <f>BC216+BB216+BA216</f>
        <v/>
      </c>
      <c r="BE216" s="3" t="n">
        <v>66</v>
      </c>
      <c r="BF216" s="3" t="n">
        <v>0</v>
      </c>
      <c r="BH216" s="3">
        <f>ROUNDUP(BD216*1.85,0)</f>
        <v/>
      </c>
      <c r="BJ216" s="38">
        <f>BH216*V216</f>
        <v/>
      </c>
      <c r="BL216" s="3">
        <f>U216*1.18</f>
        <v/>
      </c>
    </row>
    <row r="217">
      <c r="A217" s="1" t="inlineStr">
        <is>
          <t>82H803LNIN</t>
        </is>
      </c>
      <c r="B217" s="1">
        <f>IF(BL217&lt;40000,"Entry",IF(BL217&gt;65000,"Premium","Mainstream"))</f>
        <v/>
      </c>
      <c r="C217" s="1" t="inlineStr">
        <is>
          <t>Premium</t>
        </is>
      </c>
      <c r="D217" s="1" t="inlineStr">
        <is>
          <t>i7 OS Office</t>
        </is>
      </c>
      <c r="E217" s="1" t="inlineStr">
        <is>
          <t>Thin &amp; Light</t>
        </is>
      </c>
      <c r="F217" s="1" t="inlineStr">
        <is>
          <t>Slim 3</t>
        </is>
      </c>
      <c r="G217" s="1" t="inlineStr">
        <is>
          <t>IP 3 15ITL6</t>
        </is>
      </c>
      <c r="H217" s="1" t="inlineStr">
        <is>
          <t>i7</t>
        </is>
      </c>
      <c r="I217" s="1" t="inlineStr">
        <is>
          <t>11th Gen</t>
        </is>
      </c>
      <c r="J217" s="1" t="inlineStr">
        <is>
          <t>i7-1165G7</t>
        </is>
      </c>
      <c r="K217" s="1" t="inlineStr">
        <is>
          <t>16GB</t>
        </is>
      </c>
      <c r="L217" s="1" t="inlineStr">
        <is>
          <t>512GB SSD</t>
        </is>
      </c>
      <c r="M217" s="1" t="inlineStr">
        <is>
          <t>Windows 11</t>
        </is>
      </c>
      <c r="N217" s="1" t="inlineStr">
        <is>
          <t>Office 2021</t>
        </is>
      </c>
      <c r="O217" s="1" t="inlineStr">
        <is>
          <t>INTEGRATED_GRAPHICS</t>
        </is>
      </c>
      <c r="P217" s="1" t="inlineStr">
        <is>
          <t>15.6FHD_AG_300N_N</t>
        </is>
      </c>
      <c r="Q217" s="1" t="inlineStr">
        <is>
          <t>1 Yr. Onsite + 1 Yr. ADP</t>
        </is>
      </c>
      <c r="R217" s="1" t="inlineStr">
        <is>
          <t>Zero GTN</t>
        </is>
      </c>
      <c r="S217" s="1" t="n">
        <v>0</v>
      </c>
      <c r="T217" s="2" t="n">
        <v>45977</v>
      </c>
      <c r="U217" s="13" t="n">
        <v>47872.88135593221</v>
      </c>
      <c r="V217" s="13" t="n">
        <v>0</v>
      </c>
      <c r="W217" s="13" t="n">
        <v>0</v>
      </c>
      <c r="X217" s="13" t="n"/>
      <c r="Y217" s="2">
        <f>(U217*0.98-S217-V217-W217-X217)*1.18/0.92</f>
        <v/>
      </c>
      <c r="Z217" s="18">
        <f>AC217</f>
        <v/>
      </c>
      <c r="AA217" s="5" t="inlineStr">
        <is>
          <t>Ok</t>
        </is>
      </c>
      <c r="AB217" s="5" t="n"/>
      <c r="AC217" s="14" t="n">
        <v>60190</v>
      </c>
      <c r="AD217" s="5">
        <f>(Y217-AC217)/1.18*0.92</f>
        <v/>
      </c>
      <c r="AE217" s="5" t="n"/>
      <c r="AF217" s="5">
        <f>W217+X217</f>
        <v/>
      </c>
      <c r="AG217" s="5" t="n"/>
      <c r="AH217" s="13" t="n">
        <v>0</v>
      </c>
      <c r="AI217" s="13" t="n"/>
      <c r="AJ217" s="5" t="n"/>
      <c r="AL217" s="5" t="n"/>
      <c r="AM217" s="5" t="n">
        <v>60174.13043478261</v>
      </c>
      <c r="AN217" s="5">
        <f>Y217-AM217</f>
        <v/>
      </c>
      <c r="AO217" s="5" t="n"/>
      <c r="AP217" s="5">
        <f>U217-AL217</f>
        <v/>
      </c>
      <c r="AQ217" s="20" t="n">
        <v>0</v>
      </c>
      <c r="AR217" s="20" t="n"/>
      <c r="AT217" s="3" t="n">
        <v>6</v>
      </c>
      <c r="AV217" s="5">
        <f>ROUNDUP((AT217/8)*80,0)</f>
        <v/>
      </c>
      <c r="AX217" s="38">
        <f>AV217*W217</f>
        <v/>
      </c>
      <c r="BA217" s="3" t="n">
        <v>0</v>
      </c>
      <c r="BB217" s="3" t="n">
        <v>0</v>
      </c>
      <c r="BC217" s="3" t="n">
        <v>0</v>
      </c>
      <c r="BD217" s="3">
        <f>BC217+BB217+BA217</f>
        <v/>
      </c>
      <c r="BE217" s="3" t="n">
        <v>56</v>
      </c>
      <c r="BF217" s="3" t="n">
        <v>0</v>
      </c>
      <c r="BH217" s="3">
        <f>ROUNDUP(BD217*1.85,0)</f>
        <v/>
      </c>
      <c r="BJ217" s="38">
        <f>BH217*V217</f>
        <v/>
      </c>
      <c r="BL217" s="3">
        <f>U217*1.18</f>
        <v/>
      </c>
    </row>
    <row r="218">
      <c r="A218" s="1" t="inlineStr">
        <is>
          <t>82KU024JIN</t>
        </is>
      </c>
      <c r="B218" s="1">
        <f>IF(BL218&lt;40000,"Entry",IF(BL218&gt;65000,"Premium","Mainstream"))</f>
        <v/>
      </c>
      <c r="C218" s="1" t="inlineStr">
        <is>
          <t>Mainstream</t>
        </is>
      </c>
      <c r="D218" s="1" t="inlineStr">
        <is>
          <t>R7 OS Office</t>
        </is>
      </c>
      <c r="E218" s="1" t="inlineStr">
        <is>
          <t>Thin &amp; Light</t>
        </is>
      </c>
      <c r="F218" s="1" t="inlineStr">
        <is>
          <t>Slim 3</t>
        </is>
      </c>
      <c r="G218" s="1" t="inlineStr">
        <is>
          <t>IP 3 15ALC6</t>
        </is>
      </c>
      <c r="H218" s="1" t="inlineStr">
        <is>
          <t>R7</t>
        </is>
      </c>
      <c r="I218" s="1" t="inlineStr">
        <is>
          <t>5XXXU</t>
        </is>
      </c>
      <c r="J218" s="1" t="inlineStr">
        <is>
          <t>R7-5700U</t>
        </is>
      </c>
      <c r="K218" s="1" t="inlineStr">
        <is>
          <t>16GB</t>
        </is>
      </c>
      <c r="L218" s="1" t="inlineStr">
        <is>
          <t>512GB SSD</t>
        </is>
      </c>
      <c r="M218" s="1" t="inlineStr">
        <is>
          <t>Windows 11</t>
        </is>
      </c>
      <c r="N218" s="1" t="inlineStr">
        <is>
          <t>Office 2021</t>
        </is>
      </c>
      <c r="O218" s="1" t="inlineStr">
        <is>
          <t>INTEGRATED_GRAPHICS</t>
        </is>
      </c>
      <c r="P218" s="1" t="inlineStr">
        <is>
          <t>15.6FHD_AG_300N_N</t>
        </is>
      </c>
      <c r="Q218" s="1" t="inlineStr">
        <is>
          <t>1 Yr. Onsite + 1 Yr. ADP</t>
        </is>
      </c>
      <c r="R218" s="1" t="inlineStr">
        <is>
          <t>Full GTN</t>
        </is>
      </c>
      <c r="S218" s="1" t="n">
        <v>0</v>
      </c>
      <c r="T218" s="2" t="n">
        <v>43915</v>
      </c>
      <c r="U218" s="13" t="n">
        <v>46436.44067796611</v>
      </c>
      <c r="V218" s="13" t="n">
        <v>0</v>
      </c>
      <c r="W218" s="13" t="n">
        <v>1574</v>
      </c>
      <c r="X218" s="13" t="n"/>
      <c r="Y218" s="2">
        <f>(U218*0.89-S218-V218-W218-X218)*1.18/0.92</f>
        <v/>
      </c>
      <c r="Z218" s="18">
        <f>AC218</f>
        <v/>
      </c>
      <c r="AA218" s="5" t="inlineStr">
        <is>
          <t>Ok</t>
        </is>
      </c>
      <c r="AB218" s="5" t="n"/>
      <c r="AC218" s="14" t="n">
        <v>50990</v>
      </c>
      <c r="AD218" s="5">
        <f>(Y218-AC218)/1.18*0.92</f>
        <v/>
      </c>
      <c r="AE218" s="5" t="n"/>
      <c r="AF218" s="5">
        <f>W218+X218</f>
        <v/>
      </c>
      <c r="AG218" s="5" t="n"/>
      <c r="AH218" s="13" t="n">
        <v>0</v>
      </c>
      <c r="AI218" s="13" t="n">
        <v>1574</v>
      </c>
      <c r="AJ218" s="5" t="n"/>
      <c r="AL218" s="5" t="n"/>
      <c r="AM218" s="5" t="n">
        <v>50989.38043478261</v>
      </c>
      <c r="AN218" s="5">
        <f>Y218-AM218</f>
        <v/>
      </c>
      <c r="AO218" s="5" t="n"/>
      <c r="AP218" s="5">
        <f>U218-AL218</f>
        <v/>
      </c>
      <c r="AQ218" s="20" t="n">
        <v>0</v>
      </c>
      <c r="AR218" s="20" t="n">
        <v>1574</v>
      </c>
      <c r="AT218" s="3" t="n">
        <v>18</v>
      </c>
      <c r="AV218" s="5">
        <f>ROUNDUP((AT218/8)*80,0)</f>
        <v/>
      </c>
      <c r="AX218" s="38">
        <f>AV218*W218</f>
        <v/>
      </c>
      <c r="BA218" s="3" t="n">
        <v>0</v>
      </c>
      <c r="BB218" s="3" t="n">
        <v>0</v>
      </c>
      <c r="BC218" s="3" t="n">
        <v>203</v>
      </c>
      <c r="BD218" s="3">
        <f>BC218+BB218+BA218</f>
        <v/>
      </c>
      <c r="BE218" s="3" t="n">
        <v>307</v>
      </c>
      <c r="BF218" s="3" t="n">
        <v>0</v>
      </c>
      <c r="BH218" s="3">
        <f>ROUNDUP(BD218*1.85,0)</f>
        <v/>
      </c>
      <c r="BJ218" s="38">
        <f>BH218*V218</f>
        <v/>
      </c>
      <c r="BL218" s="3">
        <f>U218*1.18</f>
        <v/>
      </c>
    </row>
    <row r="219">
      <c r="A219" s="1" t="inlineStr">
        <is>
          <t>81X800N1IN</t>
        </is>
      </c>
      <c r="B219" s="1">
        <f>IF(BL219&lt;40000,"Entry",IF(BL219&gt;65000,"Premium","Mainstream"))</f>
        <v/>
      </c>
      <c r="C219" s="1" t="inlineStr">
        <is>
          <t>Mainstream</t>
        </is>
      </c>
      <c r="D219" s="1" t="inlineStr">
        <is>
          <t>i3 OS Office</t>
        </is>
      </c>
      <c r="E219" s="1" t="inlineStr">
        <is>
          <t>Thin &amp; Light</t>
        </is>
      </c>
      <c r="F219" s="1" t="inlineStr">
        <is>
          <t>Slim 3</t>
        </is>
      </c>
      <c r="G219" s="1" t="inlineStr">
        <is>
          <t>IdeaPad 3 15ITL05</t>
        </is>
      </c>
      <c r="H219" s="1" t="inlineStr">
        <is>
          <t>i3</t>
        </is>
      </c>
      <c r="I219" s="1" t="inlineStr">
        <is>
          <t>11th Gen</t>
        </is>
      </c>
      <c r="J219" s="1" t="inlineStr">
        <is>
          <t>i3-1115G4</t>
        </is>
      </c>
      <c r="K219" s="1" t="inlineStr">
        <is>
          <t>8GB</t>
        </is>
      </c>
      <c r="L219" s="1" t="inlineStr">
        <is>
          <t>512GB SSD</t>
        </is>
      </c>
      <c r="M219" s="1" t="inlineStr">
        <is>
          <t>Windows 11</t>
        </is>
      </c>
      <c r="N219" s="1" t="inlineStr">
        <is>
          <t>OFFICE 2021</t>
        </is>
      </c>
      <c r="O219" s="1" t="inlineStr">
        <is>
          <t>INTEGRATED_GRAPHICS</t>
        </is>
      </c>
      <c r="P219" s="1" t="inlineStr">
        <is>
          <t>15.6FHD_TN_AG_220N_N</t>
        </is>
      </c>
      <c r="Q219" s="1" t="inlineStr">
        <is>
          <t>2 Yr Warranty</t>
        </is>
      </c>
      <c r="R219" s="1" t="inlineStr">
        <is>
          <t>Full GTN</t>
        </is>
      </c>
      <c r="S219" s="1" t="n">
        <v>725</v>
      </c>
      <c r="T219" s="2" t="n">
        <v>31408.18767966102</v>
      </c>
      <c r="U219" s="13" t="n">
        <v>33211.57627118644</v>
      </c>
      <c r="V219" s="13" t="n">
        <v>0</v>
      </c>
      <c r="W219" s="13" t="n">
        <v>1553</v>
      </c>
      <c r="X219" s="13" t="n"/>
      <c r="Y219" s="2">
        <f>(U219*0.89-S219-V219-W219-X219)*1.18/0.92</f>
        <v/>
      </c>
      <c r="Z219" s="18">
        <f>AC219</f>
        <v/>
      </c>
      <c r="AA219" s="5" t="inlineStr">
        <is>
          <t>Ok</t>
        </is>
      </c>
      <c r="AB219" s="5" t="n"/>
      <c r="AC219" s="14" t="n">
        <v>34990</v>
      </c>
      <c r="AD219" s="5">
        <f>(Y219-AC219)/1.18*0.92</f>
        <v/>
      </c>
      <c r="AE219" s="5" t="n"/>
      <c r="AF219" s="5">
        <f>W219+X219</f>
        <v/>
      </c>
      <c r="AG219" s="5" t="n"/>
      <c r="AH219" s="13" t="n">
        <v>0</v>
      </c>
      <c r="AI219" s="13" t="n">
        <v>2333</v>
      </c>
      <c r="AJ219" s="5" t="n"/>
      <c r="AL219" s="5" t="n"/>
      <c r="AM219" s="5" t="n">
        <v>33990</v>
      </c>
      <c r="AN219" s="5">
        <f>Y219-AM219</f>
        <v/>
      </c>
      <c r="AO219" s="5" t="n"/>
      <c r="AP219" s="5">
        <f>U219-AL219</f>
        <v/>
      </c>
      <c r="AQ219" s="20" t="n">
        <v>0</v>
      </c>
      <c r="AR219" s="20" t="n">
        <v>2332.62491525424</v>
      </c>
      <c r="AT219" s="3" t="n">
        <v>0</v>
      </c>
      <c r="AV219" s="5">
        <f>ROUNDUP((AT219/8)*80,0)</f>
        <v/>
      </c>
      <c r="AX219" s="38">
        <f>AV219*W219</f>
        <v/>
      </c>
      <c r="BA219" s="3" t="n">
        <v>0</v>
      </c>
      <c r="BB219" s="3" t="n">
        <v>0</v>
      </c>
      <c r="BC219" s="3" t="n">
        <v>0</v>
      </c>
      <c r="BD219" s="3">
        <f>BC219+BB219+BA219</f>
        <v/>
      </c>
      <c r="BE219" s="3" t="n">
        <v>0</v>
      </c>
      <c r="BF219" s="3" t="n">
        <v>0</v>
      </c>
      <c r="BH219" s="3">
        <f>ROUNDUP(BD219*1.85,0)</f>
        <v/>
      </c>
      <c r="BJ219" s="38">
        <f>BH219*V219</f>
        <v/>
      </c>
      <c r="BL219" s="3">
        <f>U219*1.18</f>
        <v/>
      </c>
    </row>
    <row r="220">
      <c r="A220" s="1" t="inlineStr">
        <is>
          <t>82S90157IN</t>
        </is>
      </c>
      <c r="B220" s="1">
        <f>IF(BL220&lt;40000,"Entry",IF(BL220&gt;65000,"Premium","Mainstream"))</f>
        <v/>
      </c>
      <c r="C220" s="1" t="inlineStr">
        <is>
          <t>Premium</t>
        </is>
      </c>
      <c r="D220" s="1" t="inlineStr">
        <is>
          <t>i5 OS 4GB Graphics</t>
        </is>
      </c>
      <c r="E220" s="1" t="inlineStr">
        <is>
          <t>Gaming</t>
        </is>
      </c>
      <c r="F220" s="1" t="inlineStr">
        <is>
          <t>IP Gaming 3</t>
        </is>
      </c>
      <c r="G220" s="1" t="inlineStr">
        <is>
          <t>IdeaPad Gaming 3 15IAH7</t>
        </is>
      </c>
      <c r="H220" s="1" t="inlineStr">
        <is>
          <t>i5</t>
        </is>
      </c>
      <c r="I220" s="1" t="inlineStr">
        <is>
          <t>12th Gen</t>
        </is>
      </c>
      <c r="J220" s="1" t="inlineStr">
        <is>
          <t>Ci5-12450H</t>
        </is>
      </c>
      <c r="K220" s="1" t="inlineStr">
        <is>
          <t>16GB</t>
        </is>
      </c>
      <c r="L220" s="1" t="inlineStr">
        <is>
          <t>512GB SSD</t>
        </is>
      </c>
      <c r="M220" s="1" t="inlineStr">
        <is>
          <t>Win11</t>
        </is>
      </c>
      <c r="N220" s="1" t="inlineStr">
        <is>
          <t>No Office</t>
        </is>
      </c>
      <c r="O220" s="1" t="inlineStr">
        <is>
          <t>RTX 3050 4GB</t>
        </is>
      </c>
      <c r="P220" s="1" t="inlineStr">
        <is>
          <t>15.6FHD_AG_250N_120_N</t>
        </is>
      </c>
      <c r="Q220" s="1" t="n"/>
      <c r="R220" s="1" t="inlineStr">
        <is>
          <t>Full GTN</t>
        </is>
      </c>
      <c r="S220" s="1" t="n">
        <v>725</v>
      </c>
      <c r="T220" s="2">
        <f>U220*0.98*0.965</f>
        <v/>
      </c>
      <c r="U220" s="13" t="n">
        <v>62703.38983050848</v>
      </c>
      <c r="V220" s="13" t="n"/>
      <c r="W220" s="13" t="n">
        <v>0</v>
      </c>
      <c r="X220" s="13" t="n"/>
      <c r="Y220" s="2">
        <f>(U220*0.88-S220-V220-W220-X220)*1.18/0.92</f>
        <v/>
      </c>
      <c r="Z220" s="18" t="n">
        <v>69990</v>
      </c>
      <c r="AA220" s="5" t="n"/>
      <c r="AB220" s="5" t="n"/>
      <c r="AC220" s="14" t="n">
        <v>0</v>
      </c>
      <c r="AD220" s="5" t="n">
        <v>0</v>
      </c>
      <c r="AE220" s="5" t="n"/>
      <c r="AF220" s="5">
        <f>W220+X220</f>
        <v/>
      </c>
      <c r="AG220" s="5" t="n"/>
      <c r="AH220" s="13" t="n"/>
      <c r="AI220" s="13" t="n">
        <v>0</v>
      </c>
      <c r="AJ220" s="5" t="n"/>
      <c r="AL220" s="5" t="n"/>
      <c r="AM220" s="5" t="n">
        <v>69843.15217391304</v>
      </c>
      <c r="AN220" s="5">
        <f>Y220-AM220</f>
        <v/>
      </c>
      <c r="AO220" s="5" t="n"/>
      <c r="AP220" s="5">
        <f>U220-AL220</f>
        <v/>
      </c>
      <c r="AQ220" s="20" t="n"/>
      <c r="AR220" s="20" t="n">
        <v>0</v>
      </c>
      <c r="AT220" s="3" t="n">
        <v>0</v>
      </c>
      <c r="AV220" s="5">
        <f>ROUNDUP((AT220/8)*80,0)</f>
        <v/>
      </c>
      <c r="AX220" s="38">
        <f>AV220*W220</f>
        <v/>
      </c>
      <c r="BA220" s="3" t="n">
        <v>0</v>
      </c>
      <c r="BB220" s="3" t="n">
        <v>0</v>
      </c>
      <c r="BC220" s="3" t="n">
        <v>0</v>
      </c>
      <c r="BD220" s="3">
        <f>BC220+BB220+BA220</f>
        <v/>
      </c>
      <c r="BE220" s="3" t="n">
        <v>0</v>
      </c>
      <c r="BF220" s="3" t="n">
        <v>0</v>
      </c>
      <c r="BH220" s="3">
        <f>ROUNDUP(BD220*1.85,0)</f>
        <v/>
      </c>
      <c r="BJ220" s="38">
        <f>BH220*V220</f>
        <v/>
      </c>
      <c r="BL220" s="3">
        <f>U220*1.18</f>
        <v/>
      </c>
    </row>
    <row r="221">
      <c r="A221" s="1" t="inlineStr">
        <is>
          <t>82S9014LIN</t>
        </is>
      </c>
      <c r="B221" s="1">
        <f>IF(BL221&lt;40000,"Entry",IF(BL221&gt;65000,"Premium","Mainstream"))</f>
        <v/>
      </c>
      <c r="C221" s="1" t="inlineStr">
        <is>
          <t>Premium</t>
        </is>
      </c>
      <c r="D221" s="1" t="inlineStr">
        <is>
          <t>i5 OS 4GB Graphics Office</t>
        </is>
      </c>
      <c r="E221" s="1" t="inlineStr">
        <is>
          <t>Gaming</t>
        </is>
      </c>
      <c r="F221" s="1" t="inlineStr">
        <is>
          <t>IP Gaming 3</t>
        </is>
      </c>
      <c r="G221" s="1" t="inlineStr">
        <is>
          <t>IdeaPad Gaming 3 15IAH7</t>
        </is>
      </c>
      <c r="H221" s="1" t="inlineStr">
        <is>
          <t>i5</t>
        </is>
      </c>
      <c r="I221" s="1" t="inlineStr">
        <is>
          <t>12th Gen</t>
        </is>
      </c>
      <c r="J221" s="1" t="inlineStr">
        <is>
          <t>i5-12450H</t>
        </is>
      </c>
      <c r="K221" s="1" t="inlineStr">
        <is>
          <t>16GB</t>
        </is>
      </c>
      <c r="L221" s="1" t="inlineStr">
        <is>
          <t>512GB SSD</t>
        </is>
      </c>
      <c r="M221" s="1" t="inlineStr">
        <is>
          <t>Windows 11</t>
        </is>
      </c>
      <c r="N221" s="1" t="inlineStr">
        <is>
          <t>Office 2021</t>
        </is>
      </c>
      <c r="O221" s="1" t="inlineStr">
        <is>
          <t>RTX 3050 4GB</t>
        </is>
      </c>
      <c r="P221" s="1" t="inlineStr">
        <is>
          <t>15.6FHD_AG_250N_120_N</t>
        </is>
      </c>
      <c r="Q221" s="1" t="inlineStr">
        <is>
          <t>1 Yr. Onsite</t>
        </is>
      </c>
      <c r="R221" s="1" t="inlineStr">
        <is>
          <t>Zero GTN</t>
        </is>
      </c>
      <c r="S221" s="1" t="n"/>
      <c r="T221" s="2">
        <f>U221*0.98*0.98</f>
        <v/>
      </c>
      <c r="U221" s="13" t="n">
        <v>57360.16949152543</v>
      </c>
      <c r="V221" s="13" t="n">
        <v>0</v>
      </c>
      <c r="W221" s="13" t="n">
        <v>0</v>
      </c>
      <c r="X221" s="13" t="n">
        <v>3203.813559322035</v>
      </c>
      <c r="Y221" s="2">
        <f>(U221*0.98-S221-V221-W221-X221)*1.18/0.92</f>
        <v/>
      </c>
      <c r="Z221" s="1" t="n">
        <v>67990</v>
      </c>
      <c r="AA221" s="5" t="n"/>
      <c r="AB221" s="5" t="n"/>
      <c r="AC221" s="14" t="n">
        <v>67990</v>
      </c>
      <c r="AD221" s="5">
        <f>(Y221-AC221)/1.18*0.92</f>
        <v/>
      </c>
      <c r="AE221" s="5" t="n"/>
      <c r="AF221" s="5">
        <f>W221+X221</f>
        <v/>
      </c>
      <c r="AG221" s="5" t="n"/>
      <c r="AH221" s="13" t="n">
        <v>0</v>
      </c>
      <c r="AI221" s="13" t="n">
        <v>0</v>
      </c>
      <c r="AJ221" s="5" t="n"/>
      <c r="AL221" s="5" t="n"/>
      <c r="AM221" s="5" t="n">
        <v>72099.23913043478</v>
      </c>
      <c r="AN221" s="5">
        <f>Y221-AM221</f>
        <v/>
      </c>
      <c r="AO221" s="5" t="n"/>
      <c r="AP221" s="5">
        <f>U221-AL221</f>
        <v/>
      </c>
      <c r="AQ221" s="20" t="n">
        <v>0</v>
      </c>
      <c r="AR221" s="20" t="n">
        <v>0</v>
      </c>
      <c r="AT221" s="3" t="n">
        <v>7</v>
      </c>
      <c r="AV221" s="5">
        <f>ROUNDUP((AT221/8)*80,0)</f>
        <v/>
      </c>
      <c r="AX221" s="38">
        <f>AV221*W221</f>
        <v/>
      </c>
      <c r="BA221" s="3" t="n">
        <v>0</v>
      </c>
      <c r="BB221" s="3" t="n">
        <v>2</v>
      </c>
      <c r="BC221" s="3" t="n">
        <v>3</v>
      </c>
      <c r="BD221" s="3">
        <f>BC221+BB221+BA221</f>
        <v/>
      </c>
      <c r="BE221" s="3" t="n">
        <v>2</v>
      </c>
      <c r="BF221" s="3" t="n">
        <v>0</v>
      </c>
      <c r="BH221" s="3">
        <f>ROUNDUP(BD221*1.85,0)</f>
        <v/>
      </c>
      <c r="BJ221" s="38">
        <f>BH221*V221</f>
        <v/>
      </c>
      <c r="BL221" s="3">
        <f>U221*1.18</f>
        <v/>
      </c>
    </row>
    <row r="222">
      <c r="A222" s="1" t="inlineStr">
        <is>
          <t>82K2022YIN</t>
        </is>
      </c>
      <c r="B222" s="1">
        <f>IF(BL222&lt;40000,"Entry",IF(BL222&gt;65000,"Premium","Mainstream"))</f>
        <v/>
      </c>
      <c r="C222" s="1" t="inlineStr">
        <is>
          <t>Premium</t>
        </is>
      </c>
      <c r="D222" s="1" t="inlineStr">
        <is>
          <t>R5 OS 4GB Graphics Office</t>
        </is>
      </c>
      <c r="E222" s="1" t="inlineStr">
        <is>
          <t>Gaming</t>
        </is>
      </c>
      <c r="F222" s="1" t="inlineStr">
        <is>
          <t>IP Gaming 3</t>
        </is>
      </c>
      <c r="G222" s="1" t="inlineStr">
        <is>
          <t>IdeaPad Gaming 3 15ACH6</t>
        </is>
      </c>
      <c r="H222" s="1" t="inlineStr">
        <is>
          <t>R5</t>
        </is>
      </c>
      <c r="I222" s="1" t="inlineStr">
        <is>
          <t>5XXXH</t>
        </is>
      </c>
      <c r="J222" s="1" t="inlineStr">
        <is>
          <t>Ryzen 5 5600H</t>
        </is>
      </c>
      <c r="K222" s="1" t="inlineStr">
        <is>
          <t>8GB</t>
        </is>
      </c>
      <c r="L222" s="1" t="inlineStr">
        <is>
          <t>512GB SSD</t>
        </is>
      </c>
      <c r="M222" s="1" t="inlineStr">
        <is>
          <t>Win11</t>
        </is>
      </c>
      <c r="N222" s="1" t="inlineStr">
        <is>
          <t>Office 2021</t>
        </is>
      </c>
      <c r="O222" s="1" t="inlineStr">
        <is>
          <t>RTX 3050 4GB</t>
        </is>
      </c>
      <c r="P222" s="1" t="inlineStr">
        <is>
          <t>15.6FHD_AG_250N_120_N</t>
        </is>
      </c>
      <c r="Q222" s="1" t="inlineStr">
        <is>
          <t>1 Yr Onsite + 1 Yr PC + 1 Yr ADP</t>
        </is>
      </c>
      <c r="R222" s="1" t="inlineStr">
        <is>
          <t>Full GTN</t>
        </is>
      </c>
      <c r="S222" s="1" t="n">
        <v>725</v>
      </c>
      <c r="T222" s="2">
        <f>U222*0.98*0.965</f>
        <v/>
      </c>
      <c r="U222" s="13" t="n">
        <v>58580.79738058552</v>
      </c>
      <c r="V222" s="13" t="n">
        <v>1715.254237288136</v>
      </c>
      <c r="W222" s="13" t="n">
        <v>0</v>
      </c>
      <c r="X222" s="13" t="n"/>
      <c r="Y222" s="2">
        <f>(U222*0.88-S222-V222-W222-X222)*1.18/0.92</f>
        <v/>
      </c>
      <c r="Z222" s="18" t="n">
        <v>63990</v>
      </c>
      <c r="AA222" s="5" t="n"/>
      <c r="AB222" s="5" t="n"/>
      <c r="AC222" s="14" t="n">
        <v>0</v>
      </c>
      <c r="AD222" s="5" t="n">
        <v>0</v>
      </c>
      <c r="AE222" s="5" t="n"/>
      <c r="AF222" s="5">
        <f>W222+X222</f>
        <v/>
      </c>
      <c r="AG222" s="5" t="n"/>
      <c r="AH222" s="13" t="n">
        <v>1715.254237288136</v>
      </c>
      <c r="AI222" s="13" t="n"/>
      <c r="AJ222" s="5" t="n"/>
      <c r="AL222" s="5" t="n"/>
      <c r="AM222" s="5" t="n">
        <v>62990</v>
      </c>
      <c r="AN222" s="5">
        <f>Y222-AM222</f>
        <v/>
      </c>
      <c r="AO222" s="5" t="n"/>
      <c r="AP222" s="5">
        <f>U222-AL222</f>
        <v/>
      </c>
      <c r="AQ222" s="20" t="n">
        <v>1715.254237288136</v>
      </c>
      <c r="AR222" s="20" t="n"/>
      <c r="AT222" s="3" t="n">
        <v>1</v>
      </c>
      <c r="AV222" s="5">
        <f>ROUNDUP((AT222/8)*80,0)</f>
        <v/>
      </c>
      <c r="AX222" s="38">
        <f>AV222*W222</f>
        <v/>
      </c>
      <c r="BA222" s="3" t="n">
        <v>0</v>
      </c>
      <c r="BB222" s="3" t="n">
        <v>0</v>
      </c>
      <c r="BC222" s="3" t="n">
        <v>0</v>
      </c>
      <c r="BD222" s="3">
        <f>BC222+BB222+BA222</f>
        <v/>
      </c>
      <c r="BE222" s="3" t="n">
        <v>0</v>
      </c>
      <c r="BF222" s="3" t="n">
        <v>0</v>
      </c>
      <c r="BH222" s="3">
        <f>ROUNDUP(BD222*1.85,0)</f>
        <v/>
      </c>
      <c r="BJ222" s="38">
        <f>BH222*V222</f>
        <v/>
      </c>
      <c r="BL222" s="3">
        <f>U222*1.18</f>
        <v/>
      </c>
    </row>
    <row r="223">
      <c r="A223" s="1" t="inlineStr">
        <is>
          <t>82K2012LIN</t>
        </is>
      </c>
      <c r="B223" s="1">
        <f>IF(BL223&lt;40000,"Entry",IF(BL223&gt;65000,"Premium","Mainstream"))</f>
        <v/>
      </c>
      <c r="C223" s="1" t="inlineStr">
        <is>
          <t>Premium</t>
        </is>
      </c>
      <c r="D223" s="1" t="inlineStr">
        <is>
          <t>R5 OS 4GB Graphics</t>
        </is>
      </c>
      <c r="E223" s="1" t="inlineStr">
        <is>
          <t>Gaming</t>
        </is>
      </c>
      <c r="F223" s="1" t="inlineStr">
        <is>
          <t>IP Gaming 3</t>
        </is>
      </c>
      <c r="G223" s="1" t="inlineStr">
        <is>
          <t>IdeaPad Gaming 3 15ACH6</t>
        </is>
      </c>
      <c r="H223" s="1" t="inlineStr">
        <is>
          <t>R5</t>
        </is>
      </c>
      <c r="I223" s="1" t="inlineStr">
        <is>
          <t>5XXXH</t>
        </is>
      </c>
      <c r="J223" s="1" t="inlineStr">
        <is>
          <t>Ryzen 5 5600H</t>
        </is>
      </c>
      <c r="K223" s="1" t="inlineStr">
        <is>
          <t>8GB</t>
        </is>
      </c>
      <c r="L223" s="1" t="inlineStr">
        <is>
          <t>512GB SSD</t>
        </is>
      </c>
      <c r="M223" s="1" t="inlineStr">
        <is>
          <t>Win11</t>
        </is>
      </c>
      <c r="N223" s="1" t="inlineStr">
        <is>
          <t>No Office</t>
        </is>
      </c>
      <c r="O223" s="1" t="inlineStr">
        <is>
          <t>RTX 3050 4GB</t>
        </is>
      </c>
      <c r="P223" s="1" t="inlineStr">
        <is>
          <t>15.6FHD_AG_250N_120_N</t>
        </is>
      </c>
      <c r="Q223" s="1" t="inlineStr">
        <is>
          <t>1 Yr Onsite + 1 Yr PC + 1 Yr ADP</t>
        </is>
      </c>
      <c r="R223" s="1" t="inlineStr">
        <is>
          <t>Zero GTN</t>
        </is>
      </c>
      <c r="S223" s="1" t="n">
        <v>725</v>
      </c>
      <c r="T223" s="2">
        <f>U223*0.98*0.98</f>
        <v/>
      </c>
      <c r="U223" s="13" t="n">
        <v>51177.81355932204</v>
      </c>
      <c r="V223" s="13" t="n">
        <v>1877.731864406775</v>
      </c>
      <c r="W223" s="13" t="n">
        <v>0</v>
      </c>
      <c r="X223" s="13" t="n"/>
      <c r="Y223" s="2">
        <f>(U223*0.98-S223-V223-W223-X223)*1.18/0.92</f>
        <v/>
      </c>
      <c r="Z223" s="18" t="n">
        <v>62990</v>
      </c>
      <c r="AA223" s="5" t="n"/>
      <c r="AB223" s="5" t="n"/>
      <c r="AC223" s="14" t="n">
        <v>0</v>
      </c>
      <c r="AD223" s="5" t="n">
        <v>0</v>
      </c>
      <c r="AE223" s="5" t="n"/>
      <c r="AF223" s="5">
        <f>W223+X223</f>
        <v/>
      </c>
      <c r="AG223" s="5" t="n"/>
      <c r="AH223" s="13" t="n">
        <v>1877.731864406775</v>
      </c>
      <c r="AI223" s="13" t="n"/>
      <c r="AJ223" s="5" t="n"/>
      <c r="AL223" s="5" t="n"/>
      <c r="AM223" s="5" t="n">
        <v>60990</v>
      </c>
      <c r="AN223" s="5">
        <f>Y223-AM223</f>
        <v/>
      </c>
      <c r="AO223" s="5" t="n"/>
      <c r="AP223" s="5">
        <f>U223-AL223</f>
        <v/>
      </c>
      <c r="AQ223" s="20" t="n">
        <v>1877.731864406775</v>
      </c>
      <c r="AR223" s="20" t="n"/>
      <c r="AT223" s="3" t="n">
        <v>0</v>
      </c>
      <c r="AV223" s="5">
        <f>ROUNDUP((AT223/8)*80,0)</f>
        <v/>
      </c>
      <c r="AX223" s="38">
        <f>AV223*W223</f>
        <v/>
      </c>
      <c r="BA223" s="3" t="n">
        <v>0</v>
      </c>
      <c r="BB223" s="3" t="n">
        <v>0</v>
      </c>
      <c r="BC223" s="3" t="n">
        <v>0</v>
      </c>
      <c r="BD223" s="3">
        <f>BC223+BB223+BA223</f>
        <v/>
      </c>
      <c r="BE223" s="3" t="n">
        <v>0</v>
      </c>
      <c r="BF223" s="3" t="n">
        <v>0</v>
      </c>
      <c r="BH223" s="3">
        <f>ROUNDUP(BD223*1.85,0)</f>
        <v/>
      </c>
      <c r="BJ223" s="38">
        <f>BH223*V223</f>
        <v/>
      </c>
      <c r="BL223" s="3">
        <f>U223*1.18</f>
        <v/>
      </c>
    </row>
    <row r="224">
      <c r="A224" s="1" t="inlineStr">
        <is>
          <t>82R700C2IN</t>
        </is>
      </c>
      <c r="B224" s="1">
        <f>IF(BL224&lt;40000,"Entry",IF(BL224&gt;65000,"Premium","Mainstream"))</f>
        <v/>
      </c>
      <c r="C224" s="1" t="inlineStr">
        <is>
          <t>Premium</t>
        </is>
      </c>
      <c r="D224" s="1" t="inlineStr">
        <is>
          <t>i5 OS Office</t>
        </is>
      </c>
      <c r="E224" s="1" t="inlineStr">
        <is>
          <t>Convertible</t>
        </is>
      </c>
      <c r="F224" s="1" t="inlineStr">
        <is>
          <t>Flex 5</t>
        </is>
      </c>
      <c r="G224" s="1" t="inlineStr">
        <is>
          <t>IdeaPad Flex 5 14IAU7</t>
        </is>
      </c>
      <c r="H224" s="1" t="inlineStr">
        <is>
          <t>i5</t>
        </is>
      </c>
      <c r="I224" s="1" t="inlineStr">
        <is>
          <t>12th Gen</t>
        </is>
      </c>
      <c r="J224" s="1" t="inlineStr">
        <is>
          <t>i5-1235U</t>
        </is>
      </c>
      <c r="K224" s="1" t="inlineStr">
        <is>
          <t>16GB</t>
        </is>
      </c>
      <c r="L224" s="1" t="inlineStr">
        <is>
          <t>512GB SSD</t>
        </is>
      </c>
      <c r="M224" s="1" t="inlineStr">
        <is>
          <t>Windows 11</t>
        </is>
      </c>
      <c r="N224" s="1" t="inlineStr">
        <is>
          <t>OFFICE 2021</t>
        </is>
      </c>
      <c r="O224" s="1" t="inlineStr">
        <is>
          <t>INTEGRATED_GRAPHICS</t>
        </is>
      </c>
      <c r="P224" s="1" t="inlineStr">
        <is>
          <t>14_WUXGA_GL_300N_MT_N_G</t>
        </is>
      </c>
      <c r="Q224" s="1" t="inlineStr">
        <is>
          <t>1 Yr Onsite + 1 Yr PC + 1 Yr ADP</t>
        </is>
      </c>
      <c r="R224" s="1" t="inlineStr">
        <is>
          <t>Full GTN</t>
        </is>
      </c>
      <c r="S224" s="1" t="n">
        <v>725</v>
      </c>
      <c r="T224" s="2">
        <f>U224*0.98*0.965</f>
        <v/>
      </c>
      <c r="U224" s="13" t="n">
        <v>64398.59322033898</v>
      </c>
      <c r="V224" s="13" t="n">
        <v>0</v>
      </c>
      <c r="W224" s="13" t="n"/>
      <c r="X224" s="13" t="n"/>
      <c r="Y224" s="2">
        <f>(U224*0.88-S224-V224-W224-X224)*1.18/0.92</f>
        <v/>
      </c>
      <c r="Z224" s="2" t="n">
        <v>66190</v>
      </c>
      <c r="AA224" s="5" t="n"/>
      <c r="AB224" s="5" t="n"/>
      <c r="AC224" s="14" t="n">
        <v>0</v>
      </c>
      <c r="AD224" s="5">
        <f>(Y224-AC224)/1.18*0.92</f>
        <v/>
      </c>
      <c r="AE224" s="5" t="n"/>
      <c r="AF224" s="5">
        <f>W224+X224</f>
        <v/>
      </c>
      <c r="AG224" s="5" t="n"/>
      <c r="AH224" s="13" t="n">
        <v>0</v>
      </c>
      <c r="AI224" s="13" t="n"/>
      <c r="AJ224" s="5" t="n"/>
      <c r="AL224" s="5" t="n"/>
      <c r="AM224" s="5" t="n">
        <v>71756.52086956521</v>
      </c>
      <c r="AN224" s="5">
        <f>Y224-AM224</f>
        <v/>
      </c>
      <c r="AO224" s="5" t="n"/>
      <c r="AP224" s="5" t="n"/>
      <c r="AQ224" s="20" t="n">
        <v>0</v>
      </c>
      <c r="AR224" s="20" t="n"/>
      <c r="AT224" s="3" t="n">
        <v>0</v>
      </c>
      <c r="AV224" s="5">
        <f>ROUNDUP((AT224/8)*80,0)</f>
        <v/>
      </c>
      <c r="AX224" s="38">
        <f>AV224*W224</f>
        <v/>
      </c>
      <c r="BA224" s="3" t="n">
        <v>0</v>
      </c>
      <c r="BB224" s="3" t="n">
        <v>0</v>
      </c>
      <c r="BC224" s="3" t="n">
        <v>0</v>
      </c>
      <c r="BD224" s="3">
        <f>BC224+BB224+BA224</f>
        <v/>
      </c>
      <c r="BE224" s="3" t="n">
        <v>0</v>
      </c>
      <c r="BF224" s="3" t="n">
        <v>0</v>
      </c>
      <c r="BH224" s="3">
        <f>ROUNDUP(BD224*1.85,0)</f>
        <v/>
      </c>
      <c r="BJ224" s="38">
        <f>BH224*V224</f>
        <v/>
      </c>
      <c r="BL224" s="3">
        <f>U224*1.18</f>
        <v/>
      </c>
    </row>
    <row r="225">
      <c r="A225" s="1" t="inlineStr">
        <is>
          <t>82R70068IN</t>
        </is>
      </c>
      <c r="B225" s="1">
        <f>IF(BL225&lt;40000,"Entry",IF(BL225&gt;65000,"Premium","Mainstream"))</f>
        <v/>
      </c>
      <c r="C225" s="1" t="inlineStr">
        <is>
          <t>Premium</t>
        </is>
      </c>
      <c r="D225" s="1" t="inlineStr">
        <is>
          <t>i5 OS Office</t>
        </is>
      </c>
      <c r="E225" s="1" t="inlineStr">
        <is>
          <t>Convertible</t>
        </is>
      </c>
      <c r="F225" s="1" t="inlineStr">
        <is>
          <t>Flex 5</t>
        </is>
      </c>
      <c r="G225" s="1" t="inlineStr">
        <is>
          <t>IdeaPad Flex 5 14IAU7</t>
        </is>
      </c>
      <c r="H225" s="1" t="inlineStr">
        <is>
          <t>i5</t>
        </is>
      </c>
      <c r="I225" s="1" t="inlineStr">
        <is>
          <t>12th Gen</t>
        </is>
      </c>
      <c r="J225" s="1" t="inlineStr">
        <is>
          <t>i5-1235U</t>
        </is>
      </c>
      <c r="K225" s="1" t="inlineStr">
        <is>
          <t>8GB</t>
        </is>
      </c>
      <c r="L225" s="1" t="inlineStr">
        <is>
          <t>512GB SSD</t>
        </is>
      </c>
      <c r="M225" s="1" t="inlineStr">
        <is>
          <t>Win11</t>
        </is>
      </c>
      <c r="N225" s="1" t="inlineStr">
        <is>
          <t>Office 2021</t>
        </is>
      </c>
      <c r="O225" s="1" t="inlineStr">
        <is>
          <t>INTEGRATED_GRAPHICS</t>
        </is>
      </c>
      <c r="P225" s="1" t="inlineStr">
        <is>
          <t>14_WUXGA_GL_300N_MT_N_G</t>
        </is>
      </c>
      <c r="Q225" s="1" t="inlineStr">
        <is>
          <t>1 Yr Onsite + 1 Yr PC + 1 Yr ADP</t>
        </is>
      </c>
      <c r="R225" s="1" t="inlineStr">
        <is>
          <t>Full GTN</t>
        </is>
      </c>
      <c r="S225" s="1" t="n"/>
      <c r="T225" s="2">
        <f>U225*0.98*0.965</f>
        <v/>
      </c>
      <c r="U225" s="13" t="n">
        <v>61008.40677966102</v>
      </c>
      <c r="V225" s="13" t="n">
        <v>0</v>
      </c>
      <c r="W225" s="13" t="n"/>
      <c r="X225" s="13" t="n"/>
      <c r="Y225" s="2">
        <f>(U225*0.88-S225-V225-W225-X225)*1.18/0.92</f>
        <v/>
      </c>
      <c r="Z225" s="2" t="n">
        <v>68859.92347826085</v>
      </c>
      <c r="AA225" s="5" t="n"/>
      <c r="AB225" s="5" t="n"/>
      <c r="AC225" s="14" t="n">
        <v>0</v>
      </c>
      <c r="AD225" s="5">
        <f>(Y225-AC225)/1.18*0.92</f>
        <v/>
      </c>
      <c r="AE225" s="5" t="n"/>
      <c r="AF225" s="5">
        <f>W225+X225</f>
        <v/>
      </c>
      <c r="AG225" s="5" t="n"/>
      <c r="AH225" s="13" t="n">
        <v>0</v>
      </c>
      <c r="AI225" s="13" t="n"/>
      <c r="AJ225" s="5" t="n"/>
      <c r="AL225" s="5" t="n"/>
      <c r="AM225" s="5" t="n">
        <v>68859.92347826085</v>
      </c>
      <c r="AN225" s="5">
        <f>Y225-AM225</f>
        <v/>
      </c>
      <c r="AO225" s="5" t="n"/>
      <c r="AP225" s="5" t="n"/>
      <c r="AQ225" s="20" t="n">
        <v>0</v>
      </c>
      <c r="AR225" s="20" t="n"/>
      <c r="AT225" s="3" t="n">
        <v>0</v>
      </c>
      <c r="AV225" s="5">
        <f>ROUNDUP((AT225/8)*80,0)</f>
        <v/>
      </c>
      <c r="AX225" s="38">
        <f>AV225*W225</f>
        <v/>
      </c>
      <c r="BA225" s="3" t="n">
        <v>0</v>
      </c>
      <c r="BB225" s="3" t="n">
        <v>0</v>
      </c>
      <c r="BC225" s="3" t="n">
        <v>0</v>
      </c>
      <c r="BD225" s="3">
        <f>BC225+BB225+BA225</f>
        <v/>
      </c>
      <c r="BE225" s="3" t="n">
        <v>1</v>
      </c>
      <c r="BF225" s="3" t="n">
        <v>0</v>
      </c>
      <c r="BH225" s="3">
        <f>ROUNDUP(BD225*1.85,0)</f>
        <v/>
      </c>
      <c r="BJ225" s="38">
        <f>BH225*V225</f>
        <v/>
      </c>
      <c r="BL225" s="3">
        <f>U225*1.18</f>
        <v/>
      </c>
    </row>
    <row r="226">
      <c r="A226" s="1" t="inlineStr">
        <is>
          <t>82JU018YIN</t>
        </is>
      </c>
      <c r="B226" s="1">
        <f>IF(BL226&lt;40000,"Entry",IF(BL226&gt;65000,"Premium","Mainstream"))</f>
        <v/>
      </c>
      <c r="C226" s="1" t="inlineStr">
        <is>
          <t>Premium</t>
        </is>
      </c>
      <c r="D226" s="1" t="inlineStr">
        <is>
          <t>R7 OS 6GB Graphics Office</t>
        </is>
      </c>
      <c r="E226" s="1" t="inlineStr">
        <is>
          <t>Gaming</t>
        </is>
      </c>
      <c r="F226" s="1" t="inlineStr">
        <is>
          <t>Legion 5</t>
        </is>
      </c>
      <c r="G226" s="1" t="inlineStr">
        <is>
          <t>Legion 5 15ACH6H</t>
        </is>
      </c>
      <c r="H226" s="1" t="inlineStr">
        <is>
          <t>R7</t>
        </is>
      </c>
      <c r="I226" s="1" t="inlineStr">
        <is>
          <t>5XXXH</t>
        </is>
      </c>
      <c r="J226" s="1" t="inlineStr">
        <is>
          <t>Ryzen 7 5800H</t>
        </is>
      </c>
      <c r="K226" s="1" t="inlineStr">
        <is>
          <t>16GB</t>
        </is>
      </c>
      <c r="L226" s="1" t="inlineStr">
        <is>
          <t>512GB SSD</t>
        </is>
      </c>
      <c r="M226" s="1" t="inlineStr">
        <is>
          <t>Win11</t>
        </is>
      </c>
      <c r="N226" s="1" t="inlineStr">
        <is>
          <t>Office 2021</t>
        </is>
      </c>
      <c r="O226" s="1" t="inlineStr">
        <is>
          <t>RTX 3060 6GB</t>
        </is>
      </c>
      <c r="P226" s="1" t="inlineStr">
        <is>
          <t>15.6FHD_AG_300N_165_N_SRGB</t>
        </is>
      </c>
      <c r="Q226" s="1" t="inlineStr">
        <is>
          <t>1 Yr Onsite + 1 Yr LUS + 1 Yr ADP</t>
        </is>
      </c>
      <c r="R226" s="1" t="inlineStr">
        <is>
          <t>Zero GTN</t>
        </is>
      </c>
      <c r="S226" s="1" t="n">
        <v>2457</v>
      </c>
      <c r="T226" s="2">
        <f>U226*0.98*0.98</f>
        <v/>
      </c>
      <c r="U226" s="13" t="n">
        <v>86034.29609131788</v>
      </c>
      <c r="V226" s="13" t="n">
        <v>0</v>
      </c>
      <c r="W226" s="13" t="n">
        <v>3898</v>
      </c>
      <c r="X226" s="13" t="n"/>
      <c r="Y226" s="2">
        <f>(U226*0.98-S226-V226-W226-X226)*1.18/0.92</f>
        <v/>
      </c>
      <c r="Z226" s="1" t="n">
        <v>99990</v>
      </c>
      <c r="AA226" s="5" t="n"/>
      <c r="AB226" s="5" t="n"/>
      <c r="AC226" s="14" t="n">
        <v>0</v>
      </c>
      <c r="AD226" s="5" t="n">
        <v>0</v>
      </c>
      <c r="AE226" s="5" t="n"/>
      <c r="AF226" s="5">
        <f>W226+X226</f>
        <v/>
      </c>
      <c r="AG226" s="5" t="n"/>
      <c r="AH226" s="13" t="n">
        <v>0</v>
      </c>
      <c r="AI226" s="13" t="n">
        <v>3898</v>
      </c>
      <c r="AJ226" s="5" t="n"/>
      <c r="AL226" s="5" t="n"/>
      <c r="AM226" s="5" t="n">
        <v>99990.39130434782</v>
      </c>
      <c r="AN226" s="5">
        <f>Y226-AM226</f>
        <v/>
      </c>
      <c r="AO226" s="5" t="n"/>
      <c r="AP226" s="5">
        <f>U226-AL226</f>
        <v/>
      </c>
      <c r="AQ226" s="20" t="n">
        <v>0</v>
      </c>
      <c r="AR226" s="20" t="n">
        <v>3898</v>
      </c>
      <c r="AT226" s="3" t="n">
        <v>0</v>
      </c>
      <c r="AV226" s="5">
        <f>ROUNDUP((AT226/8)*80,0)</f>
        <v/>
      </c>
      <c r="AX226" s="38">
        <f>AV226*W226</f>
        <v/>
      </c>
      <c r="BA226" s="3" t="n">
        <v>0</v>
      </c>
      <c r="BB226" s="3" t="n">
        <v>0</v>
      </c>
      <c r="BC226" s="3" t="n">
        <v>0</v>
      </c>
      <c r="BD226" s="3">
        <f>BC226+BB226+BA226</f>
        <v/>
      </c>
      <c r="BE226" s="3" t="n">
        <v>0</v>
      </c>
      <c r="BF226" s="3" t="n">
        <v>0</v>
      </c>
      <c r="BH226" s="3">
        <f>ROUNDUP(BD226*1.85,0)</f>
        <v/>
      </c>
      <c r="BJ226" s="38">
        <f>BH226*V226</f>
        <v/>
      </c>
      <c r="BL226" s="3">
        <f>U226*1.18</f>
        <v/>
      </c>
    </row>
    <row r="227">
      <c r="A227" s="1" t="inlineStr">
        <is>
          <t>82X70033IN</t>
        </is>
      </c>
      <c r="B227" s="1">
        <f>IF(BL227&lt;40000,"Entry",IF(BL227&gt;65000,"Premium","Mainstream"))</f>
        <v/>
      </c>
      <c r="C227" s="1" t="inlineStr">
        <is>
          <t>Mainstream</t>
        </is>
      </c>
      <c r="D227" s="1" t="inlineStr">
        <is>
          <t>i3 OS Office</t>
        </is>
      </c>
      <c r="E227" s="1" t="inlineStr">
        <is>
          <t>Thin &amp; Light</t>
        </is>
      </c>
      <c r="F227" s="1" t="inlineStr">
        <is>
          <t>Slim 3</t>
        </is>
      </c>
      <c r="G227" s="1" t="inlineStr">
        <is>
          <t>IdeaPad 3 15IRU8</t>
        </is>
      </c>
      <c r="H227" s="1" t="inlineStr">
        <is>
          <t>i3</t>
        </is>
      </c>
      <c r="I227" s="1" t="inlineStr">
        <is>
          <t>13th gen</t>
        </is>
      </c>
      <c r="J227" s="1" t="inlineStr">
        <is>
          <t>I3 1305U</t>
        </is>
      </c>
      <c r="K227" s="1" t="inlineStr">
        <is>
          <t>8GB</t>
        </is>
      </c>
      <c r="L227" s="1" t="inlineStr">
        <is>
          <t>512GB SSD</t>
        </is>
      </c>
      <c r="M227" s="1" t="inlineStr">
        <is>
          <t>Win11</t>
        </is>
      </c>
      <c r="N227" s="1" t="inlineStr">
        <is>
          <t>Office 2021</t>
        </is>
      </c>
      <c r="O227" s="1" t="inlineStr">
        <is>
          <t>INTEGRATED_GRAPHICS</t>
        </is>
      </c>
      <c r="P227" s="1" t="inlineStr">
        <is>
          <t>15.6FHD_AG_300N_N</t>
        </is>
      </c>
      <c r="Q227" s="1" t="inlineStr">
        <is>
          <t>1 Yr. Onsite + 1 Yr. ADP</t>
        </is>
      </c>
      <c r="R227" s="1" t="inlineStr">
        <is>
          <t>Full GTN</t>
        </is>
      </c>
      <c r="S227" s="1" t="n">
        <v>0</v>
      </c>
      <c r="T227" s="2" t="n">
        <v>37209</v>
      </c>
      <c r="U227" s="13" t="n">
        <v>39345.76271186441</v>
      </c>
      <c r="V227" s="13" t="n">
        <v>0</v>
      </c>
      <c r="W227" s="13" t="n">
        <v>2280</v>
      </c>
      <c r="X227" s="13" t="n"/>
      <c r="Y227" s="2">
        <f>(U227*0.89-S227-V227-W227-X227)*1.18/0.92</f>
        <v/>
      </c>
      <c r="Z227" s="18">
        <f>AC227</f>
        <v/>
      </c>
      <c r="AA227" s="5" t="inlineStr">
        <is>
          <t>Ok</t>
        </is>
      </c>
      <c r="AB227" s="5" t="n"/>
      <c r="AC227" s="14" t="n">
        <v>41990</v>
      </c>
      <c r="AD227" s="5">
        <f>(Y227-AC227)/1.18*0.92</f>
        <v/>
      </c>
      <c r="AE227" s="5" t="n"/>
      <c r="AF227" s="5">
        <f>W227+X227</f>
        <v/>
      </c>
      <c r="AG227" s="5" t="n"/>
      <c r="AH227" s="13" t="n">
        <v>0</v>
      </c>
      <c r="AI227" s="13" t="n">
        <v>2280</v>
      </c>
      <c r="AJ227" s="5" t="n"/>
      <c r="AL227" s="5" t="n"/>
      <c r="AM227" s="5" t="n">
        <v>43990.5652173913</v>
      </c>
      <c r="AN227" s="5">
        <f>Y227-AM227</f>
        <v/>
      </c>
      <c r="AO227" s="5" t="n"/>
      <c r="AP227" s="5">
        <f>U227-AL227</f>
        <v/>
      </c>
      <c r="AQ227" s="20" t="n">
        <v>0</v>
      </c>
      <c r="AR227" s="20" t="n">
        <v>720</v>
      </c>
      <c r="AT227" s="3" t="n">
        <v>9</v>
      </c>
      <c r="AV227" s="5">
        <f>ROUNDUP((AT227/8)*80,0)</f>
        <v/>
      </c>
      <c r="AX227" s="38">
        <f>AV227*W227</f>
        <v/>
      </c>
      <c r="BA227" s="3" t="n">
        <v>0</v>
      </c>
      <c r="BB227" s="3" t="n">
        <v>0</v>
      </c>
      <c r="BC227" s="3" t="n">
        <v>0</v>
      </c>
      <c r="BD227" s="3">
        <f>BC227+BB227+BA227</f>
        <v/>
      </c>
      <c r="BE227" s="3" t="n">
        <v>1912</v>
      </c>
      <c r="BF227" s="3" t="n">
        <v>3</v>
      </c>
      <c r="BH227" s="3">
        <f>ROUNDUP(BD227*1.85,0)</f>
        <v/>
      </c>
      <c r="BJ227" s="38">
        <f>BH227*V227</f>
        <v/>
      </c>
      <c r="BL227" s="3">
        <f>U227*1.18</f>
        <v/>
      </c>
    </row>
    <row r="228">
      <c r="A228" s="4" t="inlineStr">
        <is>
          <t>82XF003HIN</t>
        </is>
      </c>
      <c r="B228" s="1">
        <f>IF(BL228&lt;40000,"Entry",IF(BL228&gt;65000,"Premium","Mainstream"))</f>
        <v/>
      </c>
      <c r="C228" s="1" t="inlineStr">
        <is>
          <t>Premium</t>
        </is>
      </c>
      <c r="D228" s="1" t="inlineStr">
        <is>
          <t>i7 OS Office</t>
        </is>
      </c>
      <c r="E228" s="1" t="inlineStr">
        <is>
          <t>Thin &amp; Light</t>
        </is>
      </c>
      <c r="F228" s="1" t="inlineStr">
        <is>
          <t>Slim 5</t>
        </is>
      </c>
      <c r="G228" s="1" t="inlineStr">
        <is>
          <t>IPS5 16IRL8</t>
        </is>
      </c>
      <c r="H228" s="1" t="inlineStr">
        <is>
          <t>i7</t>
        </is>
      </c>
      <c r="I228" s="1" t="inlineStr">
        <is>
          <t>13th gen</t>
        </is>
      </c>
      <c r="J228" s="1" t="inlineStr">
        <is>
          <t>i7 13700H</t>
        </is>
      </c>
      <c r="K228" s="1" t="inlineStr">
        <is>
          <t>16GB</t>
        </is>
      </c>
      <c r="L228" s="4" t="inlineStr">
        <is>
          <t>512GB SSD</t>
        </is>
      </c>
      <c r="M228" s="1" t="inlineStr">
        <is>
          <t>Windows 11</t>
        </is>
      </c>
      <c r="N228" s="1" t="inlineStr">
        <is>
          <t>Office 2021</t>
        </is>
      </c>
      <c r="O228" s="1" t="inlineStr">
        <is>
          <t>INTEGRATED_GRAPHICS</t>
        </is>
      </c>
      <c r="P228" s="1" t="inlineStr">
        <is>
          <t>14_WUXGA_AG_300N_N</t>
        </is>
      </c>
      <c r="Q228" s="1" t="inlineStr">
        <is>
          <t>1 Yr Onsite + 1 Yr PC</t>
        </is>
      </c>
      <c r="R228" s="1" t="inlineStr">
        <is>
          <t>Full GTN</t>
        </is>
      </c>
      <c r="S228" s="1" t="n">
        <v>725</v>
      </c>
      <c r="T228" s="2">
        <f>U228*0.965*0.98</f>
        <v/>
      </c>
      <c r="U228" s="13" t="n">
        <v>77186.34437596303</v>
      </c>
      <c r="V228" s="13" t="n">
        <v>0</v>
      </c>
      <c r="W228" s="13" t="n"/>
      <c r="X228" s="13" t="n"/>
      <c r="Y228" s="2">
        <f>(U228*0.88-S228-V228-W228-X228)*1.18/0.92</f>
        <v/>
      </c>
      <c r="Z228" s="1" t="n">
        <v>86190</v>
      </c>
      <c r="AA228" s="5" t="n"/>
      <c r="AB228" s="5" t="n"/>
      <c r="AC228" s="14" t="n">
        <v>86190</v>
      </c>
      <c r="AD228" s="5">
        <f>(Y228-AC228)/1.18*0.92</f>
        <v/>
      </c>
      <c r="AE228" s="5" t="n"/>
      <c r="AF228" s="5">
        <f>W228+X228</f>
        <v/>
      </c>
      <c r="AG228" s="5" t="n"/>
      <c r="AH228" s="13" t="n">
        <v>0</v>
      </c>
      <c r="AI228" s="13" t="n"/>
      <c r="AJ228" s="5" t="n"/>
      <c r="AL228" s="5" t="n"/>
      <c r="AM228" s="5" t="n">
        <v>86190</v>
      </c>
      <c r="AN228" s="5">
        <f>Y228-AM228</f>
        <v/>
      </c>
      <c r="AO228" s="5" t="n"/>
      <c r="AP228" s="5">
        <f>U228-AL228</f>
        <v/>
      </c>
      <c r="AQ228" s="20" t="n">
        <v>0</v>
      </c>
      <c r="AR228" s="20" t="n"/>
      <c r="AT228" s="3" t="n">
        <v>0</v>
      </c>
      <c r="AV228" s="5">
        <f>ROUNDUP((AT228/8)*80,0)</f>
        <v/>
      </c>
      <c r="AX228" s="38">
        <f>AV228*W228</f>
        <v/>
      </c>
      <c r="BA228" s="3" t="n">
        <v>0</v>
      </c>
      <c r="BB228" s="3" t="n">
        <v>0</v>
      </c>
      <c r="BC228" s="3" t="n">
        <v>0</v>
      </c>
      <c r="BD228" s="3">
        <f>BC228+BB228+BA228</f>
        <v/>
      </c>
      <c r="BE228" s="3" t="n">
        <v>276</v>
      </c>
      <c r="BF228" s="3" t="n">
        <v>200</v>
      </c>
      <c r="BH228" s="3">
        <f>ROUNDUP(BD228*1.85,0)</f>
        <v/>
      </c>
      <c r="BJ228" s="38">
        <f>BH228*V228</f>
        <v/>
      </c>
      <c r="BL228" s="3">
        <f>U228*1.18</f>
        <v/>
      </c>
    </row>
    <row r="229">
      <c r="A229" s="1" t="inlineStr">
        <is>
          <t>82XD0040IN</t>
        </is>
      </c>
      <c r="B229" s="1">
        <f>IF(BL229&lt;40000,"Entry",IF(BL229&gt;65000,"Premium","Mainstream"))</f>
        <v/>
      </c>
      <c r="C229" s="1" t="inlineStr">
        <is>
          <t>Premium</t>
        </is>
      </c>
      <c r="D229" s="1" t="inlineStr">
        <is>
          <t>i7 OS Office</t>
        </is>
      </c>
      <c r="E229" s="1" t="inlineStr">
        <is>
          <t>Thin &amp; Light</t>
        </is>
      </c>
      <c r="F229" s="1" t="inlineStr">
        <is>
          <t>Slim 5</t>
        </is>
      </c>
      <c r="G229" s="1" t="inlineStr">
        <is>
          <t>IPS5 14IRL8</t>
        </is>
      </c>
      <c r="H229" s="1" t="inlineStr">
        <is>
          <t>i7</t>
        </is>
      </c>
      <c r="I229" s="1" t="inlineStr">
        <is>
          <t>13th gen</t>
        </is>
      </c>
      <c r="J229" s="1" t="inlineStr">
        <is>
          <t>i7-13620H</t>
        </is>
      </c>
      <c r="K229" s="1" t="inlineStr">
        <is>
          <t>16GB</t>
        </is>
      </c>
      <c r="L229" s="1" t="inlineStr">
        <is>
          <t>512GB SSD</t>
        </is>
      </c>
      <c r="M229" s="1" t="inlineStr">
        <is>
          <t>Windows 11</t>
        </is>
      </c>
      <c r="N229" s="1" t="inlineStr">
        <is>
          <t>Office 2021</t>
        </is>
      </c>
      <c r="O229" s="1" t="inlineStr">
        <is>
          <t>INTEGRATED_GRAPHICS</t>
        </is>
      </c>
      <c r="P229" s="1" t="inlineStr">
        <is>
          <t>14_WUXGA_OLED_GL_400N_N_HDR_P3</t>
        </is>
      </c>
      <c r="Q229" s="1" t="inlineStr">
        <is>
          <t>1 Yr Onsite + 1 Yr PC</t>
        </is>
      </c>
      <c r="R229" s="1" t="inlineStr">
        <is>
          <t>Full GTN</t>
        </is>
      </c>
      <c r="S229" s="1" t="n">
        <v>0</v>
      </c>
      <c r="T229" s="2">
        <f>U229*0.965*0.98</f>
        <v/>
      </c>
      <c r="U229" s="13" t="n">
        <v>77419.49152542373</v>
      </c>
      <c r="V229" s="13" t="n">
        <v>0</v>
      </c>
      <c r="W229" s="13" t="n"/>
      <c r="X229" s="13" t="n"/>
      <c r="Y229" s="2">
        <f>(U229*0.88-S229-V229-W229-X229)*1.18/0.92</f>
        <v/>
      </c>
      <c r="Z229" s="18" t="n">
        <v>87190</v>
      </c>
      <c r="AA229" s="5" t="n"/>
      <c r="AB229" s="5" t="n"/>
      <c r="AC229" s="14" t="n">
        <v>87190</v>
      </c>
      <c r="AD229" s="5">
        <f>(Y229-AC229)/1.18*0.92</f>
        <v/>
      </c>
      <c r="AE229" s="5" t="n"/>
      <c r="AF229" s="5">
        <f>W229+X229</f>
        <v/>
      </c>
      <c r="AG229" s="5" t="n"/>
      <c r="AH229" s="13" t="n">
        <v>0</v>
      </c>
      <c r="AI229" s="13" t="n"/>
      <c r="AJ229" s="5" t="n"/>
      <c r="AL229" s="5" t="n"/>
      <c r="AM229" s="5" t="n">
        <v>87383.04347826086</v>
      </c>
      <c r="AN229" s="5">
        <f>Y229-AM229</f>
        <v/>
      </c>
      <c r="AO229" s="5" t="n"/>
      <c r="AP229" s="5">
        <f>U229-AL229</f>
        <v/>
      </c>
      <c r="AQ229" s="20" t="n">
        <v>0</v>
      </c>
      <c r="AR229" s="20" t="n"/>
      <c r="AT229" s="3" t="n">
        <v>4</v>
      </c>
      <c r="AV229" s="5">
        <f>ROUNDUP((AT229/8)*80,0)</f>
        <v/>
      </c>
      <c r="AX229" s="38">
        <f>AV229*W229</f>
        <v/>
      </c>
      <c r="BA229" s="3" t="n">
        <v>17</v>
      </c>
      <c r="BB229" s="3" t="n">
        <v>16</v>
      </c>
      <c r="BC229" s="3" t="n">
        <v>6</v>
      </c>
      <c r="BD229" s="3">
        <f>BC229+BB229+BA229</f>
        <v/>
      </c>
      <c r="BE229" s="3" t="n">
        <v>31</v>
      </c>
      <c r="BF229" s="3" t="n">
        <v>13</v>
      </c>
      <c r="BH229" s="3">
        <f>ROUNDUP(BD229*1.85,0)</f>
        <v/>
      </c>
      <c r="BJ229" s="38">
        <f>BH229*V229</f>
        <v/>
      </c>
      <c r="BL229" s="3">
        <f>U229*1.18</f>
        <v/>
      </c>
    </row>
    <row r="230">
      <c r="A230" s="1" t="inlineStr">
        <is>
          <t>82H801L6IN</t>
        </is>
      </c>
      <c r="B230" s="1">
        <f>IF(BL230&lt;40000,"Entry",IF(BL230&gt;65000,"Premium","Mainstream"))</f>
        <v/>
      </c>
      <c r="C230" s="1" t="inlineStr">
        <is>
          <t>Premium</t>
        </is>
      </c>
      <c r="D230" s="1" t="inlineStr">
        <is>
          <t>i5 OS Office</t>
        </is>
      </c>
      <c r="E230" s="1" t="inlineStr">
        <is>
          <t>Thin &amp; Light</t>
        </is>
      </c>
      <c r="F230" s="1" t="inlineStr">
        <is>
          <t>Slim 3</t>
        </is>
      </c>
      <c r="G230" s="1" t="inlineStr">
        <is>
          <t>IdeaPad 3 15ITL6</t>
        </is>
      </c>
      <c r="H230" s="1" t="inlineStr">
        <is>
          <t>i5</t>
        </is>
      </c>
      <c r="I230" s="1" t="inlineStr">
        <is>
          <t>11th Gen</t>
        </is>
      </c>
      <c r="J230" s="1" t="inlineStr">
        <is>
          <t>i5 1135G7</t>
        </is>
      </c>
      <c r="K230" s="1" t="inlineStr">
        <is>
          <t>8GB</t>
        </is>
      </c>
      <c r="L230" s="1" t="inlineStr">
        <is>
          <t>512GB SSD</t>
        </is>
      </c>
      <c r="M230" s="1" t="inlineStr">
        <is>
          <t>Win11</t>
        </is>
      </c>
      <c r="N230" s="1" t="inlineStr">
        <is>
          <t>Office 2021</t>
        </is>
      </c>
      <c r="O230" s="1" t="inlineStr">
        <is>
          <t>INTEGRATED_GRAPHICS</t>
        </is>
      </c>
      <c r="P230" s="1" t="inlineStr">
        <is>
          <t>15.6FHD_TN_AG_250N_N</t>
        </is>
      </c>
      <c r="Q230" s="1" t="inlineStr">
        <is>
          <t>2 Yr Warranty</t>
        </is>
      </c>
      <c r="R230" s="1" t="inlineStr">
        <is>
          <t>Full GTN</t>
        </is>
      </c>
      <c r="S230" s="1" t="n">
        <v>0</v>
      </c>
      <c r="T230" s="2" t="n">
        <v>41987.18859999999</v>
      </c>
      <c r="U230" s="14" t="n">
        <v>44397.99999999999</v>
      </c>
      <c r="V230" s="13" t="n">
        <v>0</v>
      </c>
      <c r="W230" s="13" t="n">
        <v>5217</v>
      </c>
      <c r="X230" s="13" t="n"/>
      <c r="Y230" s="2">
        <f>(U230*0.89-S230-V230-W230-X230)*1.18/0.92</f>
        <v/>
      </c>
      <c r="Z230" s="18">
        <f>AC230</f>
        <v/>
      </c>
      <c r="AA230" s="5" t="inlineStr">
        <is>
          <t>Ok</t>
        </is>
      </c>
      <c r="AB230" s="5" t="n"/>
      <c r="AC230" s="14" t="n">
        <v>43990</v>
      </c>
      <c r="AD230" s="5">
        <f>(Y230-AC230)/1.18*0.92</f>
        <v/>
      </c>
      <c r="AE230" s="5" t="n"/>
      <c r="AF230" s="5">
        <f>W230+X230</f>
        <v/>
      </c>
      <c r="AG230" s="5" t="n"/>
      <c r="AH230" s="13" t="n">
        <v>0</v>
      </c>
      <c r="AI230" s="13" t="n">
        <v>4772.951864406772</v>
      </c>
      <c r="AJ230" s="5" t="n"/>
      <c r="AL230" s="5" t="n"/>
      <c r="AM230" s="5" t="n">
        <v>43989.99999999999</v>
      </c>
      <c r="AN230" s="5">
        <f>Y230-AM230</f>
        <v/>
      </c>
      <c r="AO230" s="5" t="n"/>
      <c r="AP230" s="5">
        <f>U230-AL230</f>
        <v/>
      </c>
      <c r="AQ230" s="20" t="n">
        <v>0</v>
      </c>
      <c r="AR230" s="20" t="n">
        <v>4772.951864406772</v>
      </c>
      <c r="AT230" s="3" t="n">
        <v>0</v>
      </c>
      <c r="AV230" s="5">
        <f>ROUNDUP((AT230/8)*80,0)</f>
        <v/>
      </c>
      <c r="AX230" s="38">
        <f>AV230*W230</f>
        <v/>
      </c>
      <c r="BA230" s="3" t="n">
        <v>0</v>
      </c>
      <c r="BB230" s="3" t="n">
        <v>0</v>
      </c>
      <c r="BC230" s="3" t="n">
        <v>0</v>
      </c>
      <c r="BD230" s="3">
        <f>BC230+BB230+BA230</f>
        <v/>
      </c>
      <c r="BE230" s="3" t="n">
        <v>2</v>
      </c>
      <c r="BF230" s="3" t="n">
        <v>0</v>
      </c>
      <c r="BH230" s="3">
        <f>ROUNDUP(BD230*1.85,0)</f>
        <v/>
      </c>
      <c r="BJ230" s="38">
        <f>BH230*V230</f>
        <v/>
      </c>
      <c r="BL230" s="3">
        <f>U230*1.18</f>
        <v/>
      </c>
    </row>
    <row r="231">
      <c r="A231" s="1" t="inlineStr">
        <is>
          <t>82SN00F0IN</t>
        </is>
      </c>
      <c r="B231" s="1">
        <f>IF(BL231&lt;40000,"Entry",IF(BL231&gt;65000,"Premium","Mainstream"))</f>
        <v/>
      </c>
      <c r="C231" s="1" t="inlineStr">
        <is>
          <t>Premium</t>
        </is>
      </c>
      <c r="D231" s="1" t="inlineStr">
        <is>
          <t>R7 OS 4GB Graphics Office</t>
        </is>
      </c>
      <c r="E231" s="1" t="inlineStr">
        <is>
          <t>Thin &amp; Light</t>
        </is>
      </c>
      <c r="F231" s="1" t="inlineStr">
        <is>
          <t>Slim 5 Pro</t>
        </is>
      </c>
      <c r="G231" s="4" t="inlineStr">
        <is>
          <t>IP5Pro 16ARH7</t>
        </is>
      </c>
      <c r="H231" s="1" t="inlineStr">
        <is>
          <t>R7</t>
        </is>
      </c>
      <c r="I231" s="1" t="inlineStr">
        <is>
          <t>6XXXHS</t>
        </is>
      </c>
      <c r="J231" s="4" t="inlineStr">
        <is>
          <t>R7-6800HS</t>
        </is>
      </c>
      <c r="K231" s="4" t="inlineStr">
        <is>
          <t>16GB</t>
        </is>
      </c>
      <c r="L231" s="4" t="inlineStr">
        <is>
          <t>512GB SSD</t>
        </is>
      </c>
      <c r="M231" s="4" t="inlineStr">
        <is>
          <t>Windows 11</t>
        </is>
      </c>
      <c r="N231" s="4" t="inlineStr">
        <is>
          <t>Office 2021</t>
        </is>
      </c>
      <c r="O231" s="4" t="inlineStr">
        <is>
          <t>RTX™ 3050 4GB GDDR6</t>
        </is>
      </c>
      <c r="P231" s="4" t="inlineStr">
        <is>
          <t>16_WQXGA_AG_350N_N_SRGB</t>
        </is>
      </c>
      <c r="Q231" s="1" t="inlineStr">
        <is>
          <t>1 Yr Onsite + 1 Yr PC</t>
        </is>
      </c>
      <c r="R231" s="1" t="inlineStr">
        <is>
          <t>Full GTN</t>
        </is>
      </c>
      <c r="S231" s="1" t="n">
        <v>0</v>
      </c>
      <c r="T231" s="2">
        <f>U231*0.965*0.98</f>
        <v/>
      </c>
      <c r="U231" s="13" t="n">
        <v>79020.41602465331</v>
      </c>
      <c r="V231" s="13" t="n">
        <v>0</v>
      </c>
      <c r="W231" s="13" t="n"/>
      <c r="X231" s="13" t="n"/>
      <c r="Y231" s="2">
        <f>(U231*0.88-S231-V231-W231-X231)*1.18/0.92</f>
        <v/>
      </c>
      <c r="Z231" s="2" t="n">
        <v>89189.99999999999</v>
      </c>
      <c r="AA231" s="5" t="n"/>
      <c r="AB231" s="5" t="n"/>
      <c r="AC231" s="14" t="n">
        <v>89189.99999999999</v>
      </c>
      <c r="AD231" s="5">
        <f>(Y231-AC231)/1.18*0.92</f>
        <v/>
      </c>
      <c r="AE231" s="5" t="n"/>
      <c r="AF231" s="5">
        <f>W231+X231</f>
        <v/>
      </c>
      <c r="AG231" s="5" t="n"/>
      <c r="AH231" s="13" t="n">
        <v>0</v>
      </c>
      <c r="AI231" s="13" t="n"/>
      <c r="AJ231" s="5" t="n"/>
      <c r="AL231" s="5" t="n"/>
      <c r="AM231" s="5" t="n">
        <v>89189.99999999999</v>
      </c>
      <c r="AN231" s="5">
        <f>Y231-AM231</f>
        <v/>
      </c>
      <c r="AO231" s="5" t="n"/>
      <c r="AP231" s="5">
        <f>U231-AL231</f>
        <v/>
      </c>
      <c r="AQ231" s="20" t="n">
        <v>0</v>
      </c>
      <c r="AR231" s="20" t="n"/>
      <c r="AT231" s="3" t="n">
        <v>0</v>
      </c>
      <c r="AV231" s="5">
        <f>ROUNDUP((AT231/8)*80,0)</f>
        <v/>
      </c>
      <c r="AX231" s="38">
        <f>AV231*W231</f>
        <v/>
      </c>
      <c r="BA231" s="3" t="n">
        <v>15</v>
      </c>
      <c r="BB231" s="3" t="n">
        <v>0</v>
      </c>
      <c r="BC231" s="3" t="n">
        <v>0</v>
      </c>
      <c r="BD231" s="3">
        <f>BC231+BB231+BA231</f>
        <v/>
      </c>
      <c r="BE231" s="3" t="n">
        <v>104</v>
      </c>
      <c r="BF231" s="3" t="n">
        <v>2</v>
      </c>
      <c r="BH231" s="3">
        <f>ROUNDUP(BD231*1.85,0)</f>
        <v/>
      </c>
      <c r="BJ231" s="38">
        <f>BH231*V231</f>
        <v/>
      </c>
      <c r="BL231" s="3">
        <f>U231*1.18</f>
        <v/>
      </c>
    </row>
    <row r="232">
      <c r="A232" s="1" t="inlineStr">
        <is>
          <t>82YQ001DIN</t>
        </is>
      </c>
      <c r="B232" s="1">
        <f>IF(BL232&lt;40000,"Entry",IF(BL232&gt;65000,"Premium","Mainstream"))</f>
        <v/>
      </c>
      <c r="C232" s="1" t="inlineStr">
        <is>
          <t>Premium</t>
        </is>
      </c>
      <c r="D232" s="1" t="inlineStr">
        <is>
          <t>i7 OS Office</t>
        </is>
      </c>
      <c r="E232" s="1" t="inlineStr">
        <is>
          <t>Convertible</t>
        </is>
      </c>
      <c r="F232" s="1" t="inlineStr">
        <is>
          <t>Yoga Book 9</t>
        </is>
      </c>
      <c r="G232" s="1" t="inlineStr">
        <is>
          <t>Yoga Book 9 13IRU8</t>
        </is>
      </c>
      <c r="H232" s="1" t="inlineStr">
        <is>
          <t>i7</t>
        </is>
      </c>
      <c r="I232" s="1" t="inlineStr">
        <is>
          <t>13th Gen</t>
        </is>
      </c>
      <c r="J232" s="1" t="inlineStr">
        <is>
          <t>i7 1355U</t>
        </is>
      </c>
      <c r="K232" s="1" t="inlineStr">
        <is>
          <t>16GB</t>
        </is>
      </c>
      <c r="L232" s="1" t="inlineStr">
        <is>
          <t>1TB SSD</t>
        </is>
      </c>
      <c r="M232" s="1" t="inlineStr">
        <is>
          <t>Windows 11</t>
        </is>
      </c>
      <c r="N232" s="1" t="inlineStr">
        <is>
          <t>OFFICE 2021</t>
        </is>
      </c>
      <c r="O232" s="1" t="inlineStr">
        <is>
          <t>INTEGRATED_GRAPHICS</t>
        </is>
      </c>
      <c r="P232" s="1" t="inlineStr">
        <is>
          <t>13.3_2.8KOLED400N_MT_HDRP3_G_B</t>
        </is>
      </c>
      <c r="Q232" s="1" t="n">
        <v>0</v>
      </c>
      <c r="R232" s="1" t="inlineStr">
        <is>
          <t>Full GTN</t>
        </is>
      </c>
      <c r="S232" s="1" t="n">
        <v>1881</v>
      </c>
      <c r="T232" s="2">
        <f>U232*0.98*0.965</f>
        <v/>
      </c>
      <c r="U232" s="13" t="n">
        <v>201650.9822804315</v>
      </c>
      <c r="V232" s="13" t="n">
        <v>0</v>
      </c>
      <c r="W232" s="13" t="n"/>
      <c r="X232" s="13" t="n"/>
      <c r="Y232" s="2">
        <f>(U232*0.88-S232-V232-W232-X232)*1.18/0.92</f>
        <v/>
      </c>
      <c r="Z232" s="1" t="n">
        <v>225190</v>
      </c>
      <c r="AA232" s="5" t="n"/>
      <c r="AB232" s="5" t="n"/>
      <c r="AC232" s="14" t="n">
        <v>0</v>
      </c>
      <c r="AD232" s="5">
        <f>(Y232-AC232)/1.18*0.92</f>
        <v/>
      </c>
      <c r="AE232" s="5" t="n"/>
      <c r="AF232" s="5">
        <f>W232+X232</f>
        <v/>
      </c>
      <c r="AG232" s="5" t="n"/>
      <c r="AH232" s="13" t="n">
        <v>0</v>
      </c>
      <c r="AI232" s="13" t="n"/>
      <c r="AJ232" s="5" t="n"/>
      <c r="AL232" s="5" t="n"/>
      <c r="AM232" s="5" t="n">
        <v>225190</v>
      </c>
      <c r="AN232" s="5">
        <f>Y232-AM232</f>
        <v/>
      </c>
      <c r="AO232" s="5" t="n"/>
      <c r="AP232" s="5" t="n"/>
      <c r="AQ232" s="20" t="n">
        <v>0</v>
      </c>
      <c r="AR232" s="20" t="n"/>
      <c r="AT232" s="3" t="n">
        <v>2</v>
      </c>
      <c r="AV232" s="5">
        <f>ROUNDUP((AT232/8)*80,0)</f>
        <v/>
      </c>
      <c r="AX232" s="38">
        <f>AV232*W232</f>
        <v/>
      </c>
      <c r="BA232" s="3" t="n">
        <v>7</v>
      </c>
      <c r="BB232" s="3" t="n">
        <v>2</v>
      </c>
      <c r="BC232" s="3" t="n">
        <v>19</v>
      </c>
      <c r="BD232" s="3">
        <f>BC232+BB232+BA232</f>
        <v/>
      </c>
      <c r="BE232" s="3" t="n">
        <v>151</v>
      </c>
      <c r="BF232" s="3" t="n">
        <v>16</v>
      </c>
      <c r="BH232" s="3">
        <f>ROUNDUP(BD232*1.85,0)</f>
        <v/>
      </c>
      <c r="BJ232" s="38">
        <f>BH232*V232</f>
        <v/>
      </c>
      <c r="BL232" s="3">
        <f>U232*1.18</f>
        <v/>
      </c>
    </row>
    <row r="233">
      <c r="A233" s="1" t="inlineStr">
        <is>
          <t>83ER008DIN</t>
        </is>
      </c>
      <c r="B233" s="1">
        <f>IF(BL233&lt;40000,"Entry",IF(BL233&gt;65000,"Premium","Mainstream"))</f>
        <v/>
      </c>
      <c r="C233" s="1" t="inlineStr">
        <is>
          <t>Premium</t>
        </is>
      </c>
      <c r="D233" s="1" t="inlineStr">
        <is>
          <t>i5 OS Office</t>
        </is>
      </c>
      <c r="E233" s="1" t="inlineStr">
        <is>
          <t>Thin &amp; Light</t>
        </is>
      </c>
      <c r="F233" s="1" t="inlineStr">
        <is>
          <t>Slim 3</t>
        </is>
      </c>
      <c r="G233" s="1" t="inlineStr">
        <is>
          <t>IdeaPad 3 15IAH8</t>
        </is>
      </c>
      <c r="H233" s="1" t="inlineStr">
        <is>
          <t>i5</t>
        </is>
      </c>
      <c r="I233" s="1" t="inlineStr">
        <is>
          <t>12th Gen</t>
        </is>
      </c>
      <c r="J233" s="1" t="inlineStr">
        <is>
          <t>i5 12450H</t>
        </is>
      </c>
      <c r="K233" s="1" t="inlineStr">
        <is>
          <t>16GB</t>
        </is>
      </c>
      <c r="L233" s="1" t="inlineStr">
        <is>
          <t>512GB SSD</t>
        </is>
      </c>
      <c r="M233" s="1" t="inlineStr">
        <is>
          <t>Win11</t>
        </is>
      </c>
      <c r="N233" s="1" t="inlineStr">
        <is>
          <t>Office 2021</t>
        </is>
      </c>
      <c r="O233" s="1" t="inlineStr">
        <is>
          <t>INTEGRATED_GRAPHICS</t>
        </is>
      </c>
      <c r="P233" s="1" t="inlineStr">
        <is>
          <t>15.6FHD_AG_300N_N</t>
        </is>
      </c>
      <c r="Q233" s="1" t="inlineStr">
        <is>
          <t>1 Yr. Onsite + 1 Yr. ADP</t>
        </is>
      </c>
      <c r="R233" s="1" t="inlineStr">
        <is>
          <t>Zero GTN</t>
        </is>
      </c>
      <c r="S233" s="1" t="n">
        <v>0</v>
      </c>
      <c r="T233" s="2" t="n">
        <v>42282</v>
      </c>
      <c r="U233" s="13" t="n">
        <v>44025.42372881356</v>
      </c>
      <c r="V233" s="13" t="n">
        <v>0</v>
      </c>
      <c r="W233" s="13" t="n">
        <v>0</v>
      </c>
      <c r="X233" s="13" t="n"/>
      <c r="Y233" s="2">
        <f>(U233*0.98-S233-V233-W233-X233)*1.18/0.92</f>
        <v/>
      </c>
      <c r="Z233" s="18">
        <f>AC233</f>
        <v/>
      </c>
      <c r="AA233" s="5" t="inlineStr">
        <is>
          <t>Ok</t>
        </is>
      </c>
      <c r="AB233" s="5" t="n"/>
      <c r="AC233" s="14" t="n">
        <v>55390</v>
      </c>
      <c r="AD233" s="5">
        <f>(Y233-AC233)/1.18*0.92</f>
        <v/>
      </c>
      <c r="AE233" s="5" t="n"/>
      <c r="AF233" s="5">
        <f>W233+X233</f>
        <v/>
      </c>
      <c r="AG233" s="5" t="n"/>
      <c r="AH233" s="13" t="n">
        <v>0</v>
      </c>
      <c r="AI233" s="13" t="n"/>
      <c r="AJ233" s="5" t="n"/>
      <c r="AL233" s="5" t="n"/>
      <c r="AM233" s="5" t="n">
        <v>55338.04347826086</v>
      </c>
      <c r="AN233" s="5">
        <f>Y233-AM233</f>
        <v/>
      </c>
      <c r="AO233" s="5" t="n"/>
      <c r="AP233" s="5">
        <f>U233-AL233</f>
        <v/>
      </c>
      <c r="AQ233" s="20" t="n">
        <v>0</v>
      </c>
      <c r="AR233" s="20" t="n"/>
      <c r="AT233" s="3" t="n">
        <v>88</v>
      </c>
      <c r="AV233" s="5">
        <f>ROUNDUP((AT233/8)*80,0)</f>
        <v/>
      </c>
      <c r="AX233" s="38">
        <f>AV233*W233</f>
        <v/>
      </c>
      <c r="BA233" s="3" t="n">
        <v>0</v>
      </c>
      <c r="BB233" s="3" t="n">
        <v>511</v>
      </c>
      <c r="BC233" s="3" t="n">
        <v>401</v>
      </c>
      <c r="BD233" s="3">
        <f>BC233+BB233+BA233</f>
        <v/>
      </c>
      <c r="BE233" s="3" t="n">
        <v>1163</v>
      </c>
      <c r="BF233" s="3" t="n">
        <v>400</v>
      </c>
      <c r="BH233" s="3">
        <f>ROUNDUP(BD233*1.85,0)</f>
        <v/>
      </c>
      <c r="BJ233" s="38">
        <f>BH233*V233</f>
        <v/>
      </c>
      <c r="BL233" s="3">
        <f>U233*1.18</f>
        <v/>
      </c>
    </row>
    <row r="234">
      <c r="A234" s="1" t="inlineStr">
        <is>
          <t>83EM0026IN</t>
        </is>
      </c>
      <c r="B234" s="1">
        <f>IF(BL234&lt;40000,"Entry",IF(BL234&gt;65000,"Premium","Mainstream"))</f>
        <v/>
      </c>
      <c r="C234" s="1" t="inlineStr">
        <is>
          <t>Premium</t>
        </is>
      </c>
      <c r="D234" s="1" t="inlineStr">
        <is>
          <t>i5 OS Office</t>
        </is>
      </c>
      <c r="E234" s="1" t="inlineStr">
        <is>
          <t>Thin &amp; Light</t>
        </is>
      </c>
      <c r="F234" s="1" t="inlineStr">
        <is>
          <t>Slim 3</t>
        </is>
      </c>
      <c r="G234" s="1" t="inlineStr">
        <is>
          <t>IdeaPad 3 15IRH8</t>
        </is>
      </c>
      <c r="H234" s="1" t="inlineStr">
        <is>
          <t>i5</t>
        </is>
      </c>
      <c r="I234" s="1" t="inlineStr">
        <is>
          <t>13th Gen</t>
        </is>
      </c>
      <c r="J234" s="1" t="inlineStr">
        <is>
          <t>i5 13420H</t>
        </is>
      </c>
      <c r="K234" s="1" t="inlineStr">
        <is>
          <t>16GB</t>
        </is>
      </c>
      <c r="L234" s="1" t="inlineStr">
        <is>
          <t>512GB SSD</t>
        </is>
      </c>
      <c r="M234" s="1" t="inlineStr">
        <is>
          <t>Win11</t>
        </is>
      </c>
      <c r="N234" s="1" t="inlineStr">
        <is>
          <t>Office 2021</t>
        </is>
      </c>
      <c r="O234" s="1" t="inlineStr">
        <is>
          <t>INTEGRATED_GRAPHICS</t>
        </is>
      </c>
      <c r="P234" s="1" t="inlineStr">
        <is>
          <t>15.6FHD_AG_300N_N</t>
        </is>
      </c>
      <c r="Q234" s="1" t="inlineStr">
        <is>
          <t>1 Yr. Onsite + 1 Yr. ADP</t>
        </is>
      </c>
      <c r="R234" s="1" t="inlineStr">
        <is>
          <t>Full GTN</t>
        </is>
      </c>
      <c r="S234" s="1" t="n">
        <v>0</v>
      </c>
      <c r="T234" s="2" t="n">
        <v>49609</v>
      </c>
      <c r="U234" s="13" t="n">
        <v>52457.62711864407</v>
      </c>
      <c r="V234" s="13" t="n">
        <v>0</v>
      </c>
      <c r="W234" s="13" t="n">
        <v>383</v>
      </c>
      <c r="X234" s="13" t="n"/>
      <c r="Y234" s="2">
        <f>(U234*0.89-S234-V234-W234-X234)*1.18/0.92</f>
        <v/>
      </c>
      <c r="Z234" s="18">
        <f>AC234</f>
        <v/>
      </c>
      <c r="AA234" s="5" t="inlineStr">
        <is>
          <t>Ok</t>
        </is>
      </c>
      <c r="AB234" s="5" t="n"/>
      <c r="AC234" s="14" t="n">
        <v>59390</v>
      </c>
      <c r="AD234" s="5">
        <f>(Y234-AC234)/1.18*0.92</f>
        <v/>
      </c>
      <c r="AE234" s="5" t="n"/>
      <c r="AF234" s="5">
        <f>W234+X234</f>
        <v/>
      </c>
      <c r="AG234" s="5" t="n"/>
      <c r="AH234" s="13" t="n">
        <v>0</v>
      </c>
      <c r="AI234" s="13" t="n"/>
      <c r="AJ234" s="5" t="n"/>
      <c r="AL234" s="5" t="n"/>
      <c r="AM234" s="5" t="n">
        <v>59208.69565217391</v>
      </c>
      <c r="AN234" s="5">
        <f>Y234-AM234</f>
        <v/>
      </c>
      <c r="AO234" s="5" t="n"/>
      <c r="AP234" s="5">
        <f>U234-AL234</f>
        <v/>
      </c>
      <c r="AQ234" s="20" t="n">
        <v>0</v>
      </c>
      <c r="AR234" s="20" t="n"/>
      <c r="AT234" s="3" t="n">
        <v>27</v>
      </c>
      <c r="AV234" s="5">
        <f>ROUNDUP((AT234/8)*80,0)</f>
        <v/>
      </c>
      <c r="AX234" s="38">
        <f>AV234*W234</f>
        <v/>
      </c>
      <c r="BA234" s="3" t="n">
        <v>300</v>
      </c>
      <c r="BB234" s="3" t="n">
        <v>0</v>
      </c>
      <c r="BC234" s="3" t="n">
        <v>100</v>
      </c>
      <c r="BD234" s="3">
        <f>BC234+BB234+BA234</f>
        <v/>
      </c>
      <c r="BE234" s="3" t="n">
        <v>1100</v>
      </c>
      <c r="BF234" s="3" t="n">
        <v>0</v>
      </c>
      <c r="BH234" s="3">
        <f>ROUNDUP(BD234*1.85,0)</f>
        <v/>
      </c>
      <c r="BJ234" s="38">
        <f>BH234*V234</f>
        <v/>
      </c>
      <c r="BL234" s="3">
        <f>U234*1.18</f>
        <v/>
      </c>
    </row>
    <row r="235">
      <c r="A235" s="1" t="inlineStr">
        <is>
          <t>82RK011EIN</t>
        </is>
      </c>
      <c r="B235" s="1">
        <f>IF(BL235&lt;40000,"Entry",IF(BL235&gt;65000,"Premium","Mainstream"))</f>
        <v/>
      </c>
      <c r="C235" s="1" t="inlineStr">
        <is>
          <t>Premium</t>
        </is>
      </c>
      <c r="D235" s="1" t="inlineStr">
        <is>
          <t>i7 OS Office</t>
        </is>
      </c>
      <c r="E235" s="1" t="inlineStr">
        <is>
          <t>Thin &amp; Light</t>
        </is>
      </c>
      <c r="F235" s="1" t="inlineStr">
        <is>
          <t>Slim 3</t>
        </is>
      </c>
      <c r="G235" s="1" t="inlineStr">
        <is>
          <t>IdeaPad 3 15IAU7</t>
        </is>
      </c>
      <c r="H235" s="1" t="inlineStr">
        <is>
          <t>i7</t>
        </is>
      </c>
      <c r="I235" s="1" t="inlineStr">
        <is>
          <t>12th Gen</t>
        </is>
      </c>
      <c r="J235" s="1" t="inlineStr">
        <is>
          <t>i7 1255U</t>
        </is>
      </c>
      <c r="K235" s="1" t="inlineStr">
        <is>
          <t>16GB</t>
        </is>
      </c>
      <c r="L235" s="1" t="inlineStr">
        <is>
          <t>512GB SSD</t>
        </is>
      </c>
      <c r="M235" s="1" t="inlineStr">
        <is>
          <t>Win11</t>
        </is>
      </c>
      <c r="N235" s="1" t="inlineStr">
        <is>
          <t>Office 2021</t>
        </is>
      </c>
      <c r="O235" s="1" t="inlineStr">
        <is>
          <t>INTEGRATED_GRAPHICS</t>
        </is>
      </c>
      <c r="P235" s="1" t="inlineStr">
        <is>
          <t>15.6FHD_AG_300N_N</t>
        </is>
      </c>
      <c r="Q235" s="1" t="inlineStr">
        <is>
          <t>1 Yr. Onsite + 1 Yr. ADP</t>
        </is>
      </c>
      <c r="R235" s="1" t="inlineStr">
        <is>
          <t>Zero GTN</t>
        </is>
      </c>
      <c r="S235" s="1" t="n">
        <v>0</v>
      </c>
      <c r="T235" s="2" t="n">
        <v>47886</v>
      </c>
      <c r="U235" s="13" t="n">
        <v>49860.16949152543</v>
      </c>
      <c r="V235" s="13" t="n">
        <v>0</v>
      </c>
      <c r="W235" s="13" t="n">
        <v>0</v>
      </c>
      <c r="X235" s="13" t="n"/>
      <c r="Y235" s="2">
        <f>(U235*0.98-S235-V235-W235-X235)*1.18/0.92</f>
        <v/>
      </c>
      <c r="Z235" s="18">
        <f>AC235</f>
        <v/>
      </c>
      <c r="AA235" s="5" t="inlineStr">
        <is>
          <t>Ok</t>
        </is>
      </c>
      <c r="AB235" s="5" t="n"/>
      <c r="AC235" s="14" t="n">
        <v>62990</v>
      </c>
      <c r="AD235" s="5">
        <f>(Y235-AC235)/1.18*0.92</f>
        <v/>
      </c>
      <c r="AE235" s="5" t="n"/>
      <c r="AF235" s="5">
        <f>W235+X235</f>
        <v/>
      </c>
      <c r="AG235" s="5" t="n"/>
      <c r="AH235" s="13" t="n">
        <v>0</v>
      </c>
      <c r="AI235" s="13" t="n"/>
      <c r="AJ235" s="5" t="n"/>
      <c r="AL235" s="5" t="n"/>
      <c r="AM235" s="5" t="n">
        <v>62672.0652173913</v>
      </c>
      <c r="AN235" s="5">
        <f>Y235-AM235</f>
        <v/>
      </c>
      <c r="AO235" s="5" t="n"/>
      <c r="AP235" s="5">
        <f>U235-AL235</f>
        <v/>
      </c>
      <c r="AQ235" s="20" t="n">
        <v>0</v>
      </c>
      <c r="AR235" s="20" t="n"/>
      <c r="AT235" s="3" t="n">
        <v>51</v>
      </c>
      <c r="AV235" s="5">
        <f>ROUNDUP((AT235/8)*80,0)</f>
        <v/>
      </c>
      <c r="AX235" s="38">
        <f>AV235*W235</f>
        <v/>
      </c>
      <c r="BA235" s="3" t="n">
        <v>0</v>
      </c>
      <c r="BB235" s="3" t="n">
        <v>0</v>
      </c>
      <c r="BC235" s="3" t="n">
        <v>560</v>
      </c>
      <c r="BD235" s="3">
        <f>BC235+BB235+BA235</f>
        <v/>
      </c>
      <c r="BE235" s="3" t="n">
        <v>432</v>
      </c>
      <c r="BF235" s="3" t="n">
        <v>600</v>
      </c>
      <c r="BH235" s="3">
        <f>ROUNDUP(BD235*1.85,0)</f>
        <v/>
      </c>
      <c r="BJ235" s="38">
        <f>BH235*V235</f>
        <v/>
      </c>
      <c r="BL235" s="3">
        <f>U235*1.18</f>
        <v/>
      </c>
    </row>
    <row r="236">
      <c r="A236" s="1" t="inlineStr">
        <is>
          <t>82K2025NIN</t>
        </is>
      </c>
      <c r="B236" s="1">
        <f>IF(BL236&lt;40000,"Entry",IF(BL236&gt;65000,"Premium","Mainstream"))</f>
        <v/>
      </c>
      <c r="C236" s="1" t="inlineStr">
        <is>
          <t>Premium</t>
        </is>
      </c>
      <c r="D236" s="1" t="inlineStr">
        <is>
          <t>R5 OS 4GB Graphics Office</t>
        </is>
      </c>
      <c r="E236" s="1" t="inlineStr">
        <is>
          <t>Gaming</t>
        </is>
      </c>
      <c r="F236" s="1" t="inlineStr">
        <is>
          <t>IP Gaming 3</t>
        </is>
      </c>
      <c r="G236" s="1" t="inlineStr">
        <is>
          <t>IdeaPad Gaming 3 15ACH6</t>
        </is>
      </c>
      <c r="H236" s="1" t="inlineStr">
        <is>
          <t>R5</t>
        </is>
      </c>
      <c r="I236" s="1" t="inlineStr">
        <is>
          <t>5XXX</t>
        </is>
      </c>
      <c r="J236" s="1" t="inlineStr">
        <is>
          <t>R5 5600H</t>
        </is>
      </c>
      <c r="K236" s="1" t="inlineStr">
        <is>
          <t>16GB</t>
        </is>
      </c>
      <c r="L236" s="1" t="inlineStr">
        <is>
          <t>512GB SSD</t>
        </is>
      </c>
      <c r="M236" s="1" t="inlineStr">
        <is>
          <t>Win11</t>
        </is>
      </c>
      <c r="N236" s="1" t="inlineStr">
        <is>
          <t>Office 2021</t>
        </is>
      </c>
      <c r="O236" s="1" t="inlineStr">
        <is>
          <t>GTX 1650 4GB</t>
        </is>
      </c>
      <c r="P236" s="1" t="inlineStr">
        <is>
          <t>15.6FHD_AG_250N_120_N</t>
        </is>
      </c>
      <c r="Q236" s="1" t="inlineStr">
        <is>
          <t>1 Year Onsite</t>
        </is>
      </c>
      <c r="R236" s="1" t="inlineStr">
        <is>
          <t>Zero GTN</t>
        </is>
      </c>
      <c r="S236" s="1" t="n">
        <v>725</v>
      </c>
      <c r="T236" s="2">
        <f>U236*0.98*0.98</f>
        <v/>
      </c>
      <c r="U236" s="13" t="n">
        <v>51271.18644067797</v>
      </c>
      <c r="V236" s="13" t="n">
        <v>0</v>
      </c>
      <c r="W236" s="13" t="n">
        <v>6647.203389830509</v>
      </c>
      <c r="X236" s="13" t="n"/>
      <c r="Y236" s="2">
        <f>(U236*0.98-S236-V236-W236-X236)*1.18/0.92</f>
        <v/>
      </c>
      <c r="Z236" s="1" t="n">
        <v>54990</v>
      </c>
      <c r="AA236" s="5" t="n"/>
      <c r="AB236" s="5" t="n"/>
      <c r="AC236" s="14" t="n">
        <v>54990</v>
      </c>
      <c r="AD236" s="5">
        <f>(Y236-AC236)/1.18*0.92</f>
        <v/>
      </c>
      <c r="AE236" s="5" t="n"/>
      <c r="AF236" s="5">
        <f>W236+X236</f>
        <v/>
      </c>
      <c r="AG236" s="5" t="n"/>
      <c r="AH236" s="13" t="n">
        <v>0</v>
      </c>
      <c r="AI236" s="13" t="n">
        <v>6647.203389830509</v>
      </c>
      <c r="AJ236" s="5" t="n"/>
      <c r="AL236" s="5" t="n"/>
      <c r="AM236" s="5" t="n">
        <v>54989.99999999999</v>
      </c>
      <c r="AN236" s="5">
        <f>Y236-AM236</f>
        <v/>
      </c>
      <c r="AO236" s="5" t="n"/>
      <c r="AP236" s="5">
        <f>U236-AL236</f>
        <v/>
      </c>
      <c r="AQ236" s="20" t="n">
        <v>0</v>
      </c>
      <c r="AR236" s="20" t="n">
        <v>6647.203389830509</v>
      </c>
      <c r="AT236" s="3" t="n">
        <v>0</v>
      </c>
      <c r="AV236" s="5">
        <f>ROUNDUP((AT236/8)*80,0)</f>
        <v/>
      </c>
      <c r="AX236" s="38">
        <f>AV236*W236</f>
        <v/>
      </c>
      <c r="BA236" s="3" t="n">
        <v>0</v>
      </c>
      <c r="BB236" s="3" t="n">
        <v>0</v>
      </c>
      <c r="BC236" s="3" t="n">
        <v>0</v>
      </c>
      <c r="BD236" s="3">
        <f>BC236+BB236+BA236</f>
        <v/>
      </c>
      <c r="BE236" s="3" t="n">
        <v>0</v>
      </c>
      <c r="BF236" s="3" t="n">
        <v>0</v>
      </c>
      <c r="BH236" s="3">
        <f>ROUNDUP(BD236*1.85,0)</f>
        <v/>
      </c>
      <c r="BJ236" s="38">
        <f>BH236*V236</f>
        <v/>
      </c>
      <c r="BL236" s="3">
        <f>U236*1.18</f>
        <v/>
      </c>
    </row>
    <row r="237">
      <c r="A237" s="1" t="inlineStr">
        <is>
          <t>82K101LJIN</t>
        </is>
      </c>
      <c r="B237" s="1">
        <f>IF(BL237&lt;40000,"Entry",IF(BL237&gt;65000,"Premium","Mainstream"))</f>
        <v/>
      </c>
      <c r="C237" s="1" t="inlineStr">
        <is>
          <t>Premium</t>
        </is>
      </c>
      <c r="D237" s="1" t="inlineStr">
        <is>
          <t>i5 OS Office</t>
        </is>
      </c>
      <c r="E237" s="1" t="inlineStr">
        <is>
          <t>Gaming</t>
        </is>
      </c>
      <c r="F237" s="1" t="inlineStr">
        <is>
          <t>IP Gaming 3</t>
        </is>
      </c>
      <c r="G237" s="1" t="inlineStr">
        <is>
          <t>IdeaPad Gaming 3 15IHU6</t>
        </is>
      </c>
      <c r="H237" s="1" t="inlineStr">
        <is>
          <t>i5</t>
        </is>
      </c>
      <c r="I237" s="1" t="inlineStr">
        <is>
          <t>11th Gen</t>
        </is>
      </c>
      <c r="J237" s="1" t="inlineStr">
        <is>
          <t>i5-11320H</t>
        </is>
      </c>
      <c r="K237" s="1" t="inlineStr">
        <is>
          <t>16GB</t>
        </is>
      </c>
      <c r="L237" s="1" t="inlineStr">
        <is>
          <t>512GB SSD</t>
        </is>
      </c>
      <c r="M237" s="1" t="inlineStr">
        <is>
          <t>Win11</t>
        </is>
      </c>
      <c r="N237" s="1" t="inlineStr">
        <is>
          <t>Office 2021</t>
        </is>
      </c>
      <c r="O237" s="1" t="inlineStr">
        <is>
          <t>GTX 1650 4GB</t>
        </is>
      </c>
      <c r="P237" s="1" t="inlineStr">
        <is>
          <t>15.6FHD_AG_250N_120_N</t>
        </is>
      </c>
      <c r="Q237" s="1" t="inlineStr">
        <is>
          <t>1 Year Onsite</t>
        </is>
      </c>
      <c r="R237" s="1" t="inlineStr">
        <is>
          <t>Zero GTN</t>
        </is>
      </c>
      <c r="S237" s="1" t="n">
        <v>725</v>
      </c>
      <c r="T237" s="2">
        <f>U237*0.98*0.98</f>
        <v/>
      </c>
      <c r="U237" s="13" t="n">
        <v>50640</v>
      </c>
      <c r="V237" s="13" t="n">
        <v>0</v>
      </c>
      <c r="W237" s="13" t="n">
        <v>6028.640677966097</v>
      </c>
      <c r="X237" s="13" t="n"/>
      <c r="Y237" s="2">
        <f>(U237*0.98-S237-V237-W237-X237)*1.18/0.92</f>
        <v/>
      </c>
      <c r="Z237" s="1" t="n">
        <v>54990</v>
      </c>
      <c r="AA237" s="5" t="n"/>
      <c r="AB237" s="5" t="n"/>
      <c r="AC237" s="14" t="n">
        <v>54990</v>
      </c>
      <c r="AD237" s="5">
        <f>(Y237-AC237)/1.18*0.92</f>
        <v/>
      </c>
      <c r="AE237" s="5" t="n"/>
      <c r="AF237" s="5">
        <f>W237+X237</f>
        <v/>
      </c>
      <c r="AG237" s="5" t="n"/>
      <c r="AH237" s="13" t="n">
        <v>0</v>
      </c>
      <c r="AI237" s="13" t="n">
        <v>6028.640677966097</v>
      </c>
      <c r="AJ237" s="5" t="n"/>
      <c r="AL237" s="5" t="n"/>
      <c r="AM237" s="5" t="n">
        <v>54989.99999999999</v>
      </c>
      <c r="AN237" s="5">
        <f>Y237-AM237</f>
        <v/>
      </c>
      <c r="AO237" s="5" t="n"/>
      <c r="AP237" s="5">
        <f>U237-AL237</f>
        <v/>
      </c>
      <c r="AQ237" s="20" t="n">
        <v>0</v>
      </c>
      <c r="AR237" s="20" t="n">
        <v>6028.640677966097</v>
      </c>
      <c r="AT237" s="3" t="n">
        <v>1</v>
      </c>
      <c r="AV237" s="5">
        <f>ROUNDUP((AT237/8)*80,0)</f>
        <v/>
      </c>
      <c r="AX237" s="38">
        <f>AV237*W237</f>
        <v/>
      </c>
      <c r="BA237" s="3" t="n">
        <v>-1</v>
      </c>
      <c r="BB237" s="3" t="n">
        <v>0</v>
      </c>
      <c r="BC237" s="3" t="n">
        <v>-1</v>
      </c>
      <c r="BD237" s="3">
        <f>BC237+BB237+BA237</f>
        <v/>
      </c>
      <c r="BE237" s="3" t="n">
        <v>3</v>
      </c>
      <c r="BF237" s="3" t="n">
        <v>0</v>
      </c>
      <c r="BH237" s="3">
        <f>ROUNDUP(BD237*1.85,0)</f>
        <v/>
      </c>
      <c r="BJ237" s="38">
        <f>BH237*V237</f>
        <v/>
      </c>
      <c r="BL237" s="3">
        <f>U237*1.18</f>
        <v/>
      </c>
    </row>
    <row r="238">
      <c r="A238" s="1" t="inlineStr">
        <is>
          <t>82K2022VIN</t>
        </is>
      </c>
      <c r="B238" s="1">
        <f>IF(BL238&lt;40000,"Entry",IF(BL238&gt;65000,"Premium","Mainstream"))</f>
        <v/>
      </c>
      <c r="C238" s="1" t="inlineStr">
        <is>
          <t>Premium</t>
        </is>
      </c>
      <c r="D238" s="1" t="inlineStr">
        <is>
          <t>R5 OS 4GB Graphics Office</t>
        </is>
      </c>
      <c r="E238" s="1" t="inlineStr">
        <is>
          <t>Gaming</t>
        </is>
      </c>
      <c r="F238" s="1" t="inlineStr">
        <is>
          <t>IP Gaming 3</t>
        </is>
      </c>
      <c r="G238" s="1" t="inlineStr">
        <is>
          <t>IdeaPad Gaming 3 15ACH6</t>
        </is>
      </c>
      <c r="H238" s="1" t="inlineStr">
        <is>
          <t>R5</t>
        </is>
      </c>
      <c r="I238" s="1" t="inlineStr">
        <is>
          <t>5XXX</t>
        </is>
      </c>
      <c r="J238" s="1" t="inlineStr">
        <is>
          <t>R5 5600H</t>
        </is>
      </c>
      <c r="K238" s="1" t="inlineStr">
        <is>
          <t>8GB</t>
        </is>
      </c>
      <c r="L238" s="1" t="inlineStr">
        <is>
          <t>512GB SSD</t>
        </is>
      </c>
      <c r="M238" s="1" t="inlineStr">
        <is>
          <t>Win11</t>
        </is>
      </c>
      <c r="N238" s="1" t="inlineStr">
        <is>
          <t>Office 2021</t>
        </is>
      </c>
      <c r="O238" s="1" t="inlineStr">
        <is>
          <t>RTX 3050 4GB</t>
        </is>
      </c>
      <c r="P238" s="1" t="inlineStr">
        <is>
          <t>15.6FHD_AG_250N_120_N</t>
        </is>
      </c>
      <c r="Q238" s="1" t="inlineStr">
        <is>
          <t>1 Year Onsite</t>
        </is>
      </c>
      <c r="R238" s="1" t="inlineStr">
        <is>
          <t>Full GTN</t>
        </is>
      </c>
      <c r="S238" s="1" t="n">
        <v>725</v>
      </c>
      <c r="T238" s="2">
        <f>U238*0.98*0.965</f>
        <v/>
      </c>
      <c r="U238" s="13" t="n">
        <v>57280</v>
      </c>
      <c r="V238" s="13" t="n">
        <v>0</v>
      </c>
      <c r="W238" s="13" t="n">
        <v>0</v>
      </c>
      <c r="X238" s="13" t="n"/>
      <c r="Y238" s="2">
        <f>(U238*0.88-S238-V238-W238-X238)*1.18/0.92</f>
        <v/>
      </c>
      <c r="Z238" s="1" t="n">
        <v>64190</v>
      </c>
      <c r="AA238" s="5" t="n"/>
      <c r="AB238" s="5" t="n"/>
      <c r="AC238" s="14" t="n">
        <v>0</v>
      </c>
      <c r="AD238" s="5" t="n">
        <v>0</v>
      </c>
      <c r="AE238" s="5" t="n"/>
      <c r="AF238" s="5">
        <f>W238+X238</f>
        <v/>
      </c>
      <c r="AG238" s="5" t="n"/>
      <c r="AH238" s="13" t="n">
        <v>0</v>
      </c>
      <c r="AI238" s="13" t="n"/>
      <c r="AJ238" s="5" t="n"/>
      <c r="AL238" s="5" t="n"/>
      <c r="AM238" s="5" t="n">
        <v>63721.7956521739</v>
      </c>
      <c r="AN238" s="5">
        <f>Y238-AM238</f>
        <v/>
      </c>
      <c r="AO238" s="5" t="n"/>
      <c r="AP238" s="5">
        <f>U238-AL238</f>
        <v/>
      </c>
      <c r="AQ238" s="20" t="n">
        <v>0</v>
      </c>
      <c r="AR238" s="20" t="n"/>
      <c r="AT238" s="3" t="n">
        <v>0</v>
      </c>
      <c r="AV238" s="5">
        <f>ROUNDUP((AT238/8)*80,0)</f>
        <v/>
      </c>
      <c r="AX238" s="38">
        <f>AV238*W238</f>
        <v/>
      </c>
      <c r="BA238" s="3" t="n">
        <v>0</v>
      </c>
      <c r="BB238" s="3" t="n">
        <v>0</v>
      </c>
      <c r="BC238" s="3" t="n">
        <v>0</v>
      </c>
      <c r="BD238" s="3">
        <f>BC238+BB238+BA238</f>
        <v/>
      </c>
      <c r="BE238" s="3" t="n">
        <v>18</v>
      </c>
      <c r="BF238" s="3" t="n">
        <v>0</v>
      </c>
      <c r="BH238" s="3">
        <f>ROUNDUP(BD238*1.85,0)</f>
        <v/>
      </c>
      <c r="BJ238" s="38">
        <f>BH238*V238</f>
        <v/>
      </c>
      <c r="BL238" s="3">
        <f>U238*1.18</f>
        <v/>
      </c>
    </row>
    <row r="239">
      <c r="A239" s="1" t="inlineStr">
        <is>
          <t>82C1002EHA</t>
        </is>
      </c>
      <c r="B239" s="1">
        <f>IF(BL239&lt;40000,"Entry",IF(BL239&gt;65000,"Premium","Mainstream"))</f>
        <v/>
      </c>
      <c r="C239" s="1" t="inlineStr">
        <is>
          <t>Entry</t>
        </is>
      </c>
      <c r="D239" s="1" t="inlineStr">
        <is>
          <t>CDC Chrome OS</t>
        </is>
      </c>
      <c r="E239" s="1" t="inlineStr">
        <is>
          <t>Thin &amp; Light</t>
        </is>
      </c>
      <c r="F239" s="1" t="inlineStr">
        <is>
          <t>Slim 3</t>
        </is>
      </c>
      <c r="G239" s="1" t="inlineStr">
        <is>
          <t>IdeaPad 3 CB 14IGL05</t>
        </is>
      </c>
      <c r="H239" s="1" t="inlineStr">
        <is>
          <t>N4020</t>
        </is>
      </c>
      <c r="I239" s="1" t="inlineStr">
        <is>
          <t>4XXX</t>
        </is>
      </c>
      <c r="J239" s="1" t="inlineStr">
        <is>
          <t>N4020</t>
        </is>
      </c>
      <c r="K239" s="1" t="inlineStr">
        <is>
          <t>4GB</t>
        </is>
      </c>
      <c r="L239" s="1" t="inlineStr">
        <is>
          <t>64GB_EMMC</t>
        </is>
      </c>
      <c r="M239" s="1" t="inlineStr">
        <is>
          <t>Chrome OS</t>
        </is>
      </c>
      <c r="N239" s="1" t="inlineStr">
        <is>
          <t>NA</t>
        </is>
      </c>
      <c r="O239" s="1" t="inlineStr">
        <is>
          <t>INTEGRATED GFX</t>
        </is>
      </c>
      <c r="P239" s="1" t="inlineStr">
        <is>
          <t>14.0FHD_TN_AG_220N_N</t>
        </is>
      </c>
      <c r="Q239" s="1" t="inlineStr">
        <is>
          <t>1 Yr Onsite</t>
        </is>
      </c>
      <c r="R239" s="1" t="inlineStr">
        <is>
          <t>Zero GTN</t>
        </is>
      </c>
      <c r="S239" s="1" t="n">
        <v>0</v>
      </c>
      <c r="T239" s="2" t="n">
        <v>18711.4406440678</v>
      </c>
      <c r="U239" s="13" t="n">
        <v>19483.05084745763</v>
      </c>
      <c r="V239" s="13" t="n">
        <v>0</v>
      </c>
      <c r="W239" s="13" t="n">
        <v>0</v>
      </c>
      <c r="X239" s="13" t="n"/>
      <c r="Y239" s="2">
        <f>(U239*0.98-S239-V239-W239-X239)*1.18/0.92</f>
        <v/>
      </c>
      <c r="Z239" s="18">
        <f>AC239</f>
        <v/>
      </c>
      <c r="AA239" s="5" t="inlineStr">
        <is>
          <t>Ok</t>
        </is>
      </c>
      <c r="AB239" s="5" t="n"/>
      <c r="AC239" s="14" t="n">
        <v>24490</v>
      </c>
      <c r="AD239" s="5">
        <f>(Y239-AC239)/1.18*0.92</f>
        <v/>
      </c>
      <c r="AE239" s="5" t="n"/>
      <c r="AF239" s="5">
        <f>W239+X239</f>
        <v/>
      </c>
      <c r="AG239" s="5" t="n"/>
      <c r="AH239" s="13" t="n">
        <v>0</v>
      </c>
      <c r="AI239" s="13" t="n"/>
      <c r="AJ239" s="5" t="n"/>
      <c r="AL239" s="5" t="n"/>
      <c r="AM239" s="5" t="n">
        <v>24489.34782608695</v>
      </c>
      <c r="AN239" s="5">
        <f>Y239-AM239</f>
        <v/>
      </c>
      <c r="AO239" s="5" t="n"/>
      <c r="AP239" s="5">
        <f>U239-AL239</f>
        <v/>
      </c>
      <c r="AQ239" s="20" t="n">
        <v>0</v>
      </c>
      <c r="AR239" s="20" t="n"/>
      <c r="AT239" s="3" t="n">
        <v>0</v>
      </c>
      <c r="AV239" s="5">
        <f>ROUNDUP((AT239/8)*80,0)</f>
        <v/>
      </c>
      <c r="AX239" s="38">
        <f>AV239*W239</f>
        <v/>
      </c>
      <c r="BA239" s="3" t="n">
        <v>0</v>
      </c>
      <c r="BB239" s="3" t="n">
        <v>-1</v>
      </c>
      <c r="BC239" s="3" t="n">
        <v>0</v>
      </c>
      <c r="BD239" s="3">
        <f>BC239+BB239+BA239</f>
        <v/>
      </c>
      <c r="BE239" s="3" t="n">
        <v>0</v>
      </c>
      <c r="BF239" s="3" t="n">
        <v>0</v>
      </c>
      <c r="BH239" s="3">
        <f>ROUNDUP(BD239*1.85,0)</f>
        <v/>
      </c>
      <c r="BJ239" s="38">
        <f>BH239*V239</f>
        <v/>
      </c>
      <c r="BL239" s="3">
        <f>U239*1.18</f>
        <v/>
      </c>
    </row>
    <row r="240">
      <c r="A240" s="1" t="inlineStr">
        <is>
          <t>82XX0071IN</t>
        </is>
      </c>
      <c r="B240" s="1">
        <f>IF(BL240&lt;40000,"Entry",IF(BL240&gt;65000,"Premium","Mainstream"))</f>
        <v/>
      </c>
      <c r="C240" s="1" t="inlineStr">
        <is>
          <t>Premium</t>
        </is>
      </c>
      <c r="D240" s="1" t="inlineStr">
        <is>
          <t>R7 OS Office</t>
        </is>
      </c>
      <c r="E240" s="1" t="inlineStr">
        <is>
          <t>Convertible</t>
        </is>
      </c>
      <c r="F240" s="1" t="inlineStr">
        <is>
          <t>Flex 5</t>
        </is>
      </c>
      <c r="G240" s="1" t="inlineStr">
        <is>
          <t>Flex5 14ABR8</t>
        </is>
      </c>
      <c r="H240" s="1" t="inlineStr">
        <is>
          <t>R7</t>
        </is>
      </c>
      <c r="I240" s="1" t="inlineStr">
        <is>
          <t>7XXXU</t>
        </is>
      </c>
      <c r="J240" s="1" t="inlineStr">
        <is>
          <t>R7-7730U</t>
        </is>
      </c>
      <c r="K240" s="1" t="inlineStr">
        <is>
          <t>16GB</t>
        </is>
      </c>
      <c r="L240" s="1" t="inlineStr">
        <is>
          <t>512GB SSD</t>
        </is>
      </c>
      <c r="M240" s="1" t="inlineStr">
        <is>
          <t>Windows 11</t>
        </is>
      </c>
      <c r="N240" s="1" t="inlineStr">
        <is>
          <t>Office 2021</t>
        </is>
      </c>
      <c r="O240" s="1" t="inlineStr">
        <is>
          <t>INTEGRATED_GRAPHICS</t>
        </is>
      </c>
      <c r="P240" s="1" t="inlineStr">
        <is>
          <t>14_WUXGA_GL_300N_MT_N_G</t>
        </is>
      </c>
      <c r="Q240" s="1" t="inlineStr">
        <is>
          <t>1 Yr Onsite + 1 Yr PC</t>
        </is>
      </c>
      <c r="R240" s="1" t="inlineStr">
        <is>
          <t>Full GTN</t>
        </is>
      </c>
      <c r="S240" s="1" t="n">
        <v>725</v>
      </c>
      <c r="T240" s="2">
        <f>U240*0.98*0.965</f>
        <v/>
      </c>
      <c r="U240" s="13" t="n">
        <v>62124.71109399076</v>
      </c>
      <c r="V240" s="13" t="n">
        <v>0</v>
      </c>
      <c r="W240" s="13" t="n"/>
      <c r="X240" s="13" t="n"/>
      <c r="Y240" s="2">
        <f>(U240*0.88-S240-V240-W240-X240)*1.18/0.92</f>
        <v/>
      </c>
      <c r="Z240" s="2" t="n">
        <v>69190</v>
      </c>
      <c r="AA240" s="5" t="n"/>
      <c r="AB240" s="5" t="n"/>
      <c r="AC240" s="14" t="n">
        <v>0</v>
      </c>
      <c r="AD240" s="5">
        <f>(Y240-AC240)/1.18*0.92</f>
        <v/>
      </c>
      <c r="AE240" s="5" t="n"/>
      <c r="AF240" s="5">
        <f>W240+X240</f>
        <v/>
      </c>
      <c r="AG240" s="5" t="n"/>
      <c r="AH240" s="13" t="n">
        <v>0</v>
      </c>
      <c r="AI240" s="13" t="n"/>
      <c r="AJ240" s="5" t="n"/>
      <c r="AL240" s="5" t="n"/>
      <c r="AM240" s="5" t="n">
        <v>69189.99999999999</v>
      </c>
      <c r="AN240" s="5">
        <f>Y240-AM240</f>
        <v/>
      </c>
      <c r="AO240" s="5" t="n"/>
      <c r="AP240" s="5" t="n"/>
      <c r="AQ240" s="20" t="n">
        <v>0</v>
      </c>
      <c r="AR240" s="20" t="n"/>
      <c r="AT240" s="3" t="n">
        <v>0</v>
      </c>
      <c r="AV240" s="5">
        <f>ROUNDUP((AT240/8)*80,0)</f>
        <v/>
      </c>
      <c r="AX240" s="38">
        <f>AV240*W240</f>
        <v/>
      </c>
      <c r="BA240" s="3" t="n">
        <v>0</v>
      </c>
      <c r="BB240" s="3" t="n">
        <v>6</v>
      </c>
      <c r="BC240" s="3" t="n">
        <v>-3</v>
      </c>
      <c r="BD240" s="3">
        <f>BC240+BB240+BA240</f>
        <v/>
      </c>
      <c r="BE240" s="3" t="n">
        <v>522</v>
      </c>
      <c r="BF240" s="3" t="n">
        <v>0</v>
      </c>
      <c r="BH240" s="3">
        <f>ROUNDUP(BD240*1.85,0)</f>
        <v/>
      </c>
      <c r="BJ240" s="38">
        <f>BH240*V240</f>
        <v/>
      </c>
      <c r="BL240" s="3">
        <f>U240*1.18</f>
        <v/>
      </c>
    </row>
    <row r="241">
      <c r="A241" s="1" t="inlineStr">
        <is>
          <t>82RK00WXIN</t>
        </is>
      </c>
      <c r="B241" s="1">
        <f>IF(BL241&lt;40000,"Entry",IF(BL241&gt;65000,"Premium","Mainstream"))</f>
        <v/>
      </c>
      <c r="C241" s="1" t="inlineStr">
        <is>
          <t>Mainstream</t>
        </is>
      </c>
      <c r="D241" s="1" t="inlineStr">
        <is>
          <t>i3 OS Office</t>
        </is>
      </c>
      <c r="E241" s="1" t="inlineStr">
        <is>
          <t>Thin &amp; Light</t>
        </is>
      </c>
      <c r="F241" s="1" t="inlineStr">
        <is>
          <t>Slim 3</t>
        </is>
      </c>
      <c r="G241" s="1" t="inlineStr">
        <is>
          <t>IP 3 15IAU7</t>
        </is>
      </c>
      <c r="H241" s="1" t="inlineStr">
        <is>
          <t>i3</t>
        </is>
      </c>
      <c r="I241" s="1" t="inlineStr">
        <is>
          <t>12th Gen</t>
        </is>
      </c>
      <c r="J241" s="1" t="inlineStr">
        <is>
          <t>i3-1215U</t>
        </is>
      </c>
      <c r="K241" s="1" t="inlineStr">
        <is>
          <t>8GB</t>
        </is>
      </c>
      <c r="L241" s="1" t="inlineStr">
        <is>
          <t>256GB SSD</t>
        </is>
      </c>
      <c r="M241" s="1" t="inlineStr">
        <is>
          <t>Windows 11</t>
        </is>
      </c>
      <c r="N241" s="1" t="inlineStr">
        <is>
          <t>Office 2021</t>
        </is>
      </c>
      <c r="O241" s="1" t="inlineStr">
        <is>
          <t>INTEGRATED_GRAPHICS</t>
        </is>
      </c>
      <c r="P241" s="1" t="inlineStr">
        <is>
          <t>15.6FHD_AG_250N_N</t>
        </is>
      </c>
      <c r="Q241" s="1" t="inlineStr">
        <is>
          <t>1 Yr. Onsite + 1 Yr. ADP</t>
        </is>
      </c>
      <c r="R241" s="1" t="inlineStr">
        <is>
          <t>Full GTN</t>
        </is>
      </c>
      <c r="S241" s="1" t="n">
        <v>0</v>
      </c>
      <c r="T241" s="2" t="n">
        <v>33171.62966101695</v>
      </c>
      <c r="U241" s="13" t="n">
        <v>35076.27118644068</v>
      </c>
      <c r="V241" s="13" t="n">
        <v>0</v>
      </c>
      <c r="W241" s="13" t="n">
        <v>3938</v>
      </c>
      <c r="X241" s="13" t="n"/>
      <c r="Y241" s="2">
        <f>(U241*0.89-S241-V241-W241-X241)*1.18/0.92</f>
        <v/>
      </c>
      <c r="Z241" s="18">
        <f>AC241</f>
        <v/>
      </c>
      <c r="AA241" s="5" t="inlineStr">
        <is>
          <t>Ok</t>
        </is>
      </c>
      <c r="AB241" s="5" t="n"/>
      <c r="AC241" s="14" t="n">
        <v>34990</v>
      </c>
      <c r="AD241" s="5">
        <f>(Y241-AC241)/1.18*0.92</f>
        <v/>
      </c>
      <c r="AE241" s="5" t="n"/>
      <c r="AF241" s="5">
        <f>W241+X241</f>
        <v/>
      </c>
      <c r="AG241" s="5" t="n"/>
      <c r="AH241" s="13" t="n">
        <v>0</v>
      </c>
      <c r="AI241" s="13" t="n">
        <v>3937.542372881358</v>
      </c>
      <c r="AJ241" s="5" t="n"/>
      <c r="AL241" s="5" t="n"/>
      <c r="AM241" s="5" t="n">
        <v>34990</v>
      </c>
      <c r="AN241" s="5">
        <f>Y241-AM241</f>
        <v/>
      </c>
      <c r="AO241" s="5" t="n"/>
      <c r="AP241" s="5">
        <f>U241-AL241</f>
        <v/>
      </c>
      <c r="AQ241" s="20" t="n">
        <v>0</v>
      </c>
      <c r="AR241" s="20" t="n">
        <v>3937.542372881358</v>
      </c>
      <c r="AT241" s="3" t="n">
        <v>7</v>
      </c>
      <c r="AV241" s="5">
        <f>ROUNDUP((AT241/8)*80,0)</f>
        <v/>
      </c>
      <c r="AX241" s="38">
        <f>AV241*W241</f>
        <v/>
      </c>
      <c r="BA241" s="3" t="n">
        <v>0</v>
      </c>
      <c r="BB241" s="3" t="n">
        <v>50</v>
      </c>
      <c r="BC241" s="3" t="n">
        <v>0</v>
      </c>
      <c r="BD241" s="3">
        <f>BC241+BB241+BA241</f>
        <v/>
      </c>
      <c r="BE241" s="3" t="n">
        <v>190</v>
      </c>
      <c r="BF241" s="3" t="n">
        <v>14</v>
      </c>
      <c r="BH241" s="3">
        <f>ROUNDUP(BD241*1.85,0)</f>
        <v/>
      </c>
      <c r="BJ241" s="38">
        <f>BH241*V241</f>
        <v/>
      </c>
      <c r="BL241" s="3">
        <f>U241*1.18</f>
        <v/>
      </c>
    </row>
    <row r="242">
      <c r="A242" s="1" t="inlineStr">
        <is>
          <t>82RK00VWIN</t>
        </is>
      </c>
      <c r="B242" s="1">
        <f>IF(BL242&lt;40000,"Entry",IF(BL242&gt;65000,"Premium","Mainstream"))</f>
        <v/>
      </c>
      <c r="C242" s="1" t="inlineStr">
        <is>
          <t>Mainstream</t>
        </is>
      </c>
      <c r="D242" s="1" t="inlineStr">
        <is>
          <t>i3 OS Office</t>
        </is>
      </c>
      <c r="E242" s="1" t="inlineStr">
        <is>
          <t>Thin &amp; Light</t>
        </is>
      </c>
      <c r="F242" s="1" t="inlineStr">
        <is>
          <t>Slim 3</t>
        </is>
      </c>
      <c r="G242" s="1" t="inlineStr">
        <is>
          <t>IP 3 15IAU7</t>
        </is>
      </c>
      <c r="H242" s="1" t="inlineStr">
        <is>
          <t>i3</t>
        </is>
      </c>
      <c r="I242" s="1" t="inlineStr">
        <is>
          <t>12th Gen</t>
        </is>
      </c>
      <c r="J242" s="1" t="inlineStr">
        <is>
          <t>i3-1215U</t>
        </is>
      </c>
      <c r="K242" s="1" t="inlineStr">
        <is>
          <t>8GB</t>
        </is>
      </c>
      <c r="L242" s="1" t="inlineStr">
        <is>
          <t>512GB SSD</t>
        </is>
      </c>
      <c r="M242" s="1" t="inlineStr">
        <is>
          <t>Windows 11</t>
        </is>
      </c>
      <c r="N242" s="1" t="inlineStr">
        <is>
          <t>Office 2021</t>
        </is>
      </c>
      <c r="O242" s="1" t="inlineStr">
        <is>
          <t>INTEGRATED_GRAPHICS</t>
        </is>
      </c>
      <c r="P242" s="1" t="inlineStr">
        <is>
          <t>15.6FHD_AG_250N_N</t>
        </is>
      </c>
      <c r="Q242" s="1" t="inlineStr">
        <is>
          <t>1 Yr. Onsite + 1 Yr. ADP</t>
        </is>
      </c>
      <c r="R242" s="1" t="inlineStr">
        <is>
          <t>Zero GTN</t>
        </is>
      </c>
      <c r="S242" s="1" t="n">
        <v>725</v>
      </c>
      <c r="T242" s="2" t="n">
        <v>32678</v>
      </c>
      <c r="U242" s="13" t="n">
        <v>34025</v>
      </c>
      <c r="V242" s="13" t="n">
        <v>0</v>
      </c>
      <c r="W242" s="13" t="n">
        <v>1831</v>
      </c>
      <c r="X242" s="13" t="n"/>
      <c r="Y242" s="2">
        <f>(U242*0.98-S242-V242-W242-X242)*1.18/0.92</f>
        <v/>
      </c>
      <c r="Z242" s="18">
        <f>AC242</f>
        <v/>
      </c>
      <c r="AA242" s="5" t="inlineStr">
        <is>
          <t>Ok</t>
        </is>
      </c>
      <c r="AB242" s="5" t="n"/>
      <c r="AC242" s="14" t="n">
        <v>39490</v>
      </c>
      <c r="AD242" s="5">
        <f>(Y242-AC242)/1.18*0.92</f>
        <v/>
      </c>
      <c r="AE242" s="5" t="n"/>
      <c r="AF242" s="5">
        <f>W242+X242</f>
        <v/>
      </c>
      <c r="AG242" s="5" t="n"/>
      <c r="AH242" s="13" t="n">
        <v>0</v>
      </c>
      <c r="AI242" s="13" t="n">
        <v>1831</v>
      </c>
      <c r="AJ242" s="5" t="n"/>
      <c r="AL242" s="5" t="n"/>
      <c r="AM242" s="5" t="n">
        <v>35989.35869565217</v>
      </c>
      <c r="AN242" s="5">
        <f>Y242-AM242</f>
        <v/>
      </c>
      <c r="AO242" s="5" t="n"/>
      <c r="AP242" s="5">
        <f>U242-AL242</f>
        <v/>
      </c>
      <c r="AQ242" s="20" t="n">
        <v>0</v>
      </c>
      <c r="AR242" s="20" t="n">
        <v>3000.177966101695</v>
      </c>
      <c r="AT242" s="3" t="n">
        <v>55</v>
      </c>
      <c r="AV242" s="5">
        <f>ROUNDUP((AT242/8)*80,0)</f>
        <v/>
      </c>
      <c r="AX242" s="38">
        <f>AV242*W242</f>
        <v/>
      </c>
      <c r="BA242" s="3" t="n">
        <v>0</v>
      </c>
      <c r="BB242" s="3" t="n">
        <v>400</v>
      </c>
      <c r="BC242" s="3" t="n">
        <v>60</v>
      </c>
      <c r="BD242" s="3">
        <f>BC242+BB242+BA242</f>
        <v/>
      </c>
      <c r="BE242" s="3" t="n">
        <v>17536</v>
      </c>
      <c r="BF242" s="3" t="n">
        <v>0</v>
      </c>
      <c r="BH242" s="3">
        <f>ROUNDUP(BD242*1.85,0)</f>
        <v/>
      </c>
      <c r="BJ242" s="38">
        <f>BH242*V242</f>
        <v/>
      </c>
      <c r="BL242" s="3">
        <f>U242*1.18</f>
        <v/>
      </c>
    </row>
    <row r="243">
      <c r="A243" s="1" t="inlineStr">
        <is>
          <t>82X60013IN</t>
        </is>
      </c>
      <c r="B243" s="1">
        <f>IF(BL243&lt;40000,"Entry",IF(BL243&gt;65000,"Premium","Mainstream"))</f>
        <v/>
      </c>
      <c r="C243" s="1" t="inlineStr">
        <is>
          <t>Mainstream</t>
        </is>
      </c>
      <c r="D243" s="1" t="inlineStr">
        <is>
          <t>i3 OS Office</t>
        </is>
      </c>
      <c r="E243" s="1" t="inlineStr">
        <is>
          <t>Thin &amp; Light</t>
        </is>
      </c>
      <c r="F243" s="1" t="inlineStr">
        <is>
          <t>Slim 3</t>
        </is>
      </c>
      <c r="G243" s="1" t="inlineStr">
        <is>
          <t>IdeaPad 3 15IRU8</t>
        </is>
      </c>
      <c r="H243" s="1" t="inlineStr">
        <is>
          <t>i3</t>
        </is>
      </c>
      <c r="I243" s="1" t="inlineStr">
        <is>
          <t>13th gen</t>
        </is>
      </c>
      <c r="J243" s="1" t="inlineStr">
        <is>
          <t>I3 1305U</t>
        </is>
      </c>
      <c r="K243" s="1" t="inlineStr">
        <is>
          <t>8GB</t>
        </is>
      </c>
      <c r="L243" s="1" t="inlineStr">
        <is>
          <t>512GB SSD</t>
        </is>
      </c>
      <c r="M243" s="1" t="inlineStr">
        <is>
          <t>Win11</t>
        </is>
      </c>
      <c r="N243" s="1" t="inlineStr">
        <is>
          <t>Office 2021</t>
        </is>
      </c>
      <c r="O243" s="1" t="inlineStr">
        <is>
          <t>INTEGRATED_GRAPHICS</t>
        </is>
      </c>
      <c r="P243" s="1" t="inlineStr">
        <is>
          <t>15.6FHD_AG_300N_N</t>
        </is>
      </c>
      <c r="Q243" s="1" t="inlineStr">
        <is>
          <t>1 Yr. Onsite + 1 Yr. ADP</t>
        </is>
      </c>
      <c r="R243" s="1" t="inlineStr">
        <is>
          <t>Zero GTN</t>
        </is>
      </c>
      <c r="S243" s="1" t="n">
        <v>0</v>
      </c>
      <c r="T243" s="2" t="n">
        <v>35152.26779661017</v>
      </c>
      <c r="U243" s="13" t="n">
        <v>36601.69491525424</v>
      </c>
      <c r="V243" s="13" t="n">
        <v>0</v>
      </c>
      <c r="W243" s="13" t="n">
        <v>3132</v>
      </c>
      <c r="X243" s="13" t="n"/>
      <c r="Y243" s="2">
        <f>(U243*0.98-S243-V243-W243-X243)*1.18/0.92</f>
        <v/>
      </c>
      <c r="Z243" s="18">
        <f>AC243</f>
        <v/>
      </c>
      <c r="AA243" s="5" t="inlineStr">
        <is>
          <t>Ok</t>
        </is>
      </c>
      <c r="AB243" s="5" t="n"/>
      <c r="AC243" s="14" t="n">
        <v>41990</v>
      </c>
      <c r="AD243" s="5">
        <f>(Y243-AC243)/1.18*0.92</f>
        <v/>
      </c>
      <c r="AE243" s="5" t="n"/>
      <c r="AF243" s="5">
        <f>W243+X243</f>
        <v/>
      </c>
      <c r="AG243" s="5" t="n"/>
      <c r="AH243" s="13" t="n">
        <v>0</v>
      </c>
      <c r="AI243" s="13" t="n">
        <v>3132</v>
      </c>
      <c r="AJ243" s="5" t="n"/>
      <c r="AL243" s="5" t="n"/>
      <c r="AM243" s="5" t="n">
        <v>43990.47826086956</v>
      </c>
      <c r="AN243" s="5">
        <f>Y243-AM243</f>
        <v/>
      </c>
      <c r="AO243" s="5" t="n"/>
      <c r="AP243" s="5">
        <f>U243-AL243</f>
        <v/>
      </c>
      <c r="AQ243" s="20" t="n">
        <v>0</v>
      </c>
      <c r="AR243" s="20" t="n">
        <v>1572</v>
      </c>
      <c r="AT243" s="3" t="n">
        <v>4</v>
      </c>
      <c r="AV243" s="5">
        <f>ROUNDUP((AT243/8)*80,0)</f>
        <v/>
      </c>
      <c r="AX243" s="38">
        <f>AV243*W243</f>
        <v/>
      </c>
      <c r="BA243" s="3" t="n">
        <v>0</v>
      </c>
      <c r="BB243" s="3" t="n">
        <v>0</v>
      </c>
      <c r="BC243" s="3" t="n">
        <v>0</v>
      </c>
      <c r="BD243" s="3">
        <f>BC243+BB243+BA243</f>
        <v/>
      </c>
      <c r="BE243" s="3" t="n">
        <v>476</v>
      </c>
      <c r="BF243" s="3" t="n">
        <v>69</v>
      </c>
      <c r="BH243" s="3">
        <f>ROUNDUP(BD243*1.85,0)</f>
        <v/>
      </c>
      <c r="BJ243" s="38">
        <f>BH243*V243</f>
        <v/>
      </c>
      <c r="BL243" s="3">
        <f>U243*1.18</f>
        <v/>
      </c>
    </row>
    <row r="244">
      <c r="A244" s="1" t="inlineStr">
        <is>
          <t>83ER008GIN</t>
        </is>
      </c>
      <c r="B244" s="1">
        <f>IF(BL244&lt;40000,"Entry",IF(BL244&gt;65000,"Premium","Mainstream"))</f>
        <v/>
      </c>
      <c r="C244" s="1" t="inlineStr">
        <is>
          <t>Premium</t>
        </is>
      </c>
      <c r="D244" s="1" t="inlineStr">
        <is>
          <t>i5 OS Office</t>
        </is>
      </c>
      <c r="E244" s="1" t="inlineStr">
        <is>
          <t>Thin &amp; Light</t>
        </is>
      </c>
      <c r="F244" s="1" t="inlineStr">
        <is>
          <t>Slim 3</t>
        </is>
      </c>
      <c r="G244" s="1" t="inlineStr">
        <is>
          <t>IdeaPad 3 15IAH8</t>
        </is>
      </c>
      <c r="H244" s="1" t="inlineStr">
        <is>
          <t>i5</t>
        </is>
      </c>
      <c r="I244" s="1" t="inlineStr">
        <is>
          <t>12th Gen</t>
        </is>
      </c>
      <c r="J244" s="1" t="inlineStr">
        <is>
          <t>i5 12450H</t>
        </is>
      </c>
      <c r="K244" s="1" t="inlineStr">
        <is>
          <t>16GB</t>
        </is>
      </c>
      <c r="L244" s="1" t="inlineStr">
        <is>
          <t>512GB SSD</t>
        </is>
      </c>
      <c r="M244" s="1" t="inlineStr">
        <is>
          <t>Win11</t>
        </is>
      </c>
      <c r="N244" s="1" t="inlineStr">
        <is>
          <t>Office 2021</t>
        </is>
      </c>
      <c r="O244" s="1" t="inlineStr">
        <is>
          <t>INTEGRATED_GRAPHICS</t>
        </is>
      </c>
      <c r="P244" s="1" t="inlineStr">
        <is>
          <t>15.6FHD_AG_300N_N</t>
        </is>
      </c>
      <c r="Q244" s="1" t="inlineStr">
        <is>
          <t>1 Yr. Onsite + 1 Yr. ADP</t>
        </is>
      </c>
      <c r="R244" s="1" t="inlineStr">
        <is>
          <t>Full GTN</t>
        </is>
      </c>
      <c r="S244" s="1" t="n">
        <v>725</v>
      </c>
      <c r="T244" s="2" t="n">
        <v>47145.6</v>
      </c>
      <c r="U244" s="13" t="n">
        <v>49852.6440677966</v>
      </c>
      <c r="V244" s="13" t="n">
        <v>0</v>
      </c>
      <c r="W244" s="13" t="n">
        <v>458</v>
      </c>
      <c r="X244" s="13" t="n"/>
      <c r="Y244" s="2">
        <f>(U244*0.89-S244-V244-W244-X244)*1.18/0.92</f>
        <v/>
      </c>
      <c r="Z244" s="18">
        <f>AC244</f>
        <v/>
      </c>
      <c r="AA244" s="5" t="inlineStr">
        <is>
          <t>Ok</t>
        </is>
      </c>
      <c r="AB244" s="5" t="n"/>
      <c r="AC244" s="14" t="n">
        <v>55390</v>
      </c>
      <c r="AD244" s="5">
        <f>(Y244-AC244)/1.18*0.92</f>
        <v/>
      </c>
      <c r="AE244" s="5" t="n"/>
      <c r="AF244" s="5">
        <f>W244+X244</f>
        <v/>
      </c>
      <c r="AG244" s="5" t="n"/>
      <c r="AH244" s="13" t="n">
        <v>0</v>
      </c>
      <c r="AI244" s="13" t="n"/>
      <c r="AJ244" s="5" t="n"/>
      <c r="AL244" s="5" t="n"/>
      <c r="AM244" s="5" t="n">
        <v>55338.57130434781</v>
      </c>
      <c r="AN244" s="5">
        <f>Y244-AM244</f>
        <v/>
      </c>
      <c r="AO244" s="5" t="n"/>
      <c r="AP244" s="5">
        <f>U244-AL244</f>
        <v/>
      </c>
      <c r="AQ244" s="20" t="n">
        <v>0</v>
      </c>
      <c r="AR244" s="20" t="n"/>
      <c r="AT244" s="3" t="n">
        <v>13</v>
      </c>
      <c r="AV244" s="5">
        <f>ROUNDUP((AT244/8)*80,0)</f>
        <v/>
      </c>
      <c r="AX244" s="38">
        <f>AV244*W244</f>
        <v/>
      </c>
      <c r="BA244" s="3" t="n">
        <v>0</v>
      </c>
      <c r="BB244" s="3" t="n">
        <v>37</v>
      </c>
      <c r="BC244" s="3" t="n">
        <v>0</v>
      </c>
      <c r="BD244" s="3">
        <f>BC244+BB244+BA244</f>
        <v/>
      </c>
      <c r="BE244" s="3" t="n">
        <v>1127</v>
      </c>
      <c r="BF244" s="3" t="n">
        <v>3001</v>
      </c>
      <c r="BH244" s="3">
        <f>ROUNDUP(BD244*1.85,0)</f>
        <v/>
      </c>
      <c r="BJ244" s="38">
        <f>BH244*V244</f>
        <v/>
      </c>
      <c r="BL244" s="3">
        <f>U244*1.18</f>
        <v/>
      </c>
    </row>
    <row r="245">
      <c r="A245" s="1" t="inlineStr">
        <is>
          <t>83FQ0009IN</t>
        </is>
      </c>
      <c r="B245" s="1">
        <f>IF(BL245&lt;40000,"Entry",IF(BL245&gt;65000,"Premium","Mainstream"))</f>
        <v/>
      </c>
      <c r="C245" s="1" t="inlineStr">
        <is>
          <t>Premium</t>
        </is>
      </c>
      <c r="D245" s="1" t="inlineStr">
        <is>
          <t>i5  4GB Graphics Office</t>
        </is>
      </c>
      <c r="E245" s="1" t="inlineStr">
        <is>
          <t>Gaming</t>
        </is>
      </c>
      <c r="F245" s="1" t="inlineStr">
        <is>
          <t>LOQ</t>
        </is>
      </c>
      <c r="G245" s="1" t="inlineStr">
        <is>
          <t>LOQ 15IAX9I</t>
        </is>
      </c>
      <c r="H245" s="1" t="inlineStr">
        <is>
          <t>i5</t>
        </is>
      </c>
      <c r="I245" s="1" t="inlineStr">
        <is>
          <t>12th Gen</t>
        </is>
      </c>
      <c r="J245" s="1" t="inlineStr">
        <is>
          <t>i5 12450HX</t>
        </is>
      </c>
      <c r="K245" s="1" t="inlineStr">
        <is>
          <t>8 GB</t>
        </is>
      </c>
      <c r="L245" s="1" t="inlineStr">
        <is>
          <t>512GB SSD</t>
        </is>
      </c>
      <c r="M245" s="1" t="inlineStr">
        <is>
          <t>Windows 11</t>
        </is>
      </c>
      <c r="N245" s="1" t="inlineStr">
        <is>
          <t>OFFICE_TRIAL</t>
        </is>
      </c>
      <c r="O245" s="1" t="inlineStr">
        <is>
          <t>ARC A530M</t>
        </is>
      </c>
      <c r="P245" s="1" t="inlineStr">
        <is>
          <t>15.6_FHD_AG_300N_144_SRGB</t>
        </is>
      </c>
      <c r="Q245" s="1" t="inlineStr">
        <is>
          <t>1 Yr Onsite</t>
        </is>
      </c>
      <c r="R245" s="1" t="inlineStr">
        <is>
          <t>Zero GTN</t>
        </is>
      </c>
      <c r="S245" s="1" t="n">
        <v>725</v>
      </c>
      <c r="T245" s="2">
        <f>U245*0.98*0.98</f>
        <v/>
      </c>
      <c r="U245" s="13" t="n">
        <v>48466.10169491525</v>
      </c>
      <c r="V245" s="13" t="n">
        <v>0</v>
      </c>
      <c r="W245" s="13" t="n">
        <v>0</v>
      </c>
      <c r="X245" s="13" t="n"/>
      <c r="Y245" s="2">
        <f>(U245*0.98-S245-V245-W245-X245)*1.18/0.92</f>
        <v/>
      </c>
      <c r="Z245" s="1" t="n">
        <v>59990</v>
      </c>
      <c r="AA245" s="5" t="n"/>
      <c r="AB245" s="5" t="n"/>
      <c r="AC245" s="14" t="n">
        <v>59990</v>
      </c>
      <c r="AD245" s="5">
        <f>(Y245-AC245)/1.18*0.92</f>
        <v/>
      </c>
      <c r="AE245" s="5" t="n"/>
      <c r="AF245" s="5">
        <f>W245+X245</f>
        <v/>
      </c>
      <c r="AG245" s="5" t="n"/>
      <c r="AH245" s="13" t="n">
        <v>0</v>
      </c>
      <c r="AI245" s="13" t="n"/>
      <c r="AJ245" s="5" t="n"/>
      <c r="AL245" s="5" t="n"/>
      <c r="AM245" s="5" t="n">
        <v>59989.89130434782</v>
      </c>
      <c r="AN245" s="5">
        <f>Y245-AM245</f>
        <v/>
      </c>
      <c r="AO245" s="5" t="n"/>
      <c r="AP245" s="5">
        <f>U245-AL245</f>
        <v/>
      </c>
      <c r="AQ245" s="20" t="n">
        <v>0</v>
      </c>
      <c r="AR245" s="20" t="n"/>
      <c r="AT245" s="3" t="n">
        <v>4</v>
      </c>
      <c r="AV245" s="5">
        <f>ROUNDUP((AT245/8)*80,0)</f>
        <v/>
      </c>
      <c r="AX245" s="38">
        <f>AV245*W245</f>
        <v/>
      </c>
      <c r="BA245" s="3" t="n">
        <v>46</v>
      </c>
      <c r="BB245" s="3" t="n">
        <v>9</v>
      </c>
      <c r="BC245" s="3" t="n">
        <v>28</v>
      </c>
      <c r="BD245" s="3">
        <f>BC245+BB245+BA245</f>
        <v/>
      </c>
      <c r="BE245" s="3" t="n">
        <v>144</v>
      </c>
      <c r="BF245" s="3" t="n">
        <v>32</v>
      </c>
      <c r="BH245" s="3">
        <f>ROUNDUP(BD245*1.85,0)</f>
        <v/>
      </c>
      <c r="BJ245" s="38">
        <f>BH245*V245</f>
        <v/>
      </c>
      <c r="BL245" s="3">
        <f>U245*1.18</f>
        <v/>
      </c>
    </row>
    <row r="246">
      <c r="A246" s="1" t="inlineStr">
        <is>
          <t>83DV007FIN</t>
        </is>
      </c>
      <c r="B246" s="1">
        <f>IF(BL246&lt;40000,"Entry",IF(BL246&gt;65000,"Premium","Mainstream"))</f>
        <v/>
      </c>
      <c r="C246" s="1" t="inlineStr">
        <is>
          <t>Premium</t>
        </is>
      </c>
      <c r="D246" s="1" t="inlineStr">
        <is>
          <t>i7 OS 8GB Graphics Office</t>
        </is>
      </c>
      <c r="E246" s="1" t="inlineStr">
        <is>
          <t>Gaming</t>
        </is>
      </c>
      <c r="F246" s="1" t="inlineStr">
        <is>
          <t>LOQ</t>
        </is>
      </c>
      <c r="G246" s="1" t="inlineStr">
        <is>
          <t>LOQ 15IRX9</t>
        </is>
      </c>
      <c r="H246" s="1" t="inlineStr">
        <is>
          <t>i7</t>
        </is>
      </c>
      <c r="I246" s="1" t="inlineStr">
        <is>
          <t>14th Gen</t>
        </is>
      </c>
      <c r="J246" s="1" t="inlineStr">
        <is>
          <t>i7 14700HX</t>
        </is>
      </c>
      <c r="K246" s="1" t="inlineStr">
        <is>
          <t>16GB</t>
        </is>
      </c>
      <c r="L246" s="1" t="inlineStr">
        <is>
          <t>1TB SSD</t>
        </is>
      </c>
      <c r="M246" s="1" t="inlineStr">
        <is>
          <t>Windows 11</t>
        </is>
      </c>
      <c r="N246" s="1" t="inlineStr">
        <is>
          <t>Office 2021</t>
        </is>
      </c>
      <c r="O246" s="1" t="inlineStr">
        <is>
          <t>RTX 4060 8GB</t>
        </is>
      </c>
      <c r="P246" s="1" t="inlineStr">
        <is>
          <t>15.6_FHD_AG_300N_144_SRGB</t>
        </is>
      </c>
      <c r="Q246" s="1" t="inlineStr">
        <is>
          <t>1 Yr Onsite</t>
        </is>
      </c>
      <c r="R246" s="1" t="inlineStr">
        <is>
          <t>Full GTN</t>
        </is>
      </c>
      <c r="S246" s="1" t="n">
        <v>725</v>
      </c>
      <c r="T246" s="2">
        <f>U246*0.98*0.965</f>
        <v/>
      </c>
      <c r="U246" s="13" t="n">
        <v>109790.350539291</v>
      </c>
      <c r="V246" s="13" t="n">
        <v>0</v>
      </c>
      <c r="W246" s="13" t="n">
        <v>0</v>
      </c>
      <c r="X246" s="13" t="n"/>
      <c r="Y246" s="2">
        <f>(U246*0.88-S246-V246-W246-X246)*1.18/0.92</f>
        <v/>
      </c>
      <c r="Z246" s="2" t="n">
        <v>122990</v>
      </c>
      <c r="AA246" s="5" t="n"/>
      <c r="AB246" s="5" t="n"/>
      <c r="AC246" s="14" t="n">
        <v>0</v>
      </c>
      <c r="AD246" s="5" t="n">
        <v>0</v>
      </c>
      <c r="AE246" s="5" t="n"/>
      <c r="AF246" s="5">
        <f>W246+X246</f>
        <v/>
      </c>
      <c r="AG246" s="5" t="n"/>
      <c r="AH246" s="13" t="n">
        <v>0</v>
      </c>
      <c r="AI246" s="13" t="n"/>
      <c r="AJ246" s="5" t="n"/>
      <c r="AL246" s="5" t="n"/>
      <c r="AM246" s="5" t="n">
        <v>122989.9999999997</v>
      </c>
      <c r="AN246" s="5">
        <f>Y246-AM246</f>
        <v/>
      </c>
      <c r="AO246" s="5" t="n"/>
      <c r="AP246" s="5">
        <f>U246-AL246</f>
        <v/>
      </c>
      <c r="AQ246" s="20" t="n">
        <v>0</v>
      </c>
      <c r="AR246" s="20" t="n"/>
      <c r="AT246" s="3" t="n">
        <v>0</v>
      </c>
      <c r="AV246" s="5">
        <f>ROUNDUP((AT246/8)*80,0)</f>
        <v/>
      </c>
      <c r="AX246" s="38">
        <f>AV246*W246</f>
        <v/>
      </c>
      <c r="BA246" s="3" t="n">
        <v>25</v>
      </c>
      <c r="BB246" s="3" t="n">
        <v>26</v>
      </c>
      <c r="BC246" s="3" t="n">
        <v>0</v>
      </c>
      <c r="BD246" s="3">
        <f>BC246+BB246+BA246</f>
        <v/>
      </c>
      <c r="BE246" s="3" t="n">
        <v>0</v>
      </c>
      <c r="BF246" s="3" t="n">
        <v>0</v>
      </c>
      <c r="BH246" s="3">
        <f>ROUNDUP(BD246*1.85,0)</f>
        <v/>
      </c>
      <c r="BJ246" s="38">
        <f>BH246*V246</f>
        <v/>
      </c>
      <c r="BL246" s="3">
        <f>U246*1.18</f>
        <v/>
      </c>
    </row>
    <row r="247">
      <c r="A247" s="1" t="inlineStr">
        <is>
          <t>83DV007JIN</t>
        </is>
      </c>
      <c r="B247" s="1">
        <f>IF(BL247&lt;40000,"Entry",IF(BL247&gt;65000,"Premium","Mainstream"))</f>
        <v/>
      </c>
      <c r="C247" s="1" t="inlineStr">
        <is>
          <t>Premium</t>
        </is>
      </c>
      <c r="D247" s="1" t="inlineStr">
        <is>
          <t>i5 OS 6GB Graphics Office</t>
        </is>
      </c>
      <c r="E247" s="1" t="inlineStr">
        <is>
          <t>Gaming</t>
        </is>
      </c>
      <c r="F247" s="1" t="inlineStr">
        <is>
          <t>LOQ</t>
        </is>
      </c>
      <c r="G247" s="1" t="inlineStr">
        <is>
          <t>LOQ 15IRX9</t>
        </is>
      </c>
      <c r="H247" s="1" t="inlineStr">
        <is>
          <t>i5</t>
        </is>
      </c>
      <c r="I247" s="1" t="inlineStr">
        <is>
          <t>13th Gen</t>
        </is>
      </c>
      <c r="J247" s="1" t="inlineStr">
        <is>
          <t>i5 13450HX</t>
        </is>
      </c>
      <c r="K247" s="1" t="inlineStr">
        <is>
          <t>16GB</t>
        </is>
      </c>
      <c r="L247" s="1" t="inlineStr">
        <is>
          <t>512GB SSD</t>
        </is>
      </c>
      <c r="M247" s="1" t="inlineStr">
        <is>
          <t>Windows 11</t>
        </is>
      </c>
      <c r="N247" s="1" t="inlineStr">
        <is>
          <t>Office 2021</t>
        </is>
      </c>
      <c r="O247" s="1" t="inlineStr">
        <is>
          <t>RTX 3050 6GB</t>
        </is>
      </c>
      <c r="P247" s="1" t="inlineStr">
        <is>
          <t>15.6_FHD_AG_300N_144_SRGB</t>
        </is>
      </c>
      <c r="Q247" s="1" t="inlineStr">
        <is>
          <t>1 Yr Onsite</t>
        </is>
      </c>
      <c r="R247" s="1" t="inlineStr">
        <is>
          <t>Full GTN</t>
        </is>
      </c>
      <c r="S247" s="1" t="n">
        <v>725</v>
      </c>
      <c r="T247" s="2">
        <f>U247*0.98*0.965</f>
        <v/>
      </c>
      <c r="U247" s="13" t="n">
        <v>76123.17026194146</v>
      </c>
      <c r="V247" s="13" t="n">
        <v>0</v>
      </c>
      <c r="W247" s="13" t="n">
        <v>0</v>
      </c>
      <c r="X247" s="13" t="n">
        <v>7016.949152542385</v>
      </c>
      <c r="Y247" s="2">
        <f>(U247*0.88-S247-V247-W247-X247)*1.18/0.92</f>
        <v/>
      </c>
      <c r="Z247" s="1" t="n">
        <v>75990</v>
      </c>
      <c r="AA247" s="5" t="n"/>
      <c r="AB247" s="5" t="n"/>
      <c r="AC247" s="14" t="n">
        <v>75990</v>
      </c>
      <c r="AD247" s="5">
        <f>(Y247-AC247)/1.18*0.92</f>
        <v/>
      </c>
      <c r="AE247" s="5" t="n"/>
      <c r="AF247" s="5">
        <f>W247+X247</f>
        <v/>
      </c>
      <c r="AG247" s="5" t="n"/>
      <c r="AH247" s="13" t="n">
        <v>0</v>
      </c>
      <c r="AI247" s="13" t="n"/>
      <c r="AJ247" s="5" t="n"/>
      <c r="AL247" s="5" t="n"/>
      <c r="AM247" s="5" t="n">
        <v>84990.00000000001</v>
      </c>
      <c r="AN247" s="5">
        <f>Y247-AM247</f>
        <v/>
      </c>
      <c r="AO247" s="5" t="n"/>
      <c r="AP247" s="5">
        <f>U247-AL247</f>
        <v/>
      </c>
      <c r="AQ247" s="20" t="n">
        <v>0</v>
      </c>
      <c r="AR247" s="20" t="n"/>
      <c r="AT247" s="3" t="n">
        <v>4</v>
      </c>
      <c r="AV247" s="5">
        <f>ROUNDUP((AT247/8)*80,0)</f>
        <v/>
      </c>
      <c r="AX247" s="38">
        <f>AV247*W247</f>
        <v/>
      </c>
      <c r="BA247" s="3" t="n">
        <v>25</v>
      </c>
      <c r="BB247" s="3" t="n">
        <v>11</v>
      </c>
      <c r="BC247" s="3" t="n">
        <v>13</v>
      </c>
      <c r="BD247" s="3">
        <f>BC247+BB247+BA247</f>
        <v/>
      </c>
      <c r="BE247" s="3" t="n">
        <v>42</v>
      </c>
      <c r="BF247" s="3" t="n">
        <v>3</v>
      </c>
      <c r="BH247" s="3">
        <f>ROUNDUP(BD247*1.85,0)</f>
        <v/>
      </c>
      <c r="BJ247" s="38">
        <f>BH247*V247</f>
        <v/>
      </c>
      <c r="BL247" s="3">
        <f>U247*1.18</f>
        <v/>
      </c>
    </row>
    <row r="248">
      <c r="A248" s="1" t="inlineStr">
        <is>
          <t>83DV007HIN</t>
        </is>
      </c>
      <c r="B248" s="1">
        <f>IF(BL248&lt;40000,"Entry",IF(BL248&gt;65000,"Premium","Mainstream"))</f>
        <v/>
      </c>
      <c r="C248" s="1" t="inlineStr">
        <is>
          <t>Premium</t>
        </is>
      </c>
      <c r="D248" s="1" t="inlineStr">
        <is>
          <t>i7 OS 6GB Graphics Office</t>
        </is>
      </c>
      <c r="E248" s="1" t="inlineStr">
        <is>
          <t>Gaming</t>
        </is>
      </c>
      <c r="F248" s="1" t="inlineStr">
        <is>
          <t>LOQ</t>
        </is>
      </c>
      <c r="G248" s="1" t="inlineStr">
        <is>
          <t>LOQ 15IRX9</t>
        </is>
      </c>
      <c r="H248" s="1" t="inlineStr">
        <is>
          <t>i7</t>
        </is>
      </c>
      <c r="I248" s="1" t="inlineStr">
        <is>
          <t>13th Gen</t>
        </is>
      </c>
      <c r="J248" s="1" t="inlineStr">
        <is>
          <t>i7 13650HX</t>
        </is>
      </c>
      <c r="K248" s="1" t="inlineStr">
        <is>
          <t>16GB</t>
        </is>
      </c>
      <c r="L248" s="1" t="inlineStr">
        <is>
          <t>512GB SSD</t>
        </is>
      </c>
      <c r="M248" s="1" t="inlineStr">
        <is>
          <t>Windows 11</t>
        </is>
      </c>
      <c r="N248" s="1" t="inlineStr">
        <is>
          <t>Office 2021</t>
        </is>
      </c>
      <c r="O248" s="1" t="inlineStr">
        <is>
          <t>RTX 4050 6GB</t>
        </is>
      </c>
      <c r="P248" s="1" t="inlineStr">
        <is>
          <t>15.6_FHD_AG_300N_144_SRGB</t>
        </is>
      </c>
      <c r="Q248" s="1" t="inlineStr">
        <is>
          <t>1 Yr Onsite</t>
        </is>
      </c>
      <c r="R248" s="1" t="inlineStr">
        <is>
          <t>Full GTN</t>
        </is>
      </c>
      <c r="S248" s="1" t="n">
        <v>725</v>
      </c>
      <c r="T248" s="2">
        <f>U248*0.98*0.965</f>
        <v/>
      </c>
      <c r="U248" s="13" t="n">
        <v>92070.78197226503</v>
      </c>
      <c r="V248" s="13" t="n">
        <v>0</v>
      </c>
      <c r="W248" s="13" t="n">
        <v>0</v>
      </c>
      <c r="X248" s="13" t="n">
        <v>1559.322033898305</v>
      </c>
      <c r="Y248" s="2">
        <f>(U248*0.88-S248-V248-W248-X248)*1.18/0.92</f>
        <v/>
      </c>
      <c r="Z248" s="1" t="n">
        <v>100990</v>
      </c>
      <c r="AA248" s="5" t="n"/>
      <c r="AB248" s="5" t="n"/>
      <c r="AC248" s="14" t="n">
        <v>100990</v>
      </c>
      <c r="AD248" s="5">
        <f>(Y248-AC248)/1.18*0.92</f>
        <v/>
      </c>
      <c r="AE248" s="5" t="n"/>
      <c r="AF248" s="5">
        <f>W248+X248</f>
        <v/>
      </c>
      <c r="AG248" s="5" t="n"/>
      <c r="AH248" s="13" t="n">
        <v>0</v>
      </c>
      <c r="AI248" s="13" t="n"/>
      <c r="AJ248" s="5" t="n"/>
      <c r="AL248" s="5" t="n"/>
      <c r="AM248" s="5" t="n">
        <v>102990</v>
      </c>
      <c r="AN248" s="5">
        <f>Y248-AM248</f>
        <v/>
      </c>
      <c r="AO248" s="5" t="n"/>
      <c r="AP248" s="5">
        <f>U248-AL248</f>
        <v/>
      </c>
      <c r="AQ248" s="20" t="n">
        <v>0</v>
      </c>
      <c r="AR248" s="20" t="n"/>
      <c r="AT248" s="3" t="n">
        <v>4</v>
      </c>
      <c r="AV248" s="5">
        <f>ROUNDUP((AT248/8)*80,0)</f>
        <v/>
      </c>
      <c r="AX248" s="38">
        <f>AV248*W248</f>
        <v/>
      </c>
      <c r="BA248" s="3" t="n">
        <v>30</v>
      </c>
      <c r="BB248" s="3" t="n">
        <v>0</v>
      </c>
      <c r="BC248" s="3" t="n">
        <v>15</v>
      </c>
      <c r="BD248" s="3">
        <f>BC248+BB248+BA248</f>
        <v/>
      </c>
      <c r="BE248" s="3" t="n">
        <v>90</v>
      </c>
      <c r="BF248" s="3" t="n">
        <v>8</v>
      </c>
      <c r="BH248" s="3">
        <f>ROUNDUP(BD248*1.85,0)</f>
        <v/>
      </c>
      <c r="BJ248" s="38">
        <f>BH248*V248</f>
        <v/>
      </c>
      <c r="BL248" s="3">
        <f>U248*1.18</f>
        <v/>
      </c>
    </row>
    <row r="249">
      <c r="A249" s="1" t="inlineStr">
        <is>
          <t>83AG0044IN</t>
        </is>
      </c>
      <c r="B249" s="1">
        <f>IF(BL249&lt;40000,"Entry",IF(BL249&gt;65000,"Premium","Mainstream"))</f>
        <v/>
      </c>
      <c r="C249" s="1" t="inlineStr">
        <is>
          <t>Premium</t>
        </is>
      </c>
      <c r="D249" s="1" t="inlineStr">
        <is>
          <t>i9 OS 16GB Graphics Office</t>
        </is>
      </c>
      <c r="E249" s="1" t="inlineStr">
        <is>
          <t>Gaming</t>
        </is>
      </c>
      <c r="F249" s="1" t="inlineStr">
        <is>
          <t>Legion 9</t>
        </is>
      </c>
      <c r="G249" s="1" t="inlineStr">
        <is>
          <t>Legion 9 16IRX8</t>
        </is>
      </c>
      <c r="H249" s="1" t="inlineStr">
        <is>
          <t>i9</t>
        </is>
      </c>
      <c r="I249" s="1" t="inlineStr">
        <is>
          <t>13th Gen</t>
        </is>
      </c>
      <c r="J249" s="1" t="inlineStr">
        <is>
          <t>i9 13980HX</t>
        </is>
      </c>
      <c r="K249" s="1" t="inlineStr">
        <is>
          <t>32GB</t>
        </is>
      </c>
      <c r="L249" s="1" t="inlineStr">
        <is>
          <t>1TB SSD</t>
        </is>
      </c>
      <c r="M249" s="1" t="inlineStr">
        <is>
          <t>Windows 11</t>
        </is>
      </c>
      <c r="N249" s="1" t="inlineStr">
        <is>
          <t>OFFICE 2021</t>
        </is>
      </c>
      <c r="O249" s="1" t="inlineStr">
        <is>
          <t>RTX 4090 16GB</t>
        </is>
      </c>
      <c r="P249" s="1" t="inlineStr">
        <is>
          <t>16_3.2K_MLED1200N_165HDR_ADBP3</t>
        </is>
      </c>
      <c r="Q249" s="1" t="inlineStr">
        <is>
          <t>1 Yr Onsite + 1 Yr LUS</t>
        </is>
      </c>
      <c r="R249" s="1" t="inlineStr">
        <is>
          <t>Full GTN</t>
        </is>
      </c>
      <c r="S249" s="1" t="n">
        <v>2457</v>
      </c>
      <c r="T249" s="2">
        <f>U249*0.98*0.965</f>
        <v/>
      </c>
      <c r="U249" s="13" t="n">
        <v>401473.4784283512</v>
      </c>
      <c r="V249" s="13" t="n">
        <v>0</v>
      </c>
      <c r="W249" s="13" t="n">
        <v>0</v>
      </c>
      <c r="X249" s="13" t="n"/>
      <c r="Y249" s="2">
        <f>(U249*0.88-S249-V249-W249-X249)*1.18/0.92</f>
        <v/>
      </c>
      <c r="Z249" s="2" t="n">
        <v>449990</v>
      </c>
      <c r="AA249" s="5" t="n"/>
      <c r="AB249" s="5" t="n"/>
      <c r="AC249" s="14" t="n">
        <v>0</v>
      </c>
      <c r="AD249" s="5" t="n">
        <v>0</v>
      </c>
      <c r="AE249" s="5" t="n"/>
      <c r="AF249" s="5">
        <f>W249+X249</f>
        <v/>
      </c>
      <c r="AG249" s="5" t="n"/>
      <c r="AH249" s="13" t="n">
        <v>0</v>
      </c>
      <c r="AI249" s="13" t="n"/>
      <c r="AJ249" s="5" t="n"/>
      <c r="AL249" s="5" t="n"/>
      <c r="AM249" s="5" t="n">
        <v>449989.9999999999</v>
      </c>
      <c r="AN249" s="5">
        <f>Y249-AM249</f>
        <v/>
      </c>
      <c r="AO249" s="5" t="n"/>
      <c r="AP249" s="5">
        <f>U249-AL249</f>
        <v/>
      </c>
      <c r="AQ249" s="20" t="n">
        <v>0</v>
      </c>
      <c r="AR249" s="20" t="n"/>
      <c r="AT249" s="3" t="n">
        <v>0</v>
      </c>
      <c r="AV249" s="5">
        <f>ROUNDUP((AT249/8)*80,0)</f>
        <v/>
      </c>
      <c r="AX249" s="38">
        <f>AV249*W249</f>
        <v/>
      </c>
      <c r="BA249" s="3" t="n">
        <v>0</v>
      </c>
      <c r="BB249" s="3" t="n">
        <v>1</v>
      </c>
      <c r="BC249" s="3" t="n">
        <v>0</v>
      </c>
      <c r="BD249" s="3">
        <f>BC249+BB249+BA249</f>
        <v/>
      </c>
      <c r="BE249" s="3" t="n">
        <v>12</v>
      </c>
      <c r="BF249" s="3" t="n">
        <v>5</v>
      </c>
      <c r="BH249" s="3">
        <f>ROUNDUP(BD249*1.85,0)</f>
        <v/>
      </c>
      <c r="BJ249" s="38">
        <f>BH249*V249</f>
        <v/>
      </c>
      <c r="BL249" s="3">
        <f>U249*1.18</f>
        <v/>
      </c>
    </row>
    <row r="250">
      <c r="A250" s="1" t="inlineStr">
        <is>
          <t>82XF0078IN</t>
        </is>
      </c>
      <c r="B250" s="1">
        <f>IF(BL250&lt;40000,"Entry",IF(BL250&gt;65000,"Premium","Mainstream"))</f>
        <v/>
      </c>
      <c r="C250" s="1" t="inlineStr">
        <is>
          <t>Premium</t>
        </is>
      </c>
      <c r="D250" s="1" t="inlineStr">
        <is>
          <t>i7 OS Office</t>
        </is>
      </c>
      <c r="E250" s="1" t="inlineStr">
        <is>
          <t>Thin &amp; Light</t>
        </is>
      </c>
      <c r="F250" s="1" t="inlineStr">
        <is>
          <t>Slim 5</t>
        </is>
      </c>
      <c r="G250" s="1" t="inlineStr">
        <is>
          <t>Slim 5</t>
        </is>
      </c>
      <c r="H250" s="1" t="inlineStr">
        <is>
          <t>Ci7</t>
        </is>
      </c>
      <c r="I250" s="1" t="inlineStr">
        <is>
          <t>13th Gen</t>
        </is>
      </c>
      <c r="J250" s="1" t="inlineStr">
        <is>
          <t>i7-13700H</t>
        </is>
      </c>
      <c r="K250" s="1" t="inlineStr">
        <is>
          <t>16GB</t>
        </is>
      </c>
      <c r="L250" s="1" t="inlineStr">
        <is>
          <t>1TB SSD</t>
        </is>
      </c>
      <c r="M250" s="1" t="inlineStr">
        <is>
          <t>Win11</t>
        </is>
      </c>
      <c r="N250" s="1" t="inlineStr">
        <is>
          <t>Office 2021</t>
        </is>
      </c>
      <c r="O250" s="1" t="inlineStr">
        <is>
          <t>Integrated Intel® Iris® Xe Graphics</t>
        </is>
      </c>
      <c r="P250" s="1" t="inlineStr">
        <is>
          <t>16" 2.5K (2560x1600) IPS 350nits Anti-glare, 100% sRGB, Dolby® Vision™, TÜV Low Blue Light</t>
        </is>
      </c>
      <c r="Q250" s="1" t="inlineStr">
        <is>
          <t>1 Yr. Onsite + 1 Yr. ADP</t>
        </is>
      </c>
      <c r="R250" s="1" t="inlineStr">
        <is>
          <t>Full GTN</t>
        </is>
      </c>
      <c r="S250" s="1" t="n">
        <v>725</v>
      </c>
      <c r="T250" s="2">
        <f>U250*0.965*0.98</f>
        <v/>
      </c>
      <c r="U250" s="13" t="n">
        <v>79844.27966101696</v>
      </c>
      <c r="V250" s="13" t="n">
        <v>0</v>
      </c>
      <c r="W250" s="13" t="n"/>
      <c r="X250" s="13" t="n"/>
      <c r="Y250" s="2">
        <f>(U250*0.88-S250-V250-W250-X250)*1.18/0.92</f>
        <v/>
      </c>
      <c r="Z250" s="1" t="n">
        <v>89190</v>
      </c>
      <c r="AA250" s="5" t="n"/>
      <c r="AB250" s="5" t="n"/>
      <c r="AC250" s="14" t="n">
        <v>89190</v>
      </c>
      <c r="AD250" s="5">
        <f>(Y250-AC250)/1.18*0.92</f>
        <v/>
      </c>
      <c r="AE250" s="5" t="n"/>
      <c r="AF250" s="5">
        <f>W250+X250</f>
        <v/>
      </c>
      <c r="AG250" s="5" t="n"/>
      <c r="AH250" s="13" t="n">
        <v>0</v>
      </c>
      <c r="AI250" s="13" t="n"/>
      <c r="AJ250" s="5" t="n"/>
      <c r="AL250" s="5" t="n"/>
      <c r="AM250" s="5" t="n">
        <v>89190</v>
      </c>
      <c r="AN250" s="5">
        <f>Y250-AM250</f>
        <v/>
      </c>
      <c r="AO250" s="5" t="n"/>
      <c r="AP250" s="5">
        <f>U250-AL250</f>
        <v/>
      </c>
      <c r="AQ250" s="20" t="n">
        <v>0</v>
      </c>
      <c r="AR250" s="20" t="n"/>
      <c r="AT250" s="3" t="n">
        <v>16</v>
      </c>
      <c r="AV250" s="5">
        <f>ROUNDUP((AT250/8)*80,0)</f>
        <v/>
      </c>
      <c r="AX250" s="38">
        <f>AV250*W250</f>
        <v/>
      </c>
      <c r="BA250" s="3" t="n">
        <v>94</v>
      </c>
      <c r="BB250" s="3" t="n">
        <v>38</v>
      </c>
      <c r="BC250" s="3" t="n">
        <v>44</v>
      </c>
      <c r="BD250" s="3">
        <f>BC250+BB250+BA250</f>
        <v/>
      </c>
      <c r="BE250" s="3" t="n">
        <v>465</v>
      </c>
      <c r="BF250" s="3" t="n">
        <v>5</v>
      </c>
      <c r="BH250" s="3">
        <f>ROUNDUP(BD250*1.85,0)</f>
        <v/>
      </c>
      <c r="BJ250" s="38">
        <f>BH250*V250</f>
        <v/>
      </c>
      <c r="BL250" s="3">
        <f>U250*1.18</f>
        <v/>
      </c>
    </row>
    <row r="251">
      <c r="A251" s="1" t="inlineStr">
        <is>
          <t>83E00007IN</t>
        </is>
      </c>
      <c r="B251" s="1">
        <f>IF(BL251&lt;40000,"Entry",IF(BL251&gt;65000,"Premium","Mainstream"))</f>
        <v/>
      </c>
      <c r="C251" s="1" t="inlineStr">
        <is>
          <t>Premium</t>
        </is>
      </c>
      <c r="D251" s="1" t="inlineStr">
        <is>
          <t>i7 OS Office</t>
        </is>
      </c>
      <c r="E251" s="1" t="inlineStr">
        <is>
          <t>Thin &amp; Light</t>
        </is>
      </c>
      <c r="F251" s="1" t="inlineStr">
        <is>
          <t>Yoga Slim 6</t>
        </is>
      </c>
      <c r="G251" s="1" t="inlineStr">
        <is>
          <t>YGS6 14IRH8</t>
        </is>
      </c>
      <c r="H251" s="1" t="inlineStr">
        <is>
          <t>i7</t>
        </is>
      </c>
      <c r="I251" s="1" t="inlineStr">
        <is>
          <t>13th Gen</t>
        </is>
      </c>
      <c r="J251" s="1" t="inlineStr">
        <is>
          <t>i7-13700H</t>
        </is>
      </c>
      <c r="K251" s="1" t="inlineStr">
        <is>
          <t>16GB</t>
        </is>
      </c>
      <c r="L251" s="1" t="inlineStr">
        <is>
          <t>512GB SSD</t>
        </is>
      </c>
      <c r="M251" s="1" t="inlineStr">
        <is>
          <t>Windows 11</t>
        </is>
      </c>
      <c r="N251" s="1" t="inlineStr">
        <is>
          <t>OFFICE 2021</t>
        </is>
      </c>
      <c r="O251" s="1" t="inlineStr">
        <is>
          <t>INTEGRATED_GRAPHICS</t>
        </is>
      </c>
      <c r="P251" s="1" t="inlineStr">
        <is>
          <t>14_WUXGA_OLED_GL_400N</t>
        </is>
      </c>
      <c r="Q251" s="1" t="inlineStr">
        <is>
          <t>1 Yr Onsite + 1 Yr PC</t>
        </is>
      </c>
      <c r="R251" s="1" t="inlineStr">
        <is>
          <t>Full GTN</t>
        </is>
      </c>
      <c r="S251" s="1" t="n">
        <v>0</v>
      </c>
      <c r="T251" s="2">
        <f>U251*0.965*0.98</f>
        <v/>
      </c>
      <c r="U251" s="13" t="n">
        <v>82556.77966101696</v>
      </c>
      <c r="V251" s="13" t="n">
        <v>0</v>
      </c>
      <c r="W251" s="13" t="n"/>
      <c r="X251" s="13" t="n"/>
      <c r="Y251" s="2">
        <f>(U251*0.88-S251-V251-W251-X251)*1.18/0.92</f>
        <v/>
      </c>
      <c r="Z251" s="2" t="n">
        <v>93190</v>
      </c>
      <c r="AA251" s="5" t="n"/>
      <c r="AB251" s="5" t="n"/>
      <c r="AC251" s="14" t="n">
        <v>93190</v>
      </c>
      <c r="AD251" s="5">
        <f>(Y251-AC251)/1.18*0.92</f>
        <v/>
      </c>
      <c r="AE251" s="5" t="n"/>
      <c r="AF251" s="5">
        <f>W251+X251</f>
        <v/>
      </c>
      <c r="AG251" s="5" t="n"/>
      <c r="AH251" s="13" t="n">
        <v>0</v>
      </c>
      <c r="AI251" s="13" t="n"/>
      <c r="AJ251" s="5" t="n"/>
      <c r="AL251" s="5" t="n"/>
      <c r="AM251" s="5" t="n">
        <v>93181.47826086957</v>
      </c>
      <c r="AN251" s="5">
        <f>Y251-AM251</f>
        <v/>
      </c>
      <c r="AO251" s="5" t="n"/>
      <c r="AP251" s="5">
        <f>U251-AL251</f>
        <v/>
      </c>
      <c r="AQ251" s="20" t="n">
        <v>0</v>
      </c>
      <c r="AR251" s="20" t="n"/>
      <c r="AT251" s="3" t="n">
        <v>4</v>
      </c>
      <c r="AV251" s="5">
        <f>ROUNDUP((AT251/8)*80,0)</f>
        <v/>
      </c>
      <c r="AX251" s="38">
        <f>AV251*W251</f>
        <v/>
      </c>
      <c r="BA251" s="3" t="n">
        <v>14</v>
      </c>
      <c r="BB251" s="3" t="n">
        <v>19</v>
      </c>
      <c r="BC251" s="3" t="n">
        <v>112</v>
      </c>
      <c r="BD251" s="3">
        <f>BC251+BB251+BA251</f>
        <v/>
      </c>
      <c r="BE251" s="3" t="n">
        <v>55</v>
      </c>
      <c r="BF251" s="3" t="n">
        <v>0</v>
      </c>
      <c r="BH251" s="3">
        <f>ROUNDUP(BD251*1.85,0)</f>
        <v/>
      </c>
      <c r="BJ251" s="38">
        <f>BH251*V251</f>
        <v/>
      </c>
      <c r="BL251" s="3">
        <f>U251*1.18</f>
        <v/>
      </c>
    </row>
    <row r="252" ht="12.75" customHeight="1">
      <c r="A252" s="24" t="inlineStr">
        <is>
          <t>83CV002DIN</t>
        </is>
      </c>
      <c r="B252" s="1">
        <f>IF(BL252&lt;40000,"Entry",IF(BL252&gt;65000,"Premium","Mainstream"))</f>
        <v/>
      </c>
      <c r="C252" s="1" t="inlineStr">
        <is>
          <t>Premium</t>
        </is>
      </c>
      <c r="D252" s="1" t="inlineStr">
        <is>
          <t>CORE ULT7 OS Office</t>
        </is>
      </c>
      <c r="E252" s="4" t="inlineStr">
        <is>
          <t>Thin &amp; Light</t>
        </is>
      </c>
      <c r="F252" s="1" t="inlineStr">
        <is>
          <t>Yoga Slim 7</t>
        </is>
      </c>
      <c r="G252" s="1" t="inlineStr">
        <is>
          <t>Yoga Slim 7 IMH9</t>
        </is>
      </c>
      <c r="H252" s="1" t="inlineStr">
        <is>
          <t>CORE_ULT7_155H</t>
        </is>
      </c>
      <c r="I252" s="1" t="inlineStr">
        <is>
          <t>Ultra</t>
        </is>
      </c>
      <c r="J252" s="1" t="inlineStr">
        <is>
          <t>CORE_ULT7_155H</t>
        </is>
      </c>
      <c r="K252" s="4" t="inlineStr">
        <is>
          <t>32GB</t>
        </is>
      </c>
      <c r="L252" s="1" t="inlineStr">
        <is>
          <t>1TB SSD</t>
        </is>
      </c>
      <c r="M252" s="4" t="inlineStr">
        <is>
          <t>Windows 11</t>
        </is>
      </c>
      <c r="N252" s="4" t="inlineStr">
        <is>
          <t>Office 2021</t>
        </is>
      </c>
      <c r="O252" s="1" t="inlineStr">
        <is>
          <t>ARC_A530M_4GB_G6_128B</t>
        </is>
      </c>
      <c r="P252" s="1" t="inlineStr">
        <is>
          <t>14_WUXGA_OLED_GL_400N_HDR_P3</t>
        </is>
      </c>
      <c r="Q252" s="4" t="inlineStr">
        <is>
          <t>1 Yr Onsite + 1 Yr PC</t>
        </is>
      </c>
      <c r="R252" s="27" t="inlineStr">
        <is>
          <t>Full GTN</t>
        </is>
      </c>
      <c r="S252" s="1" t="n">
        <v>1881</v>
      </c>
      <c r="T252" s="2">
        <f>U252*0.965*0.98</f>
        <v/>
      </c>
      <c r="U252" s="13" t="n">
        <v>100472.2650231125</v>
      </c>
      <c r="V252" s="14" t="n">
        <v>2339</v>
      </c>
      <c r="W252" s="13" t="n"/>
      <c r="X252" s="13" t="n"/>
      <c r="Y252" s="2">
        <f>(U252*0.88-S252-V252-W252-X252)*1.18/0.92</f>
        <v/>
      </c>
      <c r="Z252" s="1" t="n">
        <v>107990</v>
      </c>
      <c r="AA252" s="5" t="n"/>
      <c r="AB252" s="5" t="n"/>
      <c r="AC252" s="14" t="n">
        <v>107990</v>
      </c>
      <c r="AD252" s="5">
        <f>(Y252-AC252)/1.18*0.92</f>
        <v/>
      </c>
      <c r="AE252" s="31" t="n"/>
      <c r="AF252" s="5">
        <f>W252+X252</f>
        <v/>
      </c>
      <c r="AG252" s="31" t="n"/>
      <c r="AH252" s="14" t="n">
        <v>2339</v>
      </c>
      <c r="AI252" s="13" t="n">
        <v>0</v>
      </c>
      <c r="AJ252" s="31" t="n"/>
      <c r="AL252" s="5" t="n"/>
      <c r="AM252" s="5" t="n">
        <v>103990.0000000001</v>
      </c>
      <c r="AN252" s="5">
        <f>Y252-AM252</f>
        <v/>
      </c>
      <c r="AO252" s="5" t="n"/>
      <c r="AP252" s="5">
        <f>U252-AL252</f>
        <v/>
      </c>
      <c r="AQ252" s="19" t="n">
        <v>0</v>
      </c>
      <c r="AR252" s="19" t="n">
        <v>0</v>
      </c>
      <c r="AT252" s="3" t="n">
        <v>3</v>
      </c>
      <c r="AV252" s="5">
        <f>ROUNDUP((AT252/8)*80,0)</f>
        <v/>
      </c>
      <c r="AX252" s="38">
        <f>AV252*W252</f>
        <v/>
      </c>
      <c r="BA252" s="3" t="n">
        <v>0</v>
      </c>
      <c r="BB252" s="3" t="n">
        <v>0</v>
      </c>
      <c r="BC252" s="3" t="n">
        <v>21</v>
      </c>
      <c r="BD252" s="3">
        <f>BC252+BB252+BA252</f>
        <v/>
      </c>
      <c r="BE252" s="3" t="n">
        <v>112</v>
      </c>
      <c r="BF252" s="3" t="n">
        <v>3</v>
      </c>
      <c r="BH252" s="3">
        <f>ROUNDUP(BD252*1.85,0)</f>
        <v/>
      </c>
      <c r="BJ252" s="38">
        <f>BH252*V252</f>
        <v/>
      </c>
      <c r="BL252" s="3">
        <f>U252*1.18</f>
        <v/>
      </c>
    </row>
    <row r="253" ht="12.75" customHeight="1">
      <c r="A253" s="10" t="inlineStr">
        <is>
          <t>83D2001GIN</t>
        </is>
      </c>
      <c r="B253" s="1">
        <f>IF(BL253&lt;40000,"Entry",IF(BL253&gt;65000,"Premium","Mainstream"))</f>
        <v/>
      </c>
      <c r="C253" s="1" t="inlineStr">
        <is>
          <t>Premium</t>
        </is>
      </c>
      <c r="D253" s="1" t="inlineStr">
        <is>
          <t>CORE_ULT9_185H</t>
        </is>
      </c>
      <c r="E253" s="1" t="inlineStr">
        <is>
          <t>Thin &amp; Light</t>
        </is>
      </c>
      <c r="F253" s="1" t="inlineStr">
        <is>
          <t>IP Pro 5</t>
        </is>
      </c>
      <c r="G253" s="1" t="inlineStr">
        <is>
          <t>IP Pro 5 14IMH9</t>
        </is>
      </c>
      <c r="H253" s="10" t="inlineStr">
        <is>
          <t>CORE_ULT9_185H</t>
        </is>
      </c>
      <c r="I253" s="1" t="inlineStr">
        <is>
          <t>Ultra</t>
        </is>
      </c>
      <c r="J253" s="10" t="inlineStr">
        <is>
          <t>CORE_ULT9_185H</t>
        </is>
      </c>
      <c r="K253" s="1" t="inlineStr">
        <is>
          <t>32GB</t>
        </is>
      </c>
      <c r="L253" s="11" t="inlineStr">
        <is>
          <t>1TB SSD</t>
        </is>
      </c>
      <c r="M253" s="1" t="inlineStr">
        <is>
          <t>Windows 11</t>
        </is>
      </c>
      <c r="N253" s="1" t="inlineStr">
        <is>
          <t>OFFICE 2021</t>
        </is>
      </c>
      <c r="O253" s="10" t="inlineStr">
        <is>
          <t>INTEGRATED_GRAPHICS</t>
        </is>
      </c>
      <c r="P253" s="10" t="inlineStr">
        <is>
          <t>14_2.8K_OLED_GL400N_120_HD</t>
        </is>
      </c>
      <c r="Q253" s="1" t="inlineStr">
        <is>
          <t>1 Year onsite + 1 year PC</t>
        </is>
      </c>
      <c r="R253" s="1" t="inlineStr">
        <is>
          <t>Full GTN</t>
        </is>
      </c>
      <c r="S253" s="10" t="n">
        <v>725</v>
      </c>
      <c r="T253" s="2">
        <f>U253*0.965*0.98</f>
        <v/>
      </c>
      <c r="U253" s="13" t="n">
        <v>100044.6070878274</v>
      </c>
      <c r="V253" s="13" t="n">
        <v>2339</v>
      </c>
      <c r="W253" s="13" t="n"/>
      <c r="X253" s="13" t="n"/>
      <c r="Y253" s="2">
        <f>(U253*0.88-S253-V253-W253-X253)*1.18/0.92</f>
        <v/>
      </c>
      <c r="Z253" s="15" t="n">
        <v>108990</v>
      </c>
      <c r="AA253" s="5" t="n"/>
      <c r="AB253" s="5" t="n"/>
      <c r="AC253" s="14" t="n">
        <v>108990</v>
      </c>
      <c r="AD253" s="5">
        <f>(Y253-AC253)/1.18*0.92</f>
        <v/>
      </c>
      <c r="AF253" s="5">
        <f>W253+X253</f>
        <v/>
      </c>
      <c r="AH253" s="13" t="n">
        <v>2339</v>
      </c>
      <c r="AI253" s="13" t="n"/>
      <c r="AL253" s="5" t="n"/>
      <c r="AM253" s="5" t="n">
        <v>108990</v>
      </c>
      <c r="AN253" s="5">
        <f>Y253-AM253</f>
        <v/>
      </c>
      <c r="AO253" s="5" t="n"/>
      <c r="AP253" s="5">
        <f>U253-AL253</f>
        <v/>
      </c>
      <c r="AQ253" s="1" t="n"/>
      <c r="AR253" s="1" t="n"/>
      <c r="AT253" s="3" t="n">
        <v>0</v>
      </c>
      <c r="AV253" s="5">
        <f>ROUNDUP((AT253/8)*80,0)</f>
        <v/>
      </c>
      <c r="AX253" s="38">
        <f>AV253*W253</f>
        <v/>
      </c>
      <c r="BA253" s="3" t="n">
        <v>0</v>
      </c>
      <c r="BB253" s="3" t="n">
        <v>0</v>
      </c>
      <c r="BC253" s="3" t="n">
        <v>0</v>
      </c>
      <c r="BD253" s="3">
        <f>BC253+BB253+BA253</f>
        <v/>
      </c>
      <c r="BE253" s="3" t="n">
        <v>26</v>
      </c>
      <c r="BF253" s="3" t="n">
        <v>931</v>
      </c>
      <c r="BH253" s="3">
        <f>ROUNDUP(BD253*1.85,0)</f>
        <v/>
      </c>
      <c r="BJ253" s="38">
        <f>BH253*V253</f>
        <v/>
      </c>
      <c r="BL253" s="3">
        <f>U253*1.18</f>
        <v/>
      </c>
    </row>
    <row r="254">
      <c r="A254" s="1" t="inlineStr">
        <is>
          <t>83AQ005SIN</t>
        </is>
      </c>
      <c r="B254" s="1">
        <f>IF(BL254&lt;40000,"Entry",IF(BL254&gt;65000,"Premium","Mainstream"))</f>
        <v/>
      </c>
      <c r="C254" s="1" t="inlineStr">
        <is>
          <t>Premium</t>
        </is>
      </c>
      <c r="D254" s="1" t="inlineStr">
        <is>
          <t>i7 OS 6GB Graphics Office</t>
        </is>
      </c>
      <c r="E254" s="1" t="inlineStr">
        <is>
          <t>Thin &amp; Light</t>
        </is>
      </c>
      <c r="F254" s="1" t="inlineStr">
        <is>
          <t>Slim 5 Pro</t>
        </is>
      </c>
      <c r="G254" s="4" t="inlineStr">
        <is>
          <t>IPPro5 16IRH8</t>
        </is>
      </c>
      <c r="H254" s="1" t="inlineStr">
        <is>
          <t>i7</t>
        </is>
      </c>
      <c r="I254" s="1" t="inlineStr">
        <is>
          <t>13th Gen</t>
        </is>
      </c>
      <c r="J254" s="4" t="inlineStr">
        <is>
          <t>i7-13700H</t>
        </is>
      </c>
      <c r="K254" s="4" t="inlineStr">
        <is>
          <t>16GB</t>
        </is>
      </c>
      <c r="L254" s="4" t="inlineStr">
        <is>
          <t>1TB SSD</t>
        </is>
      </c>
      <c r="M254" s="4" t="inlineStr">
        <is>
          <t>Windows 11</t>
        </is>
      </c>
      <c r="N254" s="4" t="inlineStr">
        <is>
          <t>Office 2021</t>
        </is>
      </c>
      <c r="O254" s="4" t="inlineStr">
        <is>
          <t>RTX_3050_6GB_G6_96B</t>
        </is>
      </c>
      <c r="P254" s="4" t="inlineStr">
        <is>
          <t>16_WQXGA_AG_350N_120_N_SRGB</t>
        </is>
      </c>
      <c r="Q254" s="1" t="inlineStr">
        <is>
          <t>1 Yr Onsite + 1 Yr PC</t>
        </is>
      </c>
      <c r="R254" s="1" t="inlineStr">
        <is>
          <t>Full GTN</t>
        </is>
      </c>
      <c r="S254" s="1" t="n">
        <v>0</v>
      </c>
      <c r="T254" s="2">
        <f>U254*0.965*0.98</f>
        <v/>
      </c>
      <c r="U254" s="13" t="n">
        <v>96739.98459167952</v>
      </c>
      <c r="V254" s="13" t="n">
        <v>0</v>
      </c>
      <c r="W254" s="13" t="n"/>
      <c r="X254" s="13" t="n"/>
      <c r="Y254" s="2">
        <f>(U254*0.88-S254-V254-W254-X254)*1.18/0.92</f>
        <v/>
      </c>
      <c r="Z254" s="2" t="n">
        <v>109190</v>
      </c>
      <c r="AA254" s="5" t="n"/>
      <c r="AB254" s="5" t="n"/>
      <c r="AC254" s="14" t="n">
        <v>109190</v>
      </c>
      <c r="AD254" s="5">
        <f>(Y254-AC254)/1.18*0.92</f>
        <v/>
      </c>
      <c r="AE254" s="5" t="n"/>
      <c r="AF254" s="5">
        <f>W254+X254</f>
        <v/>
      </c>
      <c r="AG254" s="5" t="n"/>
      <c r="AH254" s="13" t="n">
        <v>0</v>
      </c>
      <c r="AI254" s="13" t="n"/>
      <c r="AJ254" s="5" t="n"/>
      <c r="AL254" s="5" t="n"/>
      <c r="AM254" s="5" t="n">
        <v>109190</v>
      </c>
      <c r="AN254" s="5">
        <f>Y254-AM254</f>
        <v/>
      </c>
      <c r="AO254" s="5" t="n"/>
      <c r="AP254" s="5">
        <f>U254-AL254</f>
        <v/>
      </c>
      <c r="AQ254" s="20" t="n">
        <v>0</v>
      </c>
      <c r="AR254" s="20" t="n"/>
      <c r="AT254" s="3" t="n">
        <v>6</v>
      </c>
      <c r="AV254" s="5">
        <f>ROUNDUP((AT254/8)*80,0)</f>
        <v/>
      </c>
      <c r="AX254" s="38">
        <f>AV254*W254</f>
        <v/>
      </c>
      <c r="BA254" s="3" t="n">
        <v>15</v>
      </c>
      <c r="BB254" s="3" t="n">
        <v>11</v>
      </c>
      <c r="BC254" s="3" t="n">
        <v>2</v>
      </c>
      <c r="BD254" s="3">
        <f>BC254+BB254+BA254</f>
        <v/>
      </c>
      <c r="BE254" s="3" t="n">
        <v>55</v>
      </c>
      <c r="BF254" s="3" t="n">
        <v>8</v>
      </c>
      <c r="BH254" s="3">
        <f>ROUNDUP(BD254*1.85,0)</f>
        <v/>
      </c>
      <c r="BJ254" s="38">
        <f>BH254*V254</f>
        <v/>
      </c>
      <c r="BL254" s="3">
        <f>U254*1.18</f>
        <v/>
      </c>
    </row>
    <row r="255">
      <c r="A255" s="1" t="inlineStr">
        <is>
          <t>82YM0075IN</t>
        </is>
      </c>
      <c r="B255" s="1">
        <f>IF(BL255&lt;40000,"Entry",IF(BL255&gt;65000,"Premium","Mainstream"))</f>
        <v/>
      </c>
      <c r="C255" s="1" t="inlineStr">
        <is>
          <t>Premium</t>
        </is>
      </c>
      <c r="D255" s="1" t="inlineStr">
        <is>
          <t>R7 OS Office</t>
        </is>
      </c>
      <c r="E255" s="1" t="inlineStr">
        <is>
          <t>Convertible</t>
        </is>
      </c>
      <c r="F255" s="1" t="inlineStr">
        <is>
          <t>Yoga 7</t>
        </is>
      </c>
      <c r="G255" s="1" t="inlineStr">
        <is>
          <t>YG7 14ARP8</t>
        </is>
      </c>
      <c r="H255" s="1" t="inlineStr">
        <is>
          <t>R7</t>
        </is>
      </c>
      <c r="I255" s="1" t="inlineStr">
        <is>
          <t>7XXXU</t>
        </is>
      </c>
      <c r="J255" s="1" t="inlineStr">
        <is>
          <t>R7-7735U</t>
        </is>
      </c>
      <c r="K255" s="1" t="inlineStr">
        <is>
          <t>16GB</t>
        </is>
      </c>
      <c r="L255" s="1" t="inlineStr">
        <is>
          <t>512GB SSD</t>
        </is>
      </c>
      <c r="M255" s="1" t="inlineStr">
        <is>
          <t>Windows 11</t>
        </is>
      </c>
      <c r="N255" s="1" t="inlineStr">
        <is>
          <t>Office 2021</t>
        </is>
      </c>
      <c r="O255" s="1" t="inlineStr">
        <is>
          <t>INTEGRATED_GRAPHICS</t>
        </is>
      </c>
      <c r="P255" s="1" t="inlineStr">
        <is>
          <t>14" WUXGA (1920x1200) OLED 400nits Glossy, 100% DCI-P3, 60Hz, Dolby® Vision™</t>
        </is>
      </c>
      <c r="Q255" s="1" t="inlineStr">
        <is>
          <t>1 Yr Onsite + 1 Yr PC</t>
        </is>
      </c>
      <c r="R255" s="1" t="inlineStr">
        <is>
          <t>Full GTN</t>
        </is>
      </c>
      <c r="S255" s="1" t="n">
        <v>1881</v>
      </c>
      <c r="T255" s="2">
        <f>U255*0.98*0.965</f>
        <v/>
      </c>
      <c r="U255" s="13" t="n">
        <v>85587.80816640981</v>
      </c>
      <c r="V255" s="14" t="n">
        <v>0</v>
      </c>
      <c r="W255" s="13" t="n"/>
      <c r="X255" s="13" t="n"/>
      <c r="Y255" s="2">
        <f>(U255*0.88-S255-V255-W255-X255)*1.18/0.92</f>
        <v/>
      </c>
      <c r="Z255" s="2" t="n">
        <v>94190</v>
      </c>
      <c r="AA255" s="5" t="n"/>
      <c r="AB255" s="5" t="n"/>
      <c r="AC255" s="14" t="n">
        <v>0</v>
      </c>
      <c r="AD255" s="5">
        <f>(Y255-AC255)/1.18*0.92</f>
        <v/>
      </c>
      <c r="AF255" s="5">
        <f>W255+X255</f>
        <v/>
      </c>
      <c r="AH255" s="14" t="n">
        <v>0</v>
      </c>
      <c r="AI255" s="13" t="n"/>
      <c r="AL255" s="5" t="n"/>
      <c r="AM255" s="5" t="n">
        <v>94189.99999999994</v>
      </c>
      <c r="AN255" s="5">
        <f>Y255-AM255</f>
        <v/>
      </c>
      <c r="AO255" s="5" t="n"/>
      <c r="AP255" s="5" t="n"/>
      <c r="AQ255" s="20" t="n">
        <v>0</v>
      </c>
      <c r="AR255" s="20" t="n"/>
      <c r="AT255" s="3" t="n">
        <v>0</v>
      </c>
      <c r="AV255" s="5">
        <f>ROUNDUP((AT255/8)*80,0)</f>
        <v/>
      </c>
      <c r="AX255" s="38">
        <f>AV255*W255</f>
        <v/>
      </c>
      <c r="BA255" s="3" t="n">
        <v>0</v>
      </c>
      <c r="BB255" s="3" t="n">
        <v>0</v>
      </c>
      <c r="BC255" s="3" t="n">
        <v>0</v>
      </c>
      <c r="BD255" s="3">
        <f>BC255+BB255+BA255</f>
        <v/>
      </c>
      <c r="BE255" s="3" t="n">
        <v>217</v>
      </c>
      <c r="BF255" s="3" t="n">
        <v>14</v>
      </c>
      <c r="BH255" s="3">
        <f>ROUNDUP(BD255*1.85,0)</f>
        <v/>
      </c>
      <c r="BJ255" s="38">
        <f>BH255*V255</f>
        <v/>
      </c>
      <c r="BL255" s="3">
        <f>U255*1.18</f>
        <v/>
      </c>
    </row>
    <row r="256">
      <c r="A256" s="1" t="inlineStr">
        <is>
          <t>82R900ELIN</t>
        </is>
      </c>
      <c r="B256" s="1">
        <f>IF(BL256&lt;40000,"Entry",IF(BL256&gt;65000,"Premium","Mainstream"))</f>
        <v/>
      </c>
      <c r="C256" s="1" t="inlineStr">
        <is>
          <t>Premium</t>
        </is>
      </c>
      <c r="D256" s="1" t="inlineStr">
        <is>
          <t>R7 OS Office</t>
        </is>
      </c>
      <c r="E256" s="1" t="inlineStr">
        <is>
          <t>Convertible</t>
        </is>
      </c>
      <c r="F256" s="1" t="inlineStr">
        <is>
          <t>Flex 5</t>
        </is>
      </c>
      <c r="G256" s="1" t="inlineStr">
        <is>
          <t>IdeaPad Flex 5 14ALC7</t>
        </is>
      </c>
      <c r="H256" s="1" t="inlineStr">
        <is>
          <t>R7</t>
        </is>
      </c>
      <c r="I256" s="1" t="inlineStr">
        <is>
          <t>5XXXU</t>
        </is>
      </c>
      <c r="J256" s="1" t="inlineStr">
        <is>
          <t>Ryzen 7 5700U</t>
        </is>
      </c>
      <c r="K256" s="1" t="inlineStr">
        <is>
          <t>16GB</t>
        </is>
      </c>
      <c r="L256" s="1" t="inlineStr">
        <is>
          <t>512GB SSD</t>
        </is>
      </c>
      <c r="M256" s="1" t="inlineStr">
        <is>
          <t>Win11</t>
        </is>
      </c>
      <c r="N256" s="1" t="inlineStr">
        <is>
          <t>Office 2021</t>
        </is>
      </c>
      <c r="O256" s="1" t="inlineStr">
        <is>
          <t>INTEGRATED_GRAPHICS</t>
        </is>
      </c>
      <c r="P256" s="1" t="inlineStr">
        <is>
          <t>14_WUXGA_GL_300N_MT_N_G</t>
        </is>
      </c>
      <c r="Q256" s="1" t="inlineStr">
        <is>
          <t>1 Yr Onsite + 1 Yr PC</t>
        </is>
      </c>
      <c r="R256" s="1" t="inlineStr">
        <is>
          <t>Full GTN</t>
        </is>
      </c>
      <c r="S256" s="1" t="n">
        <v>0</v>
      </c>
      <c r="T256" s="2">
        <f>U256*0.98*0.965</f>
        <v/>
      </c>
      <c r="U256" s="13" t="n">
        <v>57579.73805855162</v>
      </c>
      <c r="V256" s="14" t="n"/>
      <c r="W256" s="13" t="n"/>
      <c r="X256" s="13" t="n"/>
      <c r="Y256" s="2">
        <f>(U256*0.88-S256-V256-W256-X256)*1.18/0.92</f>
        <v/>
      </c>
      <c r="Z256" s="1" t="n">
        <v>64990</v>
      </c>
      <c r="AA256" s="5" t="n"/>
      <c r="AB256" s="5" t="n"/>
      <c r="AC256" s="14" t="n">
        <v>0</v>
      </c>
      <c r="AD256" s="5">
        <f>(Y256-AC256)/1.18*0.92</f>
        <v/>
      </c>
      <c r="AF256" s="5">
        <f>W256+X256</f>
        <v/>
      </c>
      <c r="AH256" s="14" t="n"/>
      <c r="AI256" s="13" t="n"/>
      <c r="AL256" s="5" t="n"/>
      <c r="AM256" s="5" t="n">
        <v>64181.02086956521</v>
      </c>
      <c r="AN256" s="5">
        <f>Y256-AM256</f>
        <v/>
      </c>
      <c r="AO256" s="5" t="n"/>
      <c r="AP256" s="5" t="n"/>
      <c r="AQ256" s="22" t="n"/>
      <c r="AR256" s="22" t="n"/>
      <c r="AT256" s="3" t="n">
        <v>0</v>
      </c>
      <c r="AV256" s="5">
        <f>ROUNDUP((AT256/8)*80,0)</f>
        <v/>
      </c>
      <c r="AX256" s="38">
        <f>AV256*W256</f>
        <v/>
      </c>
      <c r="BA256" s="3" t="n">
        <v>78</v>
      </c>
      <c r="BB256" s="3" t="n">
        <v>9</v>
      </c>
      <c r="BC256" s="3" t="n">
        <v>-25</v>
      </c>
      <c r="BD256" s="3">
        <f>BC256+BB256+BA256</f>
        <v/>
      </c>
      <c r="BE256" s="3" t="n">
        <v>338</v>
      </c>
      <c r="BF256" s="3" t="n">
        <v>0</v>
      </c>
      <c r="BH256" s="3">
        <f>ROUNDUP(BD256*1.85,0)</f>
        <v/>
      </c>
      <c r="BJ256" s="38">
        <f>BH256*V256</f>
        <v/>
      </c>
      <c r="BL256" s="3">
        <f>U256*1.18</f>
        <v/>
      </c>
    </row>
    <row r="257">
      <c r="A257" s="1" t="inlineStr">
        <is>
          <t>82R9005JIN</t>
        </is>
      </c>
      <c r="B257" s="1">
        <f>IF(BL257&lt;40000,"Entry",IF(BL257&gt;65000,"Premium","Mainstream"))</f>
        <v/>
      </c>
      <c r="C257" s="1" t="inlineStr">
        <is>
          <t>Premium</t>
        </is>
      </c>
      <c r="D257" s="1" t="inlineStr">
        <is>
          <t>R5 OS Office</t>
        </is>
      </c>
      <c r="E257" s="1" t="inlineStr">
        <is>
          <t>Convertible</t>
        </is>
      </c>
      <c r="F257" s="1" t="inlineStr">
        <is>
          <t>Flex 5</t>
        </is>
      </c>
      <c r="G257" s="1" t="inlineStr">
        <is>
          <t>IdeaPad Flex 5 14ALC7</t>
        </is>
      </c>
      <c r="H257" s="1" t="inlineStr">
        <is>
          <t>R5</t>
        </is>
      </c>
      <c r="I257" s="1" t="inlineStr">
        <is>
          <t>5XXXU</t>
        </is>
      </c>
      <c r="J257" s="1" t="inlineStr">
        <is>
          <t>R5-5500U</t>
        </is>
      </c>
      <c r="K257" s="1" t="inlineStr">
        <is>
          <t>16GB</t>
        </is>
      </c>
      <c r="L257" s="1" t="inlineStr">
        <is>
          <t>512GB SSD</t>
        </is>
      </c>
      <c r="M257" s="1" t="inlineStr">
        <is>
          <t>Win11</t>
        </is>
      </c>
      <c r="N257" s="1" t="inlineStr">
        <is>
          <t>Office 2021</t>
        </is>
      </c>
      <c r="O257" s="1" t="inlineStr">
        <is>
          <t>INTEGRATED_GRAPHICS</t>
        </is>
      </c>
      <c r="P257" s="1" t="inlineStr">
        <is>
          <t>14_WUXGA_GL_300N_MT_N_G</t>
        </is>
      </c>
      <c r="Q257" s="1" t="inlineStr">
        <is>
          <t>1 Yr Onsite + 1 Yr PC</t>
        </is>
      </c>
      <c r="R257" s="1" t="inlineStr">
        <is>
          <t>Full GTN</t>
        </is>
      </c>
      <c r="S257" s="1" t="n">
        <v>725</v>
      </c>
      <c r="T257" s="2">
        <f>U257*0.98*0.965</f>
        <v/>
      </c>
      <c r="U257" s="13" t="n">
        <v>55745.66640986133</v>
      </c>
      <c r="V257" s="14" t="n"/>
      <c r="W257" s="13" t="n"/>
      <c r="X257" s="13" t="n"/>
      <c r="Y257" s="2">
        <f>(U257*0.88-S257-V257-W257-X257)*1.18/0.92</f>
        <v/>
      </c>
      <c r="Z257" s="1" t="n">
        <v>61990</v>
      </c>
      <c r="AA257" s="5" t="n"/>
      <c r="AB257" s="5" t="n"/>
      <c r="AC257" s="14" t="n">
        <v>0</v>
      </c>
      <c r="AD257" s="5">
        <f>(Y257-AC257)/1.18*0.92</f>
        <v/>
      </c>
      <c r="AF257" s="5">
        <f>W257+X257</f>
        <v/>
      </c>
      <c r="AH257" s="14" t="n"/>
      <c r="AI257" s="13" t="n"/>
      <c r="AL257" s="5" t="n"/>
      <c r="AM257" s="5" t="n">
        <v>59990.00000000004</v>
      </c>
      <c r="AN257" s="5">
        <f>Y257-AM257</f>
        <v/>
      </c>
      <c r="AO257" s="5" t="n"/>
      <c r="AP257" s="5" t="n"/>
      <c r="AQ257" s="22" t="n"/>
      <c r="AR257" s="22" t="n"/>
      <c r="AT257" s="3" t="n">
        <v>0</v>
      </c>
      <c r="AV257" s="5">
        <f>ROUNDUP((AT257/8)*80,0)</f>
        <v/>
      </c>
      <c r="AX257" s="38">
        <f>AV257*W257</f>
        <v/>
      </c>
      <c r="BA257" s="3" t="n">
        <v>0</v>
      </c>
      <c r="BB257" s="3" t="n">
        <v>0</v>
      </c>
      <c r="BC257" s="3" t="n">
        <v>0</v>
      </c>
      <c r="BD257" s="3">
        <f>BC257+BB257+BA257</f>
        <v/>
      </c>
      <c r="BE257" s="3" t="n">
        <v>875</v>
      </c>
      <c r="BF257" s="3" t="n">
        <v>0</v>
      </c>
      <c r="BH257" s="3">
        <f>ROUNDUP(BD257*1.85,0)</f>
        <v/>
      </c>
      <c r="BJ257" s="38">
        <f>BH257*V257</f>
        <v/>
      </c>
      <c r="BL257" s="3">
        <f>U257*1.18</f>
        <v/>
      </c>
    </row>
    <row r="258">
      <c r="A258" s="1" t="inlineStr">
        <is>
          <t>82U90080IN</t>
        </is>
      </c>
      <c r="B258" s="1">
        <f>IF(BL258&lt;40000,"Entry",IF(BL258&gt;65000,"Premium","Mainstream"))</f>
        <v/>
      </c>
      <c r="C258" s="1" t="inlineStr">
        <is>
          <t>Premium</t>
        </is>
      </c>
      <c r="D258" s="1" t="inlineStr">
        <is>
          <t>i7 OS Office</t>
        </is>
      </c>
      <c r="E258" s="1" t="inlineStr">
        <is>
          <t>Thin &amp; Light</t>
        </is>
      </c>
      <c r="F258" s="1" t="inlineStr">
        <is>
          <t>Yoga Slim 7C</t>
        </is>
      </c>
      <c r="G258" s="1" t="inlineStr">
        <is>
          <t>YGS7Carbon 13IAP7</t>
        </is>
      </c>
      <c r="H258" s="1" t="inlineStr">
        <is>
          <t>i7</t>
        </is>
      </c>
      <c r="I258" s="1" t="inlineStr">
        <is>
          <t>12th Gen</t>
        </is>
      </c>
      <c r="J258" s="1" t="inlineStr">
        <is>
          <t>i7-1260P</t>
        </is>
      </c>
      <c r="K258" s="24" t="inlineStr">
        <is>
          <t>16GB</t>
        </is>
      </c>
      <c r="L258" s="24" t="inlineStr">
        <is>
          <t>1TB SSD</t>
        </is>
      </c>
      <c r="M258" s="1" t="inlineStr">
        <is>
          <t>Windows 11</t>
        </is>
      </c>
      <c r="N258" s="1" t="inlineStr">
        <is>
          <t>Office 2021</t>
        </is>
      </c>
      <c r="O258" s="1" t="inlineStr">
        <is>
          <t>INTEGRATED_GRAPHICS</t>
        </is>
      </c>
      <c r="P258" s="1" t="inlineStr">
        <is>
          <t>13.3_WQXGA_AG400N_90_MT_N_SRGB</t>
        </is>
      </c>
      <c r="Q258" s="1" t="inlineStr">
        <is>
          <t>3 Yr Warranty + 1 Yr PC + 1 Yr AD</t>
        </is>
      </c>
      <c r="R258" s="1" t="inlineStr">
        <is>
          <t>Full GTN</t>
        </is>
      </c>
      <c r="S258" s="25" t="n">
        <v>1881</v>
      </c>
      <c r="T258" s="2">
        <f>U258*0.965*0.98</f>
        <v/>
      </c>
      <c r="U258" s="13" t="n">
        <v>111855.9322033898</v>
      </c>
      <c r="V258" s="13" t="n">
        <v>0</v>
      </c>
      <c r="W258" s="13" t="n">
        <v>3001</v>
      </c>
      <c r="X258" s="13" t="n"/>
      <c r="Y258" s="2">
        <f>(U258*0.88-S258-V258-W258-X258)*1.18/0.92</f>
        <v/>
      </c>
      <c r="Z258" s="1" t="n">
        <v>119990</v>
      </c>
      <c r="AA258" s="5" t="n"/>
      <c r="AB258" s="5" t="n"/>
      <c r="AC258" s="14" t="n">
        <v>119990</v>
      </c>
      <c r="AD258" s="5">
        <f>(Y258-AC258)/1.18*0.92</f>
        <v/>
      </c>
      <c r="AE258" s="5" t="n"/>
      <c r="AF258" s="5">
        <f>W258+X258</f>
        <v/>
      </c>
      <c r="AG258" s="5" t="n"/>
      <c r="AH258" s="13" t="n">
        <v>0</v>
      </c>
      <c r="AI258" s="13" t="n">
        <v>3000.694915254237</v>
      </c>
      <c r="AJ258" s="5" t="n"/>
      <c r="AL258" s="5" t="n"/>
      <c r="AM258" s="5" t="n">
        <v>119990</v>
      </c>
      <c r="AN258" s="5">
        <f>Y258-AM258</f>
        <v/>
      </c>
      <c r="AO258" s="5" t="n"/>
      <c r="AP258" s="5">
        <f>U258-AL258</f>
        <v/>
      </c>
      <c r="AQ258" s="20" t="n">
        <v>0</v>
      </c>
      <c r="AR258" s="20" t="n">
        <v>3000.694915254237</v>
      </c>
      <c r="AT258" s="3" t="n">
        <v>1</v>
      </c>
      <c r="AV258" s="5">
        <f>ROUNDUP((AT258/8)*80,0)</f>
        <v/>
      </c>
      <c r="AX258" s="38">
        <f>AV258*W258</f>
        <v/>
      </c>
      <c r="BA258" s="3" t="n">
        <v>0</v>
      </c>
      <c r="BB258" s="3" t="n">
        <v>0</v>
      </c>
      <c r="BC258" s="3" t="n">
        <v>0</v>
      </c>
      <c r="BD258" s="3">
        <f>BC258+BB258+BA258</f>
        <v/>
      </c>
      <c r="BE258" s="3" t="n">
        <v>0</v>
      </c>
      <c r="BF258" s="3" t="n">
        <v>0</v>
      </c>
      <c r="BH258" s="3">
        <f>ROUNDUP(BD258*1.85,0)</f>
        <v/>
      </c>
      <c r="BJ258" s="38">
        <f>BH258*V258</f>
        <v/>
      </c>
      <c r="BL258" s="3">
        <f>U258*1.18</f>
        <v/>
      </c>
    </row>
    <row r="259">
      <c r="A259" s="1" t="inlineStr">
        <is>
          <t>82VG00J5IN</t>
        </is>
      </c>
      <c r="B259" s="1">
        <f>IF(BL259&lt;40000,"Entry",IF(BL259&gt;65000,"Premium","Mainstream"))</f>
        <v/>
      </c>
      <c r="C259" s="1" t="inlineStr">
        <is>
          <t>Mainstream</t>
        </is>
      </c>
      <c r="D259" s="1" t="inlineStr">
        <is>
          <t>R5 OS Office</t>
        </is>
      </c>
      <c r="E259" s="1" t="inlineStr">
        <is>
          <t>Thin &amp; Light</t>
        </is>
      </c>
      <c r="F259" s="1" t="inlineStr">
        <is>
          <t>Slim 1</t>
        </is>
      </c>
      <c r="G259" s="1" t="inlineStr">
        <is>
          <t>IP1 15AMN7</t>
        </is>
      </c>
      <c r="H259" s="1" t="inlineStr">
        <is>
          <t>R5</t>
        </is>
      </c>
      <c r="I259" s="1" t="inlineStr">
        <is>
          <t>7XXXU</t>
        </is>
      </c>
      <c r="J259" s="1" t="inlineStr">
        <is>
          <t>R5-7520U</t>
        </is>
      </c>
      <c r="K259" s="1" t="inlineStr">
        <is>
          <t>8GB</t>
        </is>
      </c>
      <c r="L259" s="1" t="inlineStr">
        <is>
          <t>512GB SSD</t>
        </is>
      </c>
      <c r="M259" s="1" t="inlineStr">
        <is>
          <t>Windows 11</t>
        </is>
      </c>
      <c r="N259" s="1" t="inlineStr">
        <is>
          <t>Office 2021</t>
        </is>
      </c>
      <c r="O259" s="1" t="inlineStr">
        <is>
          <t>INTEGRATED_GRAPHICS</t>
        </is>
      </c>
      <c r="P259" s="1" t="inlineStr">
        <is>
          <t>15.6HD_TN_AG_220N_N</t>
        </is>
      </c>
      <c r="Q259" s="1" t="inlineStr">
        <is>
          <t>1 Yr. Onsite + 1 Yr. ADP</t>
        </is>
      </c>
      <c r="R259" s="1" t="inlineStr">
        <is>
          <t>Full GTN</t>
        </is>
      </c>
      <c r="S259" s="1" t="n">
        <v>0</v>
      </c>
      <c r="T259" s="2" t="n">
        <v>39012.9621</v>
      </c>
      <c r="U259" s="13" t="n">
        <v>41253</v>
      </c>
      <c r="V259" s="13" t="n">
        <v>444</v>
      </c>
      <c r="W259" s="13" t="n">
        <v>3143</v>
      </c>
      <c r="X259" s="13" t="n"/>
      <c r="Y259" s="2">
        <f>(U259*0.89-S259-V259-W259-X259)*1.18/0.92</f>
        <v/>
      </c>
      <c r="Z259" s="18">
        <f>AC259</f>
        <v/>
      </c>
      <c r="AA259" s="5" t="inlineStr">
        <is>
          <t>Ok</t>
        </is>
      </c>
      <c r="AB259" s="5" t="n"/>
      <c r="AC259" s="14" t="n">
        <v>42490</v>
      </c>
      <c r="AD259" s="5">
        <f>(Y259-AC259)/1.18*0.92</f>
        <v/>
      </c>
      <c r="AE259" s="5" t="n"/>
      <c r="AF259" s="5">
        <f>W259+X259</f>
        <v/>
      </c>
      <c r="AG259" s="5" t="n"/>
      <c r="AH259" s="13" t="n">
        <v>444</v>
      </c>
      <c r="AI259" s="13" t="n">
        <v>3143</v>
      </c>
      <c r="AJ259" s="5" t="n"/>
      <c r="AL259" s="5" t="n"/>
      <c r="AM259" s="5" t="n">
        <v>41990.46739130434</v>
      </c>
      <c r="AN259" s="5">
        <f>Y259-AM259</f>
        <v/>
      </c>
      <c r="AO259" s="5" t="n"/>
      <c r="AP259" s="5">
        <f>U259-AL259</f>
        <v/>
      </c>
      <c r="AQ259" s="20" t="n">
        <v>0</v>
      </c>
      <c r="AR259" s="20" t="n">
        <v>3143</v>
      </c>
      <c r="AT259" s="3" t="n">
        <v>0</v>
      </c>
      <c r="AV259" s="5">
        <f>ROUNDUP((AT259/8)*80,0)</f>
        <v/>
      </c>
      <c r="AX259" s="38">
        <f>AV259*W259</f>
        <v/>
      </c>
      <c r="BA259" s="3" t="n">
        <v>0</v>
      </c>
      <c r="BB259" s="3" t="n">
        <v>0</v>
      </c>
      <c r="BC259" s="3" t="n">
        <v>0</v>
      </c>
      <c r="BD259" s="3">
        <f>BC259+BB259+BA259</f>
        <v/>
      </c>
      <c r="BE259" s="3" t="n">
        <v>374</v>
      </c>
      <c r="BF259" s="3" t="n">
        <v>0</v>
      </c>
      <c r="BH259" s="3">
        <f>ROUNDUP(BD259*1.85,0)</f>
        <v/>
      </c>
      <c r="BJ259" s="38">
        <f>BH259*V259</f>
        <v/>
      </c>
      <c r="BL259" s="3">
        <f>U259*1.18</f>
        <v/>
      </c>
    </row>
    <row r="260">
      <c r="A260" s="24" t="inlineStr">
        <is>
          <t>82K101M5IN</t>
        </is>
      </c>
      <c r="B260" s="1">
        <f>IF(BL260&lt;40000,"Entry",IF(BL260&gt;65000,"Premium","Mainstream"))</f>
        <v/>
      </c>
      <c r="C260" s="1" t="inlineStr">
        <is>
          <t>Premium</t>
        </is>
      </c>
      <c r="D260" s="1" t="inlineStr">
        <is>
          <t>i5 OS 4GB Graphics Office</t>
        </is>
      </c>
      <c r="E260" s="4" t="inlineStr">
        <is>
          <t>Gaming</t>
        </is>
      </c>
      <c r="F260" s="1" t="inlineStr">
        <is>
          <t>IP Gaming 3</t>
        </is>
      </c>
      <c r="G260" s="1" t="inlineStr">
        <is>
          <t>IdeaPad Gaming 3 15IHU6</t>
        </is>
      </c>
      <c r="H260" s="4" t="inlineStr">
        <is>
          <t>i5</t>
        </is>
      </c>
      <c r="I260" s="4" t="inlineStr">
        <is>
          <t>11th Gen</t>
        </is>
      </c>
      <c r="J260" s="4" t="inlineStr">
        <is>
          <t>i5-11320H</t>
        </is>
      </c>
      <c r="K260" s="4" t="inlineStr">
        <is>
          <t>16GB</t>
        </is>
      </c>
      <c r="L260" s="4" t="inlineStr">
        <is>
          <t>512GB SSD</t>
        </is>
      </c>
      <c r="M260" s="4" t="inlineStr">
        <is>
          <t>Windows 11</t>
        </is>
      </c>
      <c r="N260" s="4" t="inlineStr">
        <is>
          <t>Office 2021</t>
        </is>
      </c>
      <c r="O260" s="1" t="inlineStr">
        <is>
          <t>GTX 1650 4GB</t>
        </is>
      </c>
      <c r="P260" s="4" t="inlineStr">
        <is>
          <t>15.6FHD_AG_250N_120_N</t>
        </is>
      </c>
      <c r="Q260" s="4" t="inlineStr">
        <is>
          <t>1 Yr Onsite</t>
        </is>
      </c>
      <c r="R260" s="4" t="inlineStr">
        <is>
          <t>Full GTN</t>
        </is>
      </c>
      <c r="S260" s="4" t="n">
        <v>725</v>
      </c>
      <c r="T260" s="18" t="n">
        <v>52245.91779661017</v>
      </c>
      <c r="U260" s="13" t="n">
        <v>55245.76271186441</v>
      </c>
      <c r="V260" s="14" t="n">
        <v>0</v>
      </c>
      <c r="W260" s="13" t="n">
        <v>5018</v>
      </c>
      <c r="X260" s="13" t="n">
        <v>3898.016949152543</v>
      </c>
      <c r="Y260" s="2">
        <f>(U260*0.88-S260-V260-W260-X260)*1.18/0.92</f>
        <v/>
      </c>
      <c r="Z260" s="1" t="n">
        <v>49990</v>
      </c>
      <c r="AA260" s="5" t="n"/>
      <c r="AB260" s="5" t="n"/>
      <c r="AC260" s="14" t="n">
        <v>49990</v>
      </c>
      <c r="AD260" s="5">
        <f>(Y260-AC260)/1.18*0.92</f>
        <v/>
      </c>
      <c r="AE260" s="5" t="n"/>
      <c r="AF260" s="5">
        <f>W260+X260</f>
        <v/>
      </c>
      <c r="AH260" s="14" t="n">
        <v>0</v>
      </c>
      <c r="AI260" s="13" t="n">
        <v>5018</v>
      </c>
      <c r="AL260" s="5" t="n"/>
      <c r="AM260" s="5" t="n">
        <v>54989.63043478261</v>
      </c>
      <c r="AN260" s="5">
        <f>Y260-AM260</f>
        <v/>
      </c>
      <c r="AO260" s="5" t="n"/>
      <c r="AP260" s="5">
        <f>U260-AL260</f>
        <v/>
      </c>
      <c r="AQ260" s="22" t="n">
        <v>0</v>
      </c>
      <c r="AR260" s="22" t="n">
        <v>5018</v>
      </c>
      <c r="AT260" s="3" t="n">
        <v>3</v>
      </c>
      <c r="AV260" s="5">
        <f>ROUNDUP((AT260/8)*80,0)</f>
        <v/>
      </c>
      <c r="AX260" s="38">
        <f>AV260*W260</f>
        <v/>
      </c>
      <c r="BA260" s="3" t="n">
        <v>0</v>
      </c>
      <c r="BB260" s="3" t="n">
        <v>94</v>
      </c>
      <c r="BC260" s="3" t="n">
        <v>0</v>
      </c>
      <c r="BD260" s="3">
        <f>BC260+BB260+BA260</f>
        <v/>
      </c>
      <c r="BE260" s="3" t="n">
        <v>298</v>
      </c>
      <c r="BF260" s="3" t="n">
        <v>0</v>
      </c>
      <c r="BH260" s="3">
        <f>ROUNDUP(BD260*1.85,0)</f>
        <v/>
      </c>
      <c r="BJ260" s="38">
        <f>BH260*V260</f>
        <v/>
      </c>
      <c r="BL260" s="3">
        <f>U260*1.18</f>
        <v/>
      </c>
    </row>
    <row r="261">
      <c r="A261" s="24" t="inlineStr">
        <is>
          <t>82K2025XIN</t>
        </is>
      </c>
      <c r="B261" s="1">
        <f>IF(BL261&lt;40000,"Entry",IF(BL261&gt;65000,"Premium","Mainstream"))</f>
        <v/>
      </c>
      <c r="C261" s="1" t="inlineStr">
        <is>
          <t>Premium</t>
        </is>
      </c>
      <c r="D261" s="1" t="inlineStr">
        <is>
          <t>R5 OS 4GB Graphics Office</t>
        </is>
      </c>
      <c r="E261" s="4" t="inlineStr">
        <is>
          <t>Gaming</t>
        </is>
      </c>
      <c r="F261" s="1" t="inlineStr">
        <is>
          <t>IP Gaming 3</t>
        </is>
      </c>
      <c r="G261" s="1" t="inlineStr">
        <is>
          <t>IdeaPad Gaming 3 15ACH6</t>
        </is>
      </c>
      <c r="H261" s="4" t="inlineStr">
        <is>
          <t>R5</t>
        </is>
      </c>
      <c r="I261" s="4" t="inlineStr">
        <is>
          <t>5XXXH</t>
        </is>
      </c>
      <c r="J261" s="4" t="inlineStr">
        <is>
          <t>R5-5600H</t>
        </is>
      </c>
      <c r="K261" s="4" t="inlineStr">
        <is>
          <t>16GB</t>
        </is>
      </c>
      <c r="L261" s="4" t="inlineStr">
        <is>
          <t>512GB SSD</t>
        </is>
      </c>
      <c r="M261" s="4" t="inlineStr">
        <is>
          <t>Windows 11</t>
        </is>
      </c>
      <c r="N261" s="4" t="inlineStr">
        <is>
          <t>Office 2021</t>
        </is>
      </c>
      <c r="O261" s="1" t="inlineStr">
        <is>
          <t>GTX 1650 4GB</t>
        </is>
      </c>
      <c r="P261" s="4" t="inlineStr">
        <is>
          <t>15.6FHD_AG_250N_120_N</t>
        </is>
      </c>
      <c r="Q261" s="4" t="inlineStr">
        <is>
          <t xml:space="preserve">1 Yr Onsite </t>
        </is>
      </c>
      <c r="R261" s="4" t="inlineStr">
        <is>
          <t>Full GTN</t>
        </is>
      </c>
      <c r="S261" s="4" t="n">
        <v>725</v>
      </c>
      <c r="T261" s="18" t="n">
        <v>53688.3347</v>
      </c>
      <c r="U261" s="32" t="n">
        <v>56771</v>
      </c>
      <c r="V261" s="14" t="n">
        <v>0</v>
      </c>
      <c r="W261" s="13" t="n">
        <v>6360</v>
      </c>
      <c r="X261" s="13" t="n">
        <v>3898.225762711866</v>
      </c>
      <c r="Y261" s="2">
        <f>(U261*0.88-S261-V261-W261-X261)*1.18/0.92</f>
        <v/>
      </c>
      <c r="Z261" s="1" t="n">
        <v>49990</v>
      </c>
      <c r="AA261" s="5" t="n"/>
      <c r="AB261" s="5" t="n"/>
      <c r="AC261" s="14" t="n">
        <v>49990</v>
      </c>
      <c r="AD261" s="5">
        <f>(Y261-AC261)/1.18*0.92</f>
        <v/>
      </c>
      <c r="AE261" s="5" t="n"/>
      <c r="AF261" s="5">
        <f>W261+X261</f>
        <v/>
      </c>
      <c r="AH261" s="14" t="n">
        <v>0</v>
      </c>
      <c r="AI261" s="13" t="n">
        <v>6360</v>
      </c>
      <c r="AL261" s="5" t="n"/>
      <c r="AM261" s="5" t="n">
        <v>54989.89826086957</v>
      </c>
      <c r="AN261" s="5">
        <f>Y261-AM261</f>
        <v/>
      </c>
      <c r="AO261" s="5" t="n"/>
      <c r="AP261" s="5">
        <f>U261-AL261</f>
        <v/>
      </c>
      <c r="AQ261" s="22" t="n">
        <v>0</v>
      </c>
      <c r="AR261" s="22" t="n">
        <v>6360</v>
      </c>
      <c r="AT261" s="3" t="n">
        <v>1</v>
      </c>
      <c r="AV261" s="5">
        <f>ROUNDUP((AT261/8)*80,0)</f>
        <v/>
      </c>
      <c r="AX261" s="38">
        <f>AV261*W261</f>
        <v/>
      </c>
      <c r="BA261" s="3" t="n">
        <v>0</v>
      </c>
      <c r="BB261" s="3" t="n">
        <v>38</v>
      </c>
      <c r="BC261" s="3" t="n">
        <v>-2</v>
      </c>
      <c r="BD261" s="3">
        <f>BC261+BB261+BA261</f>
        <v/>
      </c>
      <c r="BE261" s="3" t="n">
        <v>2</v>
      </c>
      <c r="BF261" s="3" t="n">
        <v>0</v>
      </c>
      <c r="BH261" s="3">
        <f>ROUNDUP(BD261*1.85,0)</f>
        <v/>
      </c>
      <c r="BJ261" s="38">
        <f>BH261*V261</f>
        <v/>
      </c>
      <c r="BL261" s="3">
        <f>U261*1.18</f>
        <v/>
      </c>
    </row>
    <row r="262">
      <c r="A262" s="1" t="inlineStr">
        <is>
          <t>83FQ002QIN</t>
        </is>
      </c>
      <c r="B262" s="1">
        <f>IF(BL262&lt;40000,"Entry",IF(BL262&gt;65000,"Premium","Mainstream"))</f>
        <v/>
      </c>
      <c r="C262" s="1" t="inlineStr">
        <is>
          <t>Premium</t>
        </is>
      </c>
      <c r="D262" s="1" t="inlineStr">
        <is>
          <t>i5  4GB Graphics Office</t>
        </is>
      </c>
      <c r="E262" s="1" t="inlineStr">
        <is>
          <t>Gaming</t>
        </is>
      </c>
      <c r="F262" s="1" t="inlineStr">
        <is>
          <t>LOQ</t>
        </is>
      </c>
      <c r="G262" s="1" t="inlineStr">
        <is>
          <t>LOQ 15IAX9I</t>
        </is>
      </c>
      <c r="H262" s="1" t="inlineStr">
        <is>
          <t>i5</t>
        </is>
      </c>
      <c r="I262" s="1" t="inlineStr">
        <is>
          <t>12th Gen</t>
        </is>
      </c>
      <c r="J262" s="1" t="inlineStr">
        <is>
          <t>i5 12450HX</t>
        </is>
      </c>
      <c r="K262" s="1" t="inlineStr">
        <is>
          <t>8 GB</t>
        </is>
      </c>
      <c r="L262" s="1" t="inlineStr">
        <is>
          <t>512GB SSD</t>
        </is>
      </c>
      <c r="M262" s="1" t="inlineStr">
        <is>
          <t>Windows 11</t>
        </is>
      </c>
      <c r="N262" s="1" t="inlineStr">
        <is>
          <t>OFFICE_TRIAL</t>
        </is>
      </c>
      <c r="O262" s="1" t="inlineStr">
        <is>
          <t>ARC A530M</t>
        </is>
      </c>
      <c r="P262" s="1" t="inlineStr">
        <is>
          <t>15.6_FHD_AG_300N_144_SRGB</t>
        </is>
      </c>
      <c r="Q262" s="1" t="inlineStr">
        <is>
          <t>1 Yr Onsite</t>
        </is>
      </c>
      <c r="R262" s="1" t="inlineStr">
        <is>
          <t>Zero GTN</t>
        </is>
      </c>
      <c r="S262" s="1" t="n">
        <v>725</v>
      </c>
      <c r="T262" s="18">
        <f>U262*0.98*0.98</f>
        <v/>
      </c>
      <c r="U262" s="13" t="n">
        <v>48466.10169491525</v>
      </c>
      <c r="V262" s="14" t="n">
        <v>0</v>
      </c>
      <c r="W262" s="13" t="n">
        <v>0</v>
      </c>
      <c r="X262" s="13" t="n"/>
      <c r="Y262" s="2">
        <f>(U262*0.98-S262-V262-W262-X262)*1.18/0.92</f>
        <v/>
      </c>
      <c r="Z262" s="1" t="n">
        <v>59990</v>
      </c>
      <c r="AA262" s="5" t="n"/>
      <c r="AB262" s="5" t="n"/>
      <c r="AC262" s="14" t="n">
        <v>59990</v>
      </c>
      <c r="AD262" s="5">
        <f>(Y262-AC262)/1.18*0.92</f>
        <v/>
      </c>
      <c r="AE262" s="5" t="n"/>
      <c r="AF262" s="5">
        <f>W262+X262</f>
        <v/>
      </c>
      <c r="AG262" s="5" t="n"/>
      <c r="AH262" s="14" t="n">
        <v>0</v>
      </c>
      <c r="AI262" s="13" t="n"/>
      <c r="AJ262" s="5" t="n"/>
      <c r="AL262" s="5" t="n"/>
      <c r="AM262" s="5" t="n">
        <v>59989.89130434782</v>
      </c>
      <c r="AN262" s="5">
        <f>Y262-AM262</f>
        <v/>
      </c>
      <c r="AO262" s="5" t="n"/>
      <c r="AP262" s="5">
        <f>U262-AL262</f>
        <v/>
      </c>
      <c r="AQ262" s="20" t="n">
        <v>0</v>
      </c>
      <c r="AR262" s="20" t="n"/>
      <c r="AT262" s="3" t="n">
        <v>0</v>
      </c>
      <c r="AV262" s="5">
        <f>ROUNDUP((AT262/8)*80,0)</f>
        <v/>
      </c>
      <c r="AX262" s="38">
        <f>AV262*W262</f>
        <v/>
      </c>
      <c r="BA262" s="3" t="n">
        <v>0</v>
      </c>
      <c r="BB262" s="3" t="n">
        <v>0</v>
      </c>
      <c r="BC262" s="3" t="n">
        <v>0</v>
      </c>
      <c r="BD262" s="3">
        <f>BC262+BB262+BA262</f>
        <v/>
      </c>
      <c r="BE262" s="3" t="n">
        <v>654</v>
      </c>
      <c r="BF262" s="3" t="n">
        <v>0</v>
      </c>
      <c r="BH262" s="3">
        <f>ROUNDUP(BD262*1.85,0)</f>
        <v/>
      </c>
      <c r="BJ262" s="38">
        <f>BH262*V262</f>
        <v/>
      </c>
      <c r="BL262" s="3">
        <f>U262*1.18</f>
        <v/>
      </c>
    </row>
    <row r="263">
      <c r="A263" s="1" t="inlineStr">
        <is>
          <t>83AY003CIN</t>
        </is>
      </c>
      <c r="B263" s="1">
        <f>IF(BL263&lt;40000,"Entry",IF(BL263&gt;65000,"Premium","Mainstream"))</f>
        <v/>
      </c>
      <c r="C263" s="1" t="inlineStr">
        <is>
          <t>Premium</t>
        </is>
      </c>
      <c r="D263" s="1" t="inlineStr">
        <is>
          <t>i7 OS Office</t>
        </is>
      </c>
      <c r="E263" s="1" t="inlineStr">
        <is>
          <t>Thin &amp; Light</t>
        </is>
      </c>
      <c r="F263" s="1" t="inlineStr">
        <is>
          <t>Yoga Slim 7C</t>
        </is>
      </c>
      <c r="G263" s="1" t="inlineStr">
        <is>
          <t>Yoga Slim 7C</t>
        </is>
      </c>
      <c r="H263" s="1" t="inlineStr">
        <is>
          <t>Ci7</t>
        </is>
      </c>
      <c r="I263" s="1" t="inlineStr">
        <is>
          <t>13th Gen</t>
        </is>
      </c>
      <c r="J263" s="1" t="inlineStr">
        <is>
          <t>i7-1360P</t>
        </is>
      </c>
      <c r="K263" s="1" t="inlineStr">
        <is>
          <t>16GB</t>
        </is>
      </c>
      <c r="L263" s="1" t="inlineStr">
        <is>
          <t>1TB SSD</t>
        </is>
      </c>
      <c r="M263" s="1" t="inlineStr">
        <is>
          <t>Win11</t>
        </is>
      </c>
      <c r="N263" s="1" t="inlineStr">
        <is>
          <t>Office 2021</t>
        </is>
      </c>
      <c r="O263" s="1" t="inlineStr">
        <is>
          <t>Integrated Intel® Iris® Xe Graphics</t>
        </is>
      </c>
      <c r="P263" s="1" t="inlineStr">
        <is>
          <t>13.3" 2.5K (2560x1600) IPS 400nits Anti-glare / Anti-fingerprint, 100% sRGB, 90Hz, Eyesafe®, Dolby® Vision™, Touch, TCON</t>
        </is>
      </c>
      <c r="Q263" s="1" t="inlineStr">
        <is>
          <t>1 Yr. Onsite + 1 Yr. ADP</t>
        </is>
      </c>
      <c r="R263" s="1" t="inlineStr">
        <is>
          <t>Full GTN</t>
        </is>
      </c>
      <c r="S263" s="1" t="n">
        <v>1881</v>
      </c>
      <c r="T263" s="2">
        <f>U263*0.965*0.98</f>
        <v/>
      </c>
      <c r="U263" s="13" t="n">
        <v>111281.1825885978</v>
      </c>
      <c r="V263" s="13" t="n">
        <v>0</v>
      </c>
      <c r="W263" s="13" t="n"/>
      <c r="X263" s="13" t="n"/>
      <c r="Y263" s="2">
        <f>(U263*0.88-S263-V263-W263-X263)*1.18/0.92</f>
        <v/>
      </c>
      <c r="Z263" s="1" t="n">
        <v>123190</v>
      </c>
      <c r="AA263" s="5" t="n"/>
      <c r="AB263" s="5" t="n"/>
      <c r="AC263" s="14" t="n">
        <v>123190</v>
      </c>
      <c r="AD263" s="5">
        <f>(Y263-AC263)/1.18*0.92</f>
        <v/>
      </c>
      <c r="AE263" s="37" t="n"/>
      <c r="AF263" s="5">
        <f>W263+X263</f>
        <v/>
      </c>
      <c r="AG263" s="37" t="n"/>
      <c r="AH263" s="13" t="n">
        <v>0</v>
      </c>
      <c r="AI263" s="13" t="n"/>
      <c r="AJ263" s="5" t="n"/>
      <c r="AL263" s="5" t="n"/>
      <c r="AM263" s="5" t="n">
        <v>123190</v>
      </c>
      <c r="AN263" s="5">
        <f>Y263-AM263</f>
        <v/>
      </c>
      <c r="AO263" s="5" t="n"/>
      <c r="AP263" s="5">
        <f>U263-AL263</f>
        <v/>
      </c>
      <c r="AQ263" s="20" t="n">
        <v>0</v>
      </c>
      <c r="AR263" s="20" t="n"/>
      <c r="AT263" s="3" t="n">
        <v>1</v>
      </c>
      <c r="AV263" s="5">
        <f>ROUNDUP((AT263/8)*80,0)</f>
        <v/>
      </c>
      <c r="AX263" s="38">
        <f>AV263*W263</f>
        <v/>
      </c>
      <c r="BA263" s="3" t="n">
        <v>7</v>
      </c>
      <c r="BB263" s="3" t="n">
        <v>21</v>
      </c>
      <c r="BC263" s="3" t="n">
        <v>0</v>
      </c>
      <c r="BD263" s="3">
        <f>BC263+BB263+BA263</f>
        <v/>
      </c>
      <c r="BE263" s="3" t="n">
        <v>57</v>
      </c>
      <c r="BF263" s="3" t="n">
        <v>32</v>
      </c>
      <c r="BH263" s="3">
        <f>ROUNDUP(BD263*1.85,0)</f>
        <v/>
      </c>
      <c r="BJ263" s="38">
        <f>BH263*V263</f>
        <v/>
      </c>
      <c r="BL263" s="3">
        <f>U263*1.18</f>
        <v/>
      </c>
    </row>
    <row r="264">
      <c r="A264" s="1" t="inlineStr">
        <is>
          <t>82YM004TIN</t>
        </is>
      </c>
      <c r="B264" s="1">
        <f>IF(BL264&lt;40000,"Entry",IF(BL264&gt;65000,"Premium","Mainstream"))</f>
        <v/>
      </c>
      <c r="C264" s="1" t="inlineStr">
        <is>
          <t>Premium</t>
        </is>
      </c>
      <c r="D264" s="1" t="inlineStr">
        <is>
          <t>R7 OS Office</t>
        </is>
      </c>
      <c r="E264" s="1" t="inlineStr">
        <is>
          <t>Convertible</t>
        </is>
      </c>
      <c r="F264" s="1" t="inlineStr">
        <is>
          <t>Yoga 7</t>
        </is>
      </c>
      <c r="G264" s="1" t="inlineStr">
        <is>
          <t>YG7 14ARP8</t>
        </is>
      </c>
      <c r="H264" s="1" t="inlineStr">
        <is>
          <t>R7</t>
        </is>
      </c>
      <c r="I264" s="1" t="inlineStr">
        <is>
          <t>7XXXU</t>
        </is>
      </c>
      <c r="J264" s="1" t="inlineStr">
        <is>
          <t>R7-7735U</t>
        </is>
      </c>
      <c r="K264" s="1" t="inlineStr">
        <is>
          <t>16GB</t>
        </is>
      </c>
      <c r="L264" s="1" t="inlineStr">
        <is>
          <t>512GB SSD</t>
        </is>
      </c>
      <c r="M264" s="1" t="inlineStr">
        <is>
          <t>Windows 11</t>
        </is>
      </c>
      <c r="N264" s="1" t="inlineStr">
        <is>
          <t>Office 2021</t>
        </is>
      </c>
      <c r="O264" s="1" t="inlineStr">
        <is>
          <t>INTEGRATED_GRAPHICS</t>
        </is>
      </c>
      <c r="P264" s="1" t="inlineStr">
        <is>
          <t>14_2.8K_OLED_GL400N_MT_90_P3_G</t>
        </is>
      </c>
      <c r="Q264" s="1" t="inlineStr">
        <is>
          <t>1 Yr Onsite + 1 Yr PC</t>
        </is>
      </c>
      <c r="R264" s="1" t="inlineStr">
        <is>
          <t>Full GTN</t>
        </is>
      </c>
      <c r="S264" s="1" t="n">
        <v>1881</v>
      </c>
      <c r="T264" s="2">
        <f>U264*0.965*0.98</f>
        <v/>
      </c>
      <c r="U264" s="13" t="n">
        <v>83638.65562403695</v>
      </c>
      <c r="V264" s="14" t="n"/>
      <c r="W264" s="13" t="n"/>
      <c r="X264" s="13" t="n"/>
      <c r="Y264" s="2">
        <f>(U264*0.88-S264-V264-W264-X264)*1.18/0.92</f>
        <v/>
      </c>
      <c r="Z264" s="2" t="n">
        <v>91990</v>
      </c>
      <c r="AA264" s="5" t="n"/>
      <c r="AB264" s="5" t="n"/>
      <c r="AC264" s="14" t="n">
        <v>0</v>
      </c>
      <c r="AD264" s="5">
        <f>(Y264-AC264)/1.18*0.92</f>
        <v/>
      </c>
      <c r="AF264" s="5">
        <f>W264+X264</f>
        <v/>
      </c>
      <c r="AH264" s="14" t="n"/>
      <c r="AI264" s="13" t="n"/>
      <c r="AL264" s="5" t="n"/>
      <c r="AM264" s="5" t="n">
        <v>91989.99999999996</v>
      </c>
      <c r="AN264" s="5">
        <f>Y264-AM264</f>
        <v/>
      </c>
      <c r="AO264" s="5" t="n"/>
      <c r="AP264" s="5" t="n"/>
      <c r="AQ264" s="20" t="n"/>
      <c r="AR264" s="22" t="n"/>
      <c r="AT264" s="3" t="n">
        <v>0</v>
      </c>
      <c r="AV264" s="5">
        <f>ROUNDUP((AT264/8)*80,0)</f>
        <v/>
      </c>
      <c r="AX264" s="38">
        <f>AV264*W264</f>
        <v/>
      </c>
      <c r="BA264" s="3" t="n">
        <v>0</v>
      </c>
      <c r="BB264" s="3" t="n">
        <v>0</v>
      </c>
      <c r="BC264" s="3" t="n">
        <v>0</v>
      </c>
      <c r="BD264" s="3">
        <f>BC264+BB264+BA264</f>
        <v/>
      </c>
      <c r="BE264" s="3" t="n">
        <v>89</v>
      </c>
      <c r="BF264" s="3" t="n">
        <v>0</v>
      </c>
      <c r="BH264" s="3">
        <f>ROUNDUP(BD264*1.85,0)</f>
        <v/>
      </c>
      <c r="BJ264" s="38">
        <f>BH264*V264</f>
        <v/>
      </c>
      <c r="BL264" s="3">
        <f>U264*1.18</f>
        <v/>
      </c>
    </row>
    <row r="265">
      <c r="A265" s="1" t="inlineStr">
        <is>
          <t>83D4002NIN</t>
        </is>
      </c>
      <c r="B265" s="1">
        <f>IF(BL265&lt;40000,"Entry",IF(BL265&gt;65000,"Premium","Mainstream"))</f>
        <v/>
      </c>
      <c r="C265" s="1" t="inlineStr">
        <is>
          <t>Premium</t>
        </is>
      </c>
      <c r="D265" s="1" t="inlineStr">
        <is>
          <t>CORE_ULT7_155H</t>
        </is>
      </c>
      <c r="E265" s="4" t="inlineStr">
        <is>
          <t>Thin &amp; Light</t>
        </is>
      </c>
      <c r="F265" s="1" t="inlineStr">
        <is>
          <t>IP Pro 5</t>
        </is>
      </c>
      <c r="G265" s="1" t="inlineStr">
        <is>
          <t>IP Pro 5 16IMH9</t>
        </is>
      </c>
      <c r="H265" s="1" t="inlineStr">
        <is>
          <t>CORE_ULT7_155H</t>
        </is>
      </c>
      <c r="I265" s="1" t="inlineStr">
        <is>
          <t>Ultra</t>
        </is>
      </c>
      <c r="J265" s="1" t="inlineStr">
        <is>
          <t>CORE_ULT7_155H</t>
        </is>
      </c>
      <c r="K265" s="1" t="inlineStr">
        <is>
          <t>16GB</t>
        </is>
      </c>
      <c r="L265" s="1" t="inlineStr">
        <is>
          <t>1TB SSD</t>
        </is>
      </c>
      <c r="M265" s="1" t="inlineStr">
        <is>
          <t>Windows 11</t>
        </is>
      </c>
      <c r="N265" s="1" t="inlineStr">
        <is>
          <t>Office 2021</t>
        </is>
      </c>
      <c r="O265" s="1" t="inlineStr">
        <is>
          <t>NVIDIA® GeForce RTX™ 3050 6GB GDDR6</t>
        </is>
      </c>
      <c r="P265" s="1" t="inlineStr">
        <is>
          <t>16" 2K (2048x1280) OLED 400nits Glossy, 100% DCI-P3, 120Hz</t>
        </is>
      </c>
      <c r="Q265" s="1" t="inlineStr">
        <is>
          <t>1 Yr Onsite + 1 Yr PC</t>
        </is>
      </c>
      <c r="R265" s="1" t="inlineStr">
        <is>
          <t>Full GTN</t>
        </is>
      </c>
      <c r="S265" s="1" t="n">
        <v>725</v>
      </c>
      <c r="T265" s="2">
        <f>U265*0.965*0.98</f>
        <v/>
      </c>
      <c r="U265" s="13" t="n">
        <v>110676.3289676425</v>
      </c>
      <c r="V265" s="14" t="n"/>
      <c r="W265" s="14" t="n"/>
      <c r="X265" s="14" t="n"/>
      <c r="Y265" s="2">
        <f>(U265*0.88-S265-V265-W265-X265)*1.18/0.92</f>
        <v/>
      </c>
      <c r="Z265" s="1" t="n">
        <v>123990</v>
      </c>
      <c r="AA265" s="5" t="n"/>
      <c r="AB265" s="5" t="n"/>
      <c r="AC265" s="14" t="n">
        <v>123990</v>
      </c>
      <c r="AD265" s="5">
        <f>(Y265-AC265)/1.18*0.92</f>
        <v/>
      </c>
      <c r="AF265" s="5">
        <f>W265+X265</f>
        <v/>
      </c>
      <c r="AH265" s="14" t="n"/>
      <c r="AI265" s="14" t="n"/>
      <c r="AL265" s="5" t="n"/>
      <c r="AM265" s="5" t="n">
        <v>118990</v>
      </c>
      <c r="AN265" s="5">
        <f>Y265-AM265</f>
        <v/>
      </c>
      <c r="AO265" s="5" t="n"/>
      <c r="AP265" s="5">
        <f>U265-AL265</f>
        <v/>
      </c>
      <c r="AQ265" s="20" t="n"/>
      <c r="AR265" s="22" t="n"/>
      <c r="AT265" s="3" t="n">
        <v>0</v>
      </c>
      <c r="AV265" s="5">
        <f>ROUNDUP((AT265/8)*80,0)</f>
        <v/>
      </c>
      <c r="AX265" s="38">
        <f>AV265*W265</f>
        <v/>
      </c>
      <c r="BA265" s="3" t="n">
        <v>0</v>
      </c>
      <c r="BB265" s="3" t="n">
        <v>0</v>
      </c>
      <c r="BC265" s="3" t="n">
        <v>2</v>
      </c>
      <c r="BD265" s="3">
        <f>BC265+BB265+BA265</f>
        <v/>
      </c>
      <c r="BE265" s="3" t="n">
        <v>9</v>
      </c>
      <c r="BF265" s="3" t="n">
        <v>6</v>
      </c>
      <c r="BH265" s="3">
        <f>ROUNDUP(BD265*1.85,0)</f>
        <v/>
      </c>
      <c r="BJ265" s="38">
        <f>BH265*V265</f>
        <v/>
      </c>
      <c r="BL265" s="3">
        <f>U265*1.18</f>
        <v/>
      </c>
    </row>
    <row r="266">
      <c r="A266" s="4" t="inlineStr">
        <is>
          <t>82TK00AFIN</t>
        </is>
      </c>
      <c r="B266" s="1">
        <f>IF(BL266&lt;40000,"Entry",IF(BL266&gt;65000,"Premium","Mainstream"))</f>
        <v/>
      </c>
      <c r="C266" s="1" t="inlineStr">
        <is>
          <t>Premium</t>
        </is>
      </c>
      <c r="D266" s="1" t="inlineStr">
        <is>
          <t>i7 OS 4GB Graphics Office</t>
        </is>
      </c>
      <c r="E266" s="1" t="inlineStr">
        <is>
          <t>Thin &amp; Light</t>
        </is>
      </c>
      <c r="F266" s="1" t="inlineStr">
        <is>
          <t>Yoga Slim 7 ProX</t>
        </is>
      </c>
      <c r="G266" s="1" t="inlineStr">
        <is>
          <t>Yoga Slim 7 ProX 14IAH7</t>
        </is>
      </c>
      <c r="H266" s="1" t="inlineStr">
        <is>
          <t>i7</t>
        </is>
      </c>
      <c r="I266" s="1" t="inlineStr">
        <is>
          <t>12th Gen</t>
        </is>
      </c>
      <c r="J266" s="1" t="inlineStr">
        <is>
          <t>i7-12700H</t>
        </is>
      </c>
      <c r="K266" s="24" t="inlineStr">
        <is>
          <t>16GB</t>
        </is>
      </c>
      <c r="L266" s="24" t="inlineStr">
        <is>
          <t>1TB SSD</t>
        </is>
      </c>
      <c r="M266" s="1" t="inlineStr">
        <is>
          <t>Windows 11</t>
        </is>
      </c>
      <c r="N266" s="1" t="inlineStr">
        <is>
          <t>OFFICE 2021</t>
        </is>
      </c>
      <c r="O266" s="1" t="inlineStr">
        <is>
          <t>RTX3050_4GB_G6_128B_MAXQ</t>
        </is>
      </c>
      <c r="P266" s="1" t="inlineStr">
        <is>
          <t>14.5_3K_GL_400N_120_MT_SRGB</t>
        </is>
      </c>
      <c r="Q266" s="1" t="inlineStr">
        <is>
          <t>3 Yr Warranty + 1 Yr PC + 1 Yr AD</t>
        </is>
      </c>
      <c r="R266" s="1" t="inlineStr">
        <is>
          <t>Full GTN</t>
        </is>
      </c>
      <c r="S266" s="1" t="n">
        <v>1881</v>
      </c>
      <c r="T266" s="2">
        <f>U266*0.965*0.98</f>
        <v/>
      </c>
      <c r="U266" s="13" t="n">
        <v>137279.6610169492</v>
      </c>
      <c r="V266" s="13" t="n">
        <v>0</v>
      </c>
      <c r="W266" s="13" t="n">
        <v>21474</v>
      </c>
      <c r="X266" s="13" t="n"/>
      <c r="Y266" s="2">
        <f>(U266*0.88-S266-V266-W266-X266)*1.18/0.92</f>
        <v/>
      </c>
      <c r="Z266" s="1" t="n">
        <v>124990</v>
      </c>
      <c r="AA266" s="5" t="n"/>
      <c r="AB266" s="5" t="n"/>
      <c r="AC266" s="14" t="n">
        <v>124990</v>
      </c>
      <c r="AD266" s="5">
        <f>(Y266-AC266)/1.18*0.92</f>
        <v/>
      </c>
      <c r="AE266" s="5" t="n"/>
      <c r="AF266" s="5">
        <f>W266+X266</f>
        <v/>
      </c>
      <c r="AG266" s="5" t="n"/>
      <c r="AH266" s="13" t="n">
        <v>0</v>
      </c>
      <c r="AI266" s="13" t="n">
        <v>21474.49152542374</v>
      </c>
      <c r="AJ266" s="5" t="n"/>
      <c r="AL266" s="5" t="n"/>
      <c r="AM266" s="5" t="n">
        <v>124991</v>
      </c>
      <c r="AN266" s="5">
        <f>Y266-AM266</f>
        <v/>
      </c>
      <c r="AO266" s="5" t="n"/>
      <c r="AP266" s="5">
        <f>U266-AL266</f>
        <v/>
      </c>
      <c r="AQ266" s="20" t="n">
        <v>0</v>
      </c>
      <c r="AR266" s="20" t="n">
        <v>21474.49152542374</v>
      </c>
      <c r="AT266" s="3" t="n">
        <v>0</v>
      </c>
      <c r="AV266" s="5">
        <f>ROUNDUP((AT266/8)*80,0)</f>
        <v/>
      </c>
      <c r="AX266" s="38">
        <f>AV266*W266</f>
        <v/>
      </c>
      <c r="BA266" s="3" t="n">
        <v>0</v>
      </c>
      <c r="BB266" s="3" t="n">
        <v>0</v>
      </c>
      <c r="BC266" s="3" t="n">
        <v>0</v>
      </c>
      <c r="BD266" s="3">
        <f>BC266+BB266+BA266</f>
        <v/>
      </c>
      <c r="BE266" s="3" t="n">
        <v>0</v>
      </c>
      <c r="BF266" s="3" t="n">
        <v>0</v>
      </c>
      <c r="BH266" s="3">
        <f>ROUNDUP(BD266*1.85,0)</f>
        <v/>
      </c>
      <c r="BJ266" s="38">
        <f>BH266*V266</f>
        <v/>
      </c>
      <c r="BL266" s="3">
        <f>U266*1.18</f>
        <v/>
      </c>
    </row>
    <row r="267">
      <c r="A267" s="1" t="inlineStr">
        <is>
          <t>83DG004RIN</t>
        </is>
      </c>
      <c r="B267" s="1">
        <f>IF(BL267&lt;40000,"Entry",IF(BL267&gt;65000,"Premium","Mainstream"))</f>
        <v/>
      </c>
      <c r="C267" s="1" t="inlineStr">
        <is>
          <t>Premium</t>
        </is>
      </c>
      <c r="D267" s="1" t="inlineStr">
        <is>
          <t>i7 OS 6GB GFX Office</t>
        </is>
      </c>
      <c r="E267" s="1" t="inlineStr">
        <is>
          <t>Gaming</t>
        </is>
      </c>
      <c r="F267" s="1" t="inlineStr">
        <is>
          <t>Legion5</t>
        </is>
      </c>
      <c r="G267" s="1" t="inlineStr">
        <is>
          <t>Legion 5 16IRX9</t>
        </is>
      </c>
      <c r="H267" s="1" t="inlineStr">
        <is>
          <t>i7</t>
        </is>
      </c>
      <c r="I267" s="1" t="inlineStr">
        <is>
          <t>14th Gen</t>
        </is>
      </c>
      <c r="J267" s="1" t="inlineStr">
        <is>
          <t>i7 14650HX</t>
        </is>
      </c>
      <c r="K267" s="1" t="inlineStr">
        <is>
          <t>16GB</t>
        </is>
      </c>
      <c r="L267" s="1" t="inlineStr">
        <is>
          <t>1TB SSD</t>
        </is>
      </c>
      <c r="M267" s="1" t="inlineStr">
        <is>
          <t>Windows 11</t>
        </is>
      </c>
      <c r="N267" s="1" t="inlineStr">
        <is>
          <t>Office 2021</t>
        </is>
      </c>
      <c r="O267" s="1" t="inlineStr">
        <is>
          <t>RTX 4050 6GB</t>
        </is>
      </c>
      <c r="P267" s="1" t="inlineStr">
        <is>
          <t>16_WQXGA_AG_350N_165_SRGB</t>
        </is>
      </c>
      <c r="Q267" s="4" t="inlineStr">
        <is>
          <t>1 Yr Onsite + 1 Yr LUS</t>
        </is>
      </c>
      <c r="R267" s="27" t="inlineStr">
        <is>
          <t>Full GTN</t>
        </is>
      </c>
      <c r="S267" s="1" t="n">
        <v>2457</v>
      </c>
      <c r="T267" s="2">
        <f>U267*0.965*0.98</f>
        <v/>
      </c>
      <c r="U267" s="13" t="n">
        <v>115745.4352850538</v>
      </c>
      <c r="V267" s="14" t="n"/>
      <c r="W267" s="13" t="n">
        <v>0</v>
      </c>
      <c r="X267" s="13" t="n"/>
      <c r="Y267" s="2">
        <f>(U267*0.88-S267-V267-W267-X267)*1.18/0.92</f>
        <v/>
      </c>
      <c r="Z267" s="1" t="n">
        <v>127490</v>
      </c>
      <c r="AA267" s="5" t="n"/>
      <c r="AB267" s="5" t="n"/>
      <c r="AC267" s="14" t="n">
        <v>127490</v>
      </c>
      <c r="AD267" s="5">
        <f>(Y267-AC267)/1.18*0.92</f>
        <v/>
      </c>
      <c r="AF267" s="5">
        <f>W267+X267</f>
        <v/>
      </c>
      <c r="AH267" s="14" t="n"/>
      <c r="AI267" s="14" t="n"/>
      <c r="AL267" s="5" t="n"/>
      <c r="AM267" s="5" t="n">
        <v>127489.9999999999</v>
      </c>
      <c r="AN267" s="5">
        <f>Y267-AM267</f>
        <v/>
      </c>
      <c r="AO267" s="5" t="n"/>
      <c r="AP267" s="5">
        <f>U267-AL267</f>
        <v/>
      </c>
      <c r="AQ267" s="20" t="n"/>
      <c r="AR267" s="22" t="n"/>
      <c r="AT267" s="3" t="n">
        <v>0</v>
      </c>
      <c r="AV267" s="5">
        <f>ROUNDUP((AT267/8)*80,0)</f>
        <v/>
      </c>
      <c r="AX267" s="38">
        <f>AV267*W267</f>
        <v/>
      </c>
      <c r="BA267" s="3" t="n">
        <v>0</v>
      </c>
      <c r="BB267" s="3" t="n">
        <v>0</v>
      </c>
      <c r="BC267" s="3" t="n">
        <v>0</v>
      </c>
      <c r="BD267" s="3">
        <f>BC267+BB267+BA267</f>
        <v/>
      </c>
      <c r="BE267" s="3" t="n">
        <v>580</v>
      </c>
      <c r="BF267" s="3" t="n">
        <v>6</v>
      </c>
      <c r="BH267" s="3">
        <f>ROUNDUP(BD267*1.85,0)</f>
        <v/>
      </c>
      <c r="BJ267" s="38">
        <f>BH267*V267</f>
        <v/>
      </c>
      <c r="BL267" s="3">
        <f>U267*1.18</f>
        <v/>
      </c>
    </row>
    <row r="268">
      <c r="A268" s="1" t="inlineStr">
        <is>
          <t>83DE001HIN</t>
        </is>
      </c>
      <c r="B268" s="1">
        <f>IF(BL268&lt;40000,"Entry",IF(BL268&gt;65000,"Premium","Mainstream"))</f>
        <v/>
      </c>
      <c r="C268" s="1" t="inlineStr">
        <is>
          <t>Premium</t>
        </is>
      </c>
      <c r="D268" s="1" t="inlineStr">
        <is>
          <t>i9 OS 12GB GFX Office</t>
        </is>
      </c>
      <c r="E268" s="1" t="inlineStr">
        <is>
          <t>Gaming</t>
        </is>
      </c>
      <c r="F268" s="1" t="inlineStr">
        <is>
          <t>Legion Pro 7</t>
        </is>
      </c>
      <c r="G268" s="1" t="inlineStr">
        <is>
          <t>Legion Pro 7 16IRX9H</t>
        </is>
      </c>
      <c r="H268" s="1" t="inlineStr">
        <is>
          <t>i9</t>
        </is>
      </c>
      <c r="I268" s="1" t="inlineStr">
        <is>
          <t>14th Gen</t>
        </is>
      </c>
      <c r="J268" s="1" t="inlineStr">
        <is>
          <t>i9 14900HX</t>
        </is>
      </c>
      <c r="K268" s="1" t="inlineStr">
        <is>
          <t>32GB</t>
        </is>
      </c>
      <c r="L268" s="1" t="inlineStr">
        <is>
          <t>1TB SSD</t>
        </is>
      </c>
      <c r="M268" s="1" t="inlineStr">
        <is>
          <t>Windows 11</t>
        </is>
      </c>
      <c r="N268" s="1" t="inlineStr">
        <is>
          <t>Office 2021</t>
        </is>
      </c>
      <c r="O268" s="1" t="inlineStr">
        <is>
          <t>RTX 4080 12GB</t>
        </is>
      </c>
      <c r="P268" s="1" t="inlineStr">
        <is>
          <t>16_WQXGA_AG_500N_240_HDR_P3</t>
        </is>
      </c>
      <c r="Q268" s="4" t="inlineStr">
        <is>
          <t>1 Yr Onsite + 1 Yr LUS</t>
        </is>
      </c>
      <c r="R268" s="39" t="inlineStr">
        <is>
          <t>Full GTN</t>
        </is>
      </c>
      <c r="S268" s="1" t="n">
        <v>2457</v>
      </c>
      <c r="T268" s="2">
        <f>U268*0.965*0.98</f>
        <v/>
      </c>
      <c r="U268" s="13" t="n">
        <v>288511.2288135592</v>
      </c>
      <c r="V268" s="14" t="n">
        <v>0</v>
      </c>
      <c r="W268" s="13" t="n">
        <v>0</v>
      </c>
      <c r="X268" s="13" t="n"/>
      <c r="Y268" s="2">
        <f>(U268*0.88-S268-V268-W268-X268)*1.18/0.92</f>
        <v/>
      </c>
      <c r="Z268" s="1" t="n">
        <v>322490</v>
      </c>
      <c r="AA268" s="5" t="n"/>
      <c r="AB268" s="5" t="n"/>
      <c r="AC268" s="14" t="n">
        <v>322490</v>
      </c>
      <c r="AD268" s="5">
        <f>(Y268-AC268)/1.18*0.92</f>
        <v/>
      </c>
      <c r="AF268" s="5">
        <f>W268+X268</f>
        <v/>
      </c>
      <c r="AH268" s="14" t="n">
        <v>0</v>
      </c>
      <c r="AI268" s="14" t="n"/>
      <c r="AL268" s="5" t="n"/>
      <c r="AM268" s="5" t="n">
        <v>322489.9999999998</v>
      </c>
      <c r="AN268" s="5">
        <f>Y268-AM268</f>
        <v/>
      </c>
      <c r="AO268" s="5" t="n"/>
      <c r="AP268" s="5">
        <f>U268-AL268</f>
        <v/>
      </c>
      <c r="AQ268" s="20" t="n">
        <v>0</v>
      </c>
      <c r="AR268" s="22" t="n"/>
      <c r="AT268" s="3" t="n">
        <v>0</v>
      </c>
      <c r="AV268" s="5">
        <f>ROUNDUP((AT268/8)*80,0)</f>
        <v/>
      </c>
      <c r="AX268" s="38">
        <f>AV268*W268</f>
        <v/>
      </c>
      <c r="BA268" s="3" t="n">
        <v>0</v>
      </c>
      <c r="BB268" s="3" t="n">
        <v>0</v>
      </c>
      <c r="BC268" s="3" t="n">
        <v>0</v>
      </c>
      <c r="BD268" s="3">
        <f>BC268+BB268+BA268</f>
        <v/>
      </c>
      <c r="BE268" s="3" t="n">
        <v>6</v>
      </c>
      <c r="BF268" s="3" t="n">
        <v>4</v>
      </c>
      <c r="BH268" s="3">
        <f>ROUNDUP(BD268*1.85,0)</f>
        <v/>
      </c>
      <c r="BJ268" s="38">
        <f>BH268*V268</f>
        <v/>
      </c>
      <c r="BL268" s="3">
        <f>U268*1.18</f>
        <v/>
      </c>
    </row>
    <row r="269">
      <c r="A269" s="1" t="inlineStr">
        <is>
          <t>83DE001JIN</t>
        </is>
      </c>
      <c r="B269" s="1">
        <f>IF(BL269&lt;40000,"Entry",IF(BL269&gt;65000,"Premium","Mainstream"))</f>
        <v/>
      </c>
      <c r="C269" s="1" t="inlineStr">
        <is>
          <t>Premium</t>
        </is>
      </c>
      <c r="D269" s="1" t="inlineStr">
        <is>
          <t>i9 OS 16GB GFX Office</t>
        </is>
      </c>
      <c r="E269" s="1" t="inlineStr">
        <is>
          <t>Gaming</t>
        </is>
      </c>
      <c r="F269" s="1" t="inlineStr">
        <is>
          <t>Legion Pro 7</t>
        </is>
      </c>
      <c r="G269" s="1" t="inlineStr">
        <is>
          <t>Legion Pro 7 16IRX9H</t>
        </is>
      </c>
      <c r="H269" s="1" t="inlineStr">
        <is>
          <t>i9</t>
        </is>
      </c>
      <c r="I269" s="1" t="inlineStr">
        <is>
          <t>14th Gen</t>
        </is>
      </c>
      <c r="J269" s="1" t="inlineStr">
        <is>
          <t>i9 14900HX</t>
        </is>
      </c>
      <c r="K269" s="1" t="inlineStr">
        <is>
          <t>32GB</t>
        </is>
      </c>
      <c r="L269" s="1" t="inlineStr">
        <is>
          <t>1TB SSD</t>
        </is>
      </c>
      <c r="M269" s="1" t="inlineStr">
        <is>
          <t>Windows 11</t>
        </is>
      </c>
      <c r="N269" s="1" t="inlineStr">
        <is>
          <t>Office 2021</t>
        </is>
      </c>
      <c r="O269" s="1" t="inlineStr">
        <is>
          <t>RTX 4090 16GB</t>
        </is>
      </c>
      <c r="P269" s="1" t="inlineStr">
        <is>
          <t>16_WQXGA_AG_500N_240_HDR_P3</t>
        </is>
      </c>
      <c r="Q269" s="4" t="inlineStr">
        <is>
          <t>1 Yr Onsite + 1 Yr LUS</t>
        </is>
      </c>
      <c r="R269" s="39" t="inlineStr">
        <is>
          <t>Full GTN</t>
        </is>
      </c>
      <c r="S269" s="1" t="n">
        <v>2457</v>
      </c>
      <c r="T269" s="2">
        <f>U269*0.965*0.98</f>
        <v/>
      </c>
      <c r="U269" s="13" t="n">
        <v>332810.1502311249</v>
      </c>
      <c r="V269" s="14" t="n">
        <v>0</v>
      </c>
      <c r="W269" s="13" t="n">
        <v>0</v>
      </c>
      <c r="X269" s="13" t="n"/>
      <c r="Y269" s="2">
        <f>(U269*0.88-S269-V269-W269-X269)*1.18/0.92</f>
        <v/>
      </c>
      <c r="Z269" s="1" t="n">
        <v>372490</v>
      </c>
      <c r="AA269" s="5" t="n"/>
      <c r="AB269" s="5" t="n"/>
      <c r="AC269" s="14" t="n">
        <v>372490</v>
      </c>
      <c r="AD269" s="5">
        <f>(Y269-AC269)/1.18*0.92</f>
        <v/>
      </c>
      <c r="AF269" s="5">
        <f>W269+X269</f>
        <v/>
      </c>
      <c r="AH269" s="14" t="n">
        <v>0</v>
      </c>
      <c r="AI269" s="14" t="n"/>
      <c r="AL269" s="5" t="n"/>
      <c r="AM269" s="5" t="n">
        <v>372490.0000000001</v>
      </c>
      <c r="AN269" s="5">
        <f>Y269-AM269</f>
        <v/>
      </c>
      <c r="AO269" s="5" t="n"/>
      <c r="AP269" s="5">
        <f>U269-AL269</f>
        <v/>
      </c>
      <c r="AQ269" s="20" t="n">
        <v>0</v>
      </c>
      <c r="AR269" s="22" t="n"/>
      <c r="AT269" s="3" t="n">
        <v>0</v>
      </c>
      <c r="AV269" s="5">
        <f>ROUNDUP((AT269/8)*80,0)</f>
        <v/>
      </c>
      <c r="AX269" s="38">
        <f>AV269*W269</f>
        <v/>
      </c>
      <c r="BA269" s="3" t="n">
        <v>0</v>
      </c>
      <c r="BB269" s="3" t="n">
        <v>0</v>
      </c>
      <c r="BC269" s="3" t="n">
        <v>1</v>
      </c>
      <c r="BD269" s="3">
        <f>BC269+BB269+BA269</f>
        <v/>
      </c>
      <c r="BE269" s="3" t="n">
        <v>27</v>
      </c>
      <c r="BF269" s="3" t="n">
        <v>19</v>
      </c>
      <c r="BH269" s="3">
        <f>ROUNDUP(BD269*1.85,0)</f>
        <v/>
      </c>
      <c r="BJ269" s="38">
        <f>BH269*V269</f>
        <v/>
      </c>
      <c r="BL269" s="3">
        <f>U269*1.18</f>
        <v/>
      </c>
    </row>
    <row r="270">
      <c r="A270" s="1" t="inlineStr">
        <is>
          <t>83DF003NIN</t>
        </is>
      </c>
      <c r="B270" s="1">
        <f>IF(BL270&lt;40000,"Entry",IF(BL270&gt;65000,"Premium","Mainstream"))</f>
        <v/>
      </c>
      <c r="C270" s="1" t="inlineStr">
        <is>
          <t>Premium</t>
        </is>
      </c>
      <c r="D270" s="1" t="inlineStr">
        <is>
          <t>i7 OS 8GB GFX Office</t>
        </is>
      </c>
      <c r="E270" s="1" t="inlineStr">
        <is>
          <t>Gaming</t>
        </is>
      </c>
      <c r="F270" s="1" t="inlineStr">
        <is>
          <t>Legion Pro 5</t>
        </is>
      </c>
      <c r="G270" s="1" t="inlineStr">
        <is>
          <t>Legion Pro 5 16IRX9</t>
        </is>
      </c>
      <c r="H270" s="1" t="inlineStr">
        <is>
          <t>i7</t>
        </is>
      </c>
      <c r="I270" s="1" t="inlineStr">
        <is>
          <t>14th Gen</t>
        </is>
      </c>
      <c r="J270" s="1" t="inlineStr">
        <is>
          <t>i7 14650HX</t>
        </is>
      </c>
      <c r="K270" s="1" t="inlineStr">
        <is>
          <t>16GB</t>
        </is>
      </c>
      <c r="L270" s="1" t="inlineStr">
        <is>
          <t>1TB SSD</t>
        </is>
      </c>
      <c r="M270" s="1" t="inlineStr">
        <is>
          <t>Windows 11</t>
        </is>
      </c>
      <c r="N270" s="1" t="inlineStr">
        <is>
          <t>Office 2021</t>
        </is>
      </c>
      <c r="O270" s="1" t="inlineStr">
        <is>
          <t>RTX 4060 8GB</t>
        </is>
      </c>
      <c r="P270" s="1" t="inlineStr">
        <is>
          <t>16_WQXGA_AG_500N_240_HDR_P3</t>
        </is>
      </c>
      <c r="Q270" s="4" t="inlineStr">
        <is>
          <t>1 Yr Onsite + 1 Yr LUS</t>
        </is>
      </c>
      <c r="R270" s="39" t="inlineStr">
        <is>
          <t>Full GTN</t>
        </is>
      </c>
      <c r="S270" s="1" t="n">
        <v>2457</v>
      </c>
      <c r="T270" s="2">
        <f>U270*0.965*0.98</f>
        <v/>
      </c>
      <c r="U270" s="13" t="n">
        <v>140109.842064715</v>
      </c>
      <c r="V270" s="14" t="n">
        <v>0</v>
      </c>
      <c r="W270" s="13" t="n">
        <v>0</v>
      </c>
      <c r="X270" s="13" t="n"/>
      <c r="Y270" s="2">
        <f>(U270*0.88-S270-V270-W270-X270)*1.18/0.92</f>
        <v/>
      </c>
      <c r="Z270" s="1" t="n">
        <v>154990</v>
      </c>
      <c r="AA270" s="5" t="n"/>
      <c r="AB270" s="5" t="n"/>
      <c r="AC270" s="14" t="n">
        <v>154990</v>
      </c>
      <c r="AD270" s="5">
        <f>(Y270-AC270)/1.18*0.92</f>
        <v/>
      </c>
      <c r="AF270" s="5">
        <f>W270+X270</f>
        <v/>
      </c>
      <c r="AH270" s="14" t="n">
        <v>0</v>
      </c>
      <c r="AI270" s="14" t="n"/>
      <c r="AL270" s="5" t="n"/>
      <c r="AM270" s="5" t="n">
        <v>154990.0000000001</v>
      </c>
      <c r="AN270" s="5">
        <f>Y270-AM270</f>
        <v/>
      </c>
      <c r="AO270" s="5" t="n"/>
      <c r="AP270" s="5">
        <f>U270-AL270</f>
        <v/>
      </c>
      <c r="AQ270" s="20" t="n">
        <v>0</v>
      </c>
      <c r="AR270" s="22" t="n"/>
      <c r="AT270" s="3" t="n">
        <v>0</v>
      </c>
      <c r="AV270" s="5">
        <f>ROUNDUP((AT270/8)*80,0)</f>
        <v/>
      </c>
      <c r="AX270" s="38">
        <f>AV270*W270</f>
        <v/>
      </c>
      <c r="BA270" s="3" t="n">
        <v>0</v>
      </c>
      <c r="BB270" s="3" t="n">
        <v>0</v>
      </c>
      <c r="BC270" s="3" t="n">
        <v>0</v>
      </c>
      <c r="BD270" s="3">
        <f>BC270+BB270+BA270</f>
        <v/>
      </c>
      <c r="BE270" s="3" t="n">
        <v>564</v>
      </c>
      <c r="BF270" s="3" t="n">
        <v>526</v>
      </c>
      <c r="BH270" s="3">
        <f>ROUNDUP(BD270*1.85,0)</f>
        <v/>
      </c>
      <c r="BJ270" s="38">
        <f>BH270*V270</f>
        <v/>
      </c>
      <c r="BL270" s="3">
        <f>U270*1.18</f>
        <v/>
      </c>
    </row>
    <row r="271">
      <c r="A271" s="1" t="inlineStr">
        <is>
          <t>83DF003PIN</t>
        </is>
      </c>
      <c r="B271" s="1">
        <f>IF(BL271&lt;40000,"Entry",IF(BL271&gt;65000,"Premium","Mainstream"))</f>
        <v/>
      </c>
      <c r="C271" s="1" t="inlineStr">
        <is>
          <t>Premium</t>
        </is>
      </c>
      <c r="D271" s="1" t="inlineStr">
        <is>
          <t>i9 OS 8GB GFX Office</t>
        </is>
      </c>
      <c r="E271" s="1" t="inlineStr">
        <is>
          <t>Gaming</t>
        </is>
      </c>
      <c r="F271" s="1" t="inlineStr">
        <is>
          <t>Legion Pro 5</t>
        </is>
      </c>
      <c r="G271" s="1" t="inlineStr">
        <is>
          <t>Legion Pro 5 16IRX9</t>
        </is>
      </c>
      <c r="H271" s="1" t="inlineStr">
        <is>
          <t>i9</t>
        </is>
      </c>
      <c r="I271" s="1" t="inlineStr">
        <is>
          <t>14th Gen</t>
        </is>
      </c>
      <c r="J271" s="1" t="inlineStr">
        <is>
          <t>i9 14900HX</t>
        </is>
      </c>
      <c r="K271" s="1" t="inlineStr">
        <is>
          <t>32GB</t>
        </is>
      </c>
      <c r="L271" s="1" t="inlineStr">
        <is>
          <t>1TB SSD</t>
        </is>
      </c>
      <c r="M271" s="1" t="inlineStr">
        <is>
          <t>Windows 11</t>
        </is>
      </c>
      <c r="N271" s="1" t="inlineStr">
        <is>
          <t>Office 2021</t>
        </is>
      </c>
      <c r="O271" s="1" t="inlineStr">
        <is>
          <t>RTX 4070 8GB</t>
        </is>
      </c>
      <c r="P271" s="1" t="inlineStr">
        <is>
          <t>16_WQXGA_AG_500N_240_HDR_P3</t>
        </is>
      </c>
      <c r="Q271" s="4" t="inlineStr">
        <is>
          <t>1 Yr Onsite + 1 Yr LUS</t>
        </is>
      </c>
      <c r="R271" s="39" t="inlineStr">
        <is>
          <t>Full GTN</t>
        </is>
      </c>
      <c r="S271" s="1" t="n">
        <v>2457</v>
      </c>
      <c r="T271" s="2">
        <f>U271*0.965*0.98</f>
        <v/>
      </c>
      <c r="U271" s="13" t="n">
        <v>177763.9252696456</v>
      </c>
      <c r="V271" s="14" t="n">
        <v>0</v>
      </c>
      <c r="W271" s="13" t="n">
        <v>0</v>
      </c>
      <c r="X271" s="13" t="n"/>
      <c r="Y271" s="2">
        <f>(U271*0.88-S271-V271-W271-X271)*1.18/0.92</f>
        <v/>
      </c>
      <c r="Z271" s="1" t="n">
        <v>197490</v>
      </c>
      <c r="AA271" s="5" t="n"/>
      <c r="AB271" s="5" t="n"/>
      <c r="AC271" s="14" t="n">
        <v>197490</v>
      </c>
      <c r="AD271" s="5">
        <f>(Y271-AC271)/1.18*0.92</f>
        <v/>
      </c>
      <c r="AF271" s="5">
        <f>W271+X271</f>
        <v/>
      </c>
      <c r="AH271" s="14" t="n">
        <v>0</v>
      </c>
      <c r="AI271" s="14" t="n"/>
      <c r="AL271" s="5" t="n"/>
      <c r="AM271" s="5" t="n">
        <v>197489.9999999999</v>
      </c>
      <c r="AN271" s="5">
        <f>Y271-AM271</f>
        <v/>
      </c>
      <c r="AO271" s="5" t="n"/>
      <c r="AP271" s="5">
        <f>U271-AL271</f>
        <v/>
      </c>
      <c r="AQ271" s="20" t="n">
        <v>0</v>
      </c>
      <c r="AR271" s="22" t="n"/>
      <c r="AT271" s="3" t="n">
        <v>0</v>
      </c>
      <c r="AV271" s="5">
        <f>ROUNDUP((AT271/8)*80,0)</f>
        <v/>
      </c>
      <c r="AX271" s="38">
        <f>AV271*W271</f>
        <v/>
      </c>
      <c r="BA271" s="3" t="n">
        <v>0</v>
      </c>
      <c r="BB271" s="3" t="n">
        <v>0</v>
      </c>
      <c r="BC271" s="3" t="n">
        <v>1</v>
      </c>
      <c r="BD271" s="3">
        <f>BC271+BB271+BA271</f>
        <v/>
      </c>
      <c r="BE271" s="3" t="n">
        <v>142</v>
      </c>
      <c r="BF271" s="3" t="n">
        <v>4</v>
      </c>
      <c r="BH271" s="3">
        <f>ROUNDUP(BD271*1.85,0)</f>
        <v/>
      </c>
      <c r="BJ271" s="38">
        <f>BH271*V271</f>
        <v/>
      </c>
      <c r="BL271" s="3">
        <f>U271*1.18</f>
        <v/>
      </c>
    </row>
    <row r="272">
      <c r="A272" s="1" t="inlineStr">
        <is>
          <t>83DG004SIN</t>
        </is>
      </c>
      <c r="B272" s="1">
        <f>IF(BL272&lt;40000,"Entry",IF(BL272&gt;65000,"Premium","Mainstream"))</f>
        <v/>
      </c>
      <c r="C272" s="1" t="inlineStr">
        <is>
          <t>Premium</t>
        </is>
      </c>
      <c r="D272" s="1" t="inlineStr">
        <is>
          <t>i7 OS 8GB GFX Office</t>
        </is>
      </c>
      <c r="E272" s="1" t="inlineStr">
        <is>
          <t>Gaming</t>
        </is>
      </c>
      <c r="F272" s="1" t="inlineStr">
        <is>
          <t>Legion 5</t>
        </is>
      </c>
      <c r="G272" s="1" t="inlineStr">
        <is>
          <t>Legion 5 16IRX9</t>
        </is>
      </c>
      <c r="H272" s="1" t="inlineStr">
        <is>
          <t>i7</t>
        </is>
      </c>
      <c r="I272" s="1" t="inlineStr">
        <is>
          <t>14th Gen</t>
        </is>
      </c>
      <c r="J272" s="1" t="inlineStr">
        <is>
          <t>i7 14650HX</t>
        </is>
      </c>
      <c r="K272" s="1" t="inlineStr">
        <is>
          <t>16GB</t>
        </is>
      </c>
      <c r="L272" s="1" t="inlineStr">
        <is>
          <t>1TB SSD</t>
        </is>
      </c>
      <c r="M272" s="1" t="inlineStr">
        <is>
          <t>Windows 11</t>
        </is>
      </c>
      <c r="N272" s="1" t="inlineStr">
        <is>
          <t>Office 2021</t>
        </is>
      </c>
      <c r="O272" s="1" t="inlineStr">
        <is>
          <t>RTX 4060 8GB</t>
        </is>
      </c>
      <c r="P272" s="1" t="inlineStr">
        <is>
          <t>16_WQXGA_AG_350N_165_SRGB</t>
        </is>
      </c>
      <c r="Q272" s="4" t="inlineStr">
        <is>
          <t>1 Yr Onsite + 1 Yr LUS</t>
        </is>
      </c>
      <c r="R272" s="39" t="inlineStr">
        <is>
          <t>Full GTN</t>
        </is>
      </c>
      <c r="S272" s="1" t="n">
        <v>2457</v>
      </c>
      <c r="T272" s="2">
        <f>U272*0.965*0.98</f>
        <v/>
      </c>
      <c r="U272" s="13" t="n">
        <v>131250.0577812019</v>
      </c>
      <c r="V272" s="14" t="n">
        <v>0</v>
      </c>
      <c r="W272" s="13" t="n">
        <v>0</v>
      </c>
      <c r="X272" s="13" t="n"/>
      <c r="Y272" s="2">
        <f>(U272*0.88-S272-V272-W272-X272)*1.18/0.92</f>
        <v/>
      </c>
      <c r="Z272" s="1" t="n">
        <v>144990</v>
      </c>
      <c r="AA272" s="5" t="n"/>
      <c r="AB272" s="5" t="n"/>
      <c r="AC272" s="14" t="n">
        <v>144990</v>
      </c>
      <c r="AD272" s="5">
        <f>(Y272-AC272)/1.18*0.92</f>
        <v/>
      </c>
      <c r="AF272" s="5">
        <f>W272+X272</f>
        <v/>
      </c>
      <c r="AH272" s="14" t="n">
        <v>0</v>
      </c>
      <c r="AI272" s="14" t="n"/>
      <c r="AL272" s="5" t="n"/>
      <c r="AM272" s="5" t="n">
        <v>144990.0000000001</v>
      </c>
      <c r="AN272" s="5">
        <f>Y272-AM272</f>
        <v/>
      </c>
      <c r="AO272" s="5" t="n"/>
      <c r="AP272" s="5">
        <f>U272-AL272</f>
        <v/>
      </c>
      <c r="AQ272" s="20" t="n">
        <v>0</v>
      </c>
      <c r="AR272" s="22" t="n"/>
      <c r="AT272" s="3" t="n">
        <v>0</v>
      </c>
      <c r="AV272" s="5">
        <f>ROUNDUP((AT272/8)*80,0)</f>
        <v/>
      </c>
      <c r="AX272" s="38">
        <f>AV272*W272</f>
        <v/>
      </c>
      <c r="BA272" s="3" t="n">
        <v>0</v>
      </c>
      <c r="BB272" s="3" t="n">
        <v>0</v>
      </c>
      <c r="BC272" s="3" t="n">
        <v>5</v>
      </c>
      <c r="BD272" s="3">
        <f>BC272+BB272+BA272</f>
        <v/>
      </c>
      <c r="BE272" s="3" t="n">
        <v>450</v>
      </c>
      <c r="BF272" s="3" t="n">
        <v>252</v>
      </c>
      <c r="BH272" s="3">
        <f>ROUNDUP(BD272*1.85,0)</f>
        <v/>
      </c>
      <c r="BJ272" s="38">
        <f>BH272*V272</f>
        <v/>
      </c>
      <c r="BL272" s="3">
        <f>U272*1.18</f>
        <v/>
      </c>
    </row>
    <row r="273">
      <c r="A273" s="1" t="inlineStr">
        <is>
          <t>83DG009DIN</t>
        </is>
      </c>
      <c r="B273" s="1">
        <f>IF(BL273&lt;40000,"Entry",IF(BL273&gt;65000,"Premium","Mainstream"))</f>
        <v/>
      </c>
      <c r="C273" s="1" t="inlineStr">
        <is>
          <t>Premium</t>
        </is>
      </c>
      <c r="D273" s="1" t="inlineStr">
        <is>
          <t>i7 OS 8GB GFX Office</t>
        </is>
      </c>
      <c r="E273" s="1" t="inlineStr">
        <is>
          <t>Gaming</t>
        </is>
      </c>
      <c r="F273" s="1" t="inlineStr">
        <is>
          <t>Legion 5</t>
        </is>
      </c>
      <c r="G273" s="1" t="inlineStr">
        <is>
          <t>Legion 5 16IRX9</t>
        </is>
      </c>
      <c r="H273" s="1" t="inlineStr">
        <is>
          <t>i7</t>
        </is>
      </c>
      <c r="I273" s="1" t="inlineStr">
        <is>
          <t>14th Gen</t>
        </is>
      </c>
      <c r="J273" s="1" t="inlineStr">
        <is>
          <t>i7 14650HX</t>
        </is>
      </c>
      <c r="K273" s="1" t="inlineStr">
        <is>
          <t>16GB</t>
        </is>
      </c>
      <c r="L273" s="1" t="inlineStr">
        <is>
          <t>1TB SSD</t>
        </is>
      </c>
      <c r="M273" s="1" t="inlineStr">
        <is>
          <t>Windows 11</t>
        </is>
      </c>
      <c r="N273" s="1" t="inlineStr">
        <is>
          <t>Office 2021</t>
        </is>
      </c>
      <c r="O273" s="1" t="inlineStr">
        <is>
          <t>RTX 4070 8GB</t>
        </is>
      </c>
      <c r="P273" s="1" t="inlineStr">
        <is>
          <t>16_WQXGA_AG_350N_165_SRGB</t>
        </is>
      </c>
      <c r="Q273" s="4" t="inlineStr">
        <is>
          <t>1 Yr Onsite + 1 Yr LUS</t>
        </is>
      </c>
      <c r="R273" s="39" t="inlineStr">
        <is>
          <t>Full GTN</t>
        </is>
      </c>
      <c r="S273" s="1" t="n">
        <v>2457</v>
      </c>
      <c r="T273" s="2">
        <f>U273*0.965*0.98</f>
        <v/>
      </c>
      <c r="U273" s="13" t="n">
        <v>151627.5616332819</v>
      </c>
      <c r="V273" s="14" t="n">
        <v>0</v>
      </c>
      <c r="W273" s="13" t="n">
        <v>0</v>
      </c>
      <c r="X273" s="13" t="n"/>
      <c r="Y273" s="2">
        <f>(U273*0.88-S273-V273-W273-X273)*1.18/0.92</f>
        <v/>
      </c>
      <c r="Z273" s="1" t="n">
        <v>167990</v>
      </c>
      <c r="AA273" s="5" t="n"/>
      <c r="AB273" s="5" t="n"/>
      <c r="AC273" s="14" t="n">
        <v>167990</v>
      </c>
      <c r="AD273" s="5">
        <f>(Y273-AC273)/1.18*0.92</f>
        <v/>
      </c>
      <c r="AF273" s="5">
        <f>W273+X273</f>
        <v/>
      </c>
      <c r="AH273" s="14" t="n">
        <v>0</v>
      </c>
      <c r="AI273" s="14" t="n"/>
      <c r="AL273" s="5" t="n"/>
      <c r="AM273" s="5" t="n">
        <v>167989.9999999999</v>
      </c>
      <c r="AN273" s="5">
        <f>Y273-AM273</f>
        <v/>
      </c>
      <c r="AO273" s="5" t="n"/>
      <c r="AP273" s="5">
        <f>U273-AL273</f>
        <v/>
      </c>
      <c r="AQ273" s="20" t="n">
        <v>0</v>
      </c>
      <c r="AR273" s="22" t="n"/>
      <c r="AT273" s="3" t="n">
        <v>0</v>
      </c>
      <c r="AV273" s="5">
        <f>ROUNDUP((AT273/8)*80,0)</f>
        <v/>
      </c>
      <c r="AX273" s="38">
        <f>AV273*W273</f>
        <v/>
      </c>
      <c r="BA273" s="3" t="n">
        <v>0</v>
      </c>
      <c r="BB273" s="3" t="n">
        <v>0</v>
      </c>
      <c r="BC273" s="3" t="n">
        <v>0</v>
      </c>
      <c r="BD273" s="3">
        <f>BC273+BB273+BA273</f>
        <v/>
      </c>
      <c r="BE273" s="3" t="n">
        <v>70</v>
      </c>
      <c r="BF273" s="3" t="n">
        <v>91</v>
      </c>
      <c r="BH273" s="3">
        <f>ROUNDUP(BD273*1.85,0)</f>
        <v/>
      </c>
      <c r="BJ273" s="38">
        <f>BH273*V273</f>
        <v/>
      </c>
      <c r="BL273" s="3">
        <f>U273*1.18</f>
        <v/>
      </c>
    </row>
    <row r="274">
      <c r="A274" s="1" t="inlineStr">
        <is>
          <t>83DV00BEIN</t>
        </is>
      </c>
      <c r="B274" s="1">
        <f>IF(BL274&lt;40000,"Entry",IF(BL274&gt;65000,"Premium","Mainstream"))</f>
        <v/>
      </c>
      <c r="C274" s="1" t="inlineStr">
        <is>
          <t>Premium</t>
        </is>
      </c>
      <c r="D274" s="1" t="inlineStr">
        <is>
          <t>i7 OS 8GB GFX Office</t>
        </is>
      </c>
      <c r="E274" s="1" t="inlineStr">
        <is>
          <t>Gaming</t>
        </is>
      </c>
      <c r="F274" s="1" t="inlineStr">
        <is>
          <t>LOQ</t>
        </is>
      </c>
      <c r="G274" s="1" t="inlineStr">
        <is>
          <t>LOQ 15IRX9</t>
        </is>
      </c>
      <c r="H274" s="1" t="inlineStr">
        <is>
          <t>i7</t>
        </is>
      </c>
      <c r="I274" s="1" t="inlineStr">
        <is>
          <t>14th Gen</t>
        </is>
      </c>
      <c r="J274" s="1" t="inlineStr">
        <is>
          <t>i7 14700HX</t>
        </is>
      </c>
      <c r="K274" s="1" t="inlineStr">
        <is>
          <t>16GB</t>
        </is>
      </c>
      <c r="L274" s="1" t="inlineStr">
        <is>
          <t>1TB SSD</t>
        </is>
      </c>
      <c r="M274" s="1" t="inlineStr">
        <is>
          <t>Windows 11</t>
        </is>
      </c>
      <c r="N274" s="1" t="inlineStr">
        <is>
          <t>OFFICE 2021</t>
        </is>
      </c>
      <c r="O274" s="1" t="inlineStr">
        <is>
          <t>RTX 4060 8GB</t>
        </is>
      </c>
      <c r="P274" s="1" t="inlineStr">
        <is>
          <t>15.6_FHD_AG_300N_144_SRGB</t>
        </is>
      </c>
      <c r="Q274" s="1" t="inlineStr">
        <is>
          <t>1 year onsite</t>
        </is>
      </c>
      <c r="R274" s="39" t="inlineStr">
        <is>
          <t>Zero GTN</t>
        </is>
      </c>
      <c r="S274" s="4" t="n">
        <v>0</v>
      </c>
      <c r="T274" s="18">
        <f>U274*0.98*0.98</f>
        <v/>
      </c>
      <c r="U274" s="13" t="n">
        <v>100234.1750259426</v>
      </c>
      <c r="V274" s="35" t="n">
        <v>0</v>
      </c>
      <c r="W274" s="13" t="n">
        <v>0</v>
      </c>
      <c r="X274" s="13" t="n"/>
      <c r="Y274" s="2">
        <f>(U274*0.98-S274-V274-W274-X274)*1.18/0.92</f>
        <v/>
      </c>
      <c r="Z274" s="1" t="n">
        <v>125990</v>
      </c>
      <c r="AA274" s="5" t="n"/>
      <c r="AB274" s="5" t="n"/>
      <c r="AC274" s="14" t="n">
        <v>125990</v>
      </c>
      <c r="AD274" s="5">
        <f>(Y274-AC274)/1.18*0.92</f>
        <v/>
      </c>
      <c r="AF274" s="5">
        <f>W274+X274</f>
        <v/>
      </c>
      <c r="AH274" s="35" t="n">
        <v>0</v>
      </c>
      <c r="AI274" s="14" t="n"/>
      <c r="AL274" s="5" t="n"/>
      <c r="AM274" s="5" t="n">
        <v>122990</v>
      </c>
      <c r="AN274" s="5">
        <f>Y274-AM274</f>
        <v/>
      </c>
      <c r="AO274" s="5" t="n"/>
      <c r="AP274" s="5">
        <f>U274-AL274</f>
        <v/>
      </c>
      <c r="AQ274" s="20" t="n">
        <v>2338.983050847458</v>
      </c>
      <c r="AR274" s="22" t="n"/>
      <c r="AT274" s="3" t="n">
        <v>0</v>
      </c>
      <c r="AV274" s="5">
        <f>ROUNDUP((AT274/8)*80,0)</f>
        <v/>
      </c>
      <c r="AX274" s="38">
        <f>AV274*W274</f>
        <v/>
      </c>
      <c r="BA274" s="3" t="n">
        <v>0</v>
      </c>
      <c r="BB274" s="3" t="n">
        <v>0</v>
      </c>
      <c r="BC274" s="3" t="n">
        <v>0</v>
      </c>
      <c r="BD274" s="3">
        <f>BC274+BB274+BA274</f>
        <v/>
      </c>
      <c r="BE274" s="3" t="n">
        <v>200</v>
      </c>
      <c r="BF274" s="3" t="n">
        <v>0</v>
      </c>
      <c r="BH274" s="3">
        <f>ROUNDUP(BD274*1.85,0)</f>
        <v/>
      </c>
      <c r="BJ274" s="38">
        <f>BH274*V274</f>
        <v/>
      </c>
      <c r="BL274" s="3">
        <f>U274*1.18</f>
        <v/>
      </c>
    </row>
    <row r="275">
      <c r="A275" s="1" t="inlineStr">
        <is>
          <t>83DV00BHIN</t>
        </is>
      </c>
      <c r="B275" s="1">
        <f>IF(BL275&lt;40000,"Entry",IF(BL275&gt;65000,"Premium","Mainstream"))</f>
        <v/>
      </c>
      <c r="C275" s="1" t="inlineStr">
        <is>
          <t>Premium</t>
        </is>
      </c>
      <c r="D275" s="1" t="inlineStr">
        <is>
          <t>i5 OS 6GB Gfx Office</t>
        </is>
      </c>
      <c r="E275" s="1" t="inlineStr">
        <is>
          <t>Gaming</t>
        </is>
      </c>
      <c r="F275" s="1" t="inlineStr">
        <is>
          <t>LOQ</t>
        </is>
      </c>
      <c r="G275" s="1" t="inlineStr">
        <is>
          <t>LOQ 15IRX9</t>
        </is>
      </c>
      <c r="H275" s="1" t="inlineStr">
        <is>
          <t>i5</t>
        </is>
      </c>
      <c r="I275" s="4" t="inlineStr">
        <is>
          <t>13th gen</t>
        </is>
      </c>
      <c r="J275" s="1" t="inlineStr">
        <is>
          <t>i5 13450HX</t>
        </is>
      </c>
      <c r="K275" s="1" t="inlineStr">
        <is>
          <t>16GB</t>
        </is>
      </c>
      <c r="L275" s="1" t="inlineStr">
        <is>
          <t>512GB SSD</t>
        </is>
      </c>
      <c r="M275" s="1" t="inlineStr">
        <is>
          <t>Windows 11</t>
        </is>
      </c>
      <c r="N275" s="1" t="inlineStr">
        <is>
          <t>Office 2021</t>
        </is>
      </c>
      <c r="O275" s="1" t="inlineStr">
        <is>
          <t>RTX 3050 6GB</t>
        </is>
      </c>
      <c r="P275" s="1" t="inlineStr">
        <is>
          <t>15.6_FHD_AG_300N_144_SRGB</t>
        </is>
      </c>
      <c r="Q275" s="1" t="inlineStr">
        <is>
          <t>1 year onsite</t>
        </is>
      </c>
      <c r="R275" s="39" t="inlineStr">
        <is>
          <t>Zero GTN</t>
        </is>
      </c>
      <c r="S275" s="4" t="n">
        <v>0</v>
      </c>
      <c r="T275" s="18">
        <f>U275*0.98*0.98</f>
        <v/>
      </c>
      <c r="U275" s="13" t="n">
        <v>62842.26911103423</v>
      </c>
      <c r="V275" s="34" t="n">
        <v>2339</v>
      </c>
      <c r="W275" s="13" t="n">
        <v>0</v>
      </c>
      <c r="X275" s="13" t="n"/>
      <c r="Y275" s="2">
        <f>(U275*0.98-S275-V275-W275-X275)*1.18/0.92</f>
        <v/>
      </c>
      <c r="Z275" s="1" t="n">
        <v>75990</v>
      </c>
      <c r="AA275" s="5" t="n"/>
      <c r="AB275" s="5" t="n"/>
      <c r="AC275" s="14" t="n">
        <v>75990</v>
      </c>
      <c r="AD275" s="5">
        <f>(Y275-AC275)/1.18*0.92</f>
        <v/>
      </c>
      <c r="AF275" s="5">
        <f>W275+X275</f>
        <v/>
      </c>
      <c r="AH275" s="34" t="n">
        <v>2339</v>
      </c>
      <c r="AI275" s="14" t="n"/>
      <c r="AL275" s="5" t="n"/>
      <c r="AM275" s="5" t="n">
        <v>78989.99999999997</v>
      </c>
      <c r="AN275" s="5">
        <f>Y275-AM275</f>
        <v/>
      </c>
      <c r="AO275" s="5" t="n"/>
      <c r="AP275" s="5">
        <f>U275-AL275</f>
        <v/>
      </c>
      <c r="AQ275" s="20" t="n">
        <v>0</v>
      </c>
      <c r="AR275" s="22" t="n"/>
      <c r="AT275" s="3" t="n">
        <v>0</v>
      </c>
      <c r="AV275" s="5">
        <f>ROUNDUP((AT275/8)*80,0)</f>
        <v/>
      </c>
      <c r="AX275" s="38">
        <f>AV275*W275</f>
        <v/>
      </c>
      <c r="BA275" s="3" t="n">
        <v>0</v>
      </c>
      <c r="BB275" s="3" t="n">
        <v>0</v>
      </c>
      <c r="BC275" s="3" t="n">
        <v>0</v>
      </c>
      <c r="BD275" s="3">
        <f>BC275+BB275+BA275</f>
        <v/>
      </c>
      <c r="BE275" s="3" t="n">
        <v>300</v>
      </c>
      <c r="BF275" s="3" t="n">
        <v>265</v>
      </c>
      <c r="BH275" s="3">
        <f>ROUNDUP(BD275*1.85,0)</f>
        <v/>
      </c>
      <c r="BJ275" s="38">
        <f>BH275*V275</f>
        <v/>
      </c>
      <c r="BL275" s="3">
        <f>U275*1.18</f>
        <v/>
      </c>
    </row>
    <row r="276">
      <c r="A276" s="1" t="inlineStr">
        <is>
          <t>83DV00BJIN</t>
        </is>
      </c>
      <c r="B276" s="1">
        <f>IF(BL276&lt;40000,"Entry",IF(BL276&gt;65000,"Premium","Mainstream"))</f>
        <v/>
      </c>
      <c r="C276" s="1" t="inlineStr">
        <is>
          <t>Premium</t>
        </is>
      </c>
      <c r="D276" s="1" t="inlineStr">
        <is>
          <t>i7 OS 6GB GFX Office</t>
        </is>
      </c>
      <c r="E276" s="1" t="inlineStr">
        <is>
          <t>Gaming</t>
        </is>
      </c>
      <c r="F276" s="1" t="inlineStr">
        <is>
          <t>LOQ</t>
        </is>
      </c>
      <c r="G276" s="1" t="inlineStr">
        <is>
          <t>LoQ 15IRX9</t>
        </is>
      </c>
      <c r="H276" s="1" t="inlineStr">
        <is>
          <t>i7</t>
        </is>
      </c>
      <c r="I276" s="4" t="inlineStr">
        <is>
          <t>13th gen</t>
        </is>
      </c>
      <c r="J276" s="1" t="inlineStr">
        <is>
          <t>i7 13650HX</t>
        </is>
      </c>
      <c r="K276" s="1" t="inlineStr">
        <is>
          <t>16GB</t>
        </is>
      </c>
      <c r="L276" s="1" t="inlineStr">
        <is>
          <t>512GB SSD</t>
        </is>
      </c>
      <c r="M276" s="1" t="inlineStr">
        <is>
          <t>Windows 11</t>
        </is>
      </c>
      <c r="N276" s="1" t="inlineStr">
        <is>
          <t>Office 2021</t>
        </is>
      </c>
      <c r="O276" s="1" t="inlineStr">
        <is>
          <t>RTX 3050 6GB</t>
        </is>
      </c>
      <c r="P276" s="1" t="inlineStr">
        <is>
          <t>15.6_FHD_AG_300N_144_SRGB</t>
        </is>
      </c>
      <c r="Q276" s="1" t="inlineStr">
        <is>
          <t>1 year onsite</t>
        </is>
      </c>
      <c r="R276" s="39" t="inlineStr">
        <is>
          <t>Zero GTN</t>
        </is>
      </c>
      <c r="S276" s="4" t="n">
        <v>0</v>
      </c>
      <c r="T276" s="18">
        <f>U276*0.98*0.98</f>
        <v/>
      </c>
      <c r="U276" s="13" t="n">
        <v>73980.28363887926</v>
      </c>
      <c r="V276" s="35" t="n">
        <v>0</v>
      </c>
      <c r="W276" s="13" t="n">
        <v>0</v>
      </c>
      <c r="X276" s="13" t="n"/>
      <c r="Y276" s="2">
        <f>(U276*0.98-S276-V276-W276-X276)*1.18/0.92</f>
        <v/>
      </c>
      <c r="Z276" s="1" t="n">
        <v>92990</v>
      </c>
      <c r="AA276" s="5" t="n"/>
      <c r="AB276" s="5" t="n"/>
      <c r="AC276" s="14" t="n">
        <v>92990</v>
      </c>
      <c r="AD276" s="5">
        <f>(Y276-AC276)/1.18*0.92</f>
        <v/>
      </c>
      <c r="AF276" s="5">
        <f>W276+X276</f>
        <v/>
      </c>
      <c r="AH276" s="35" t="n">
        <v>0</v>
      </c>
      <c r="AI276" s="14" t="n"/>
      <c r="AL276" s="5" t="n"/>
      <c r="AM276" s="5" t="n">
        <v>89989.99999999997</v>
      </c>
      <c r="AN276" s="5">
        <f>Y276-AM276</f>
        <v/>
      </c>
      <c r="AO276" s="5" t="n"/>
      <c r="AP276" s="5">
        <f>U276-AL276</f>
        <v/>
      </c>
      <c r="AQ276" s="20" t="n">
        <v>2338.983050847458</v>
      </c>
      <c r="AR276" s="22" t="n"/>
      <c r="AT276" s="3" t="n">
        <v>0</v>
      </c>
      <c r="AV276" s="5">
        <f>ROUNDUP((AT276/8)*80,0)</f>
        <v/>
      </c>
      <c r="AX276" s="38">
        <f>AV276*W276</f>
        <v/>
      </c>
      <c r="BA276" s="3" t="n">
        <v>0</v>
      </c>
      <c r="BB276" s="3" t="n">
        <v>0</v>
      </c>
      <c r="BC276" s="3" t="n">
        <v>0</v>
      </c>
      <c r="BD276" s="3">
        <f>BC276+BB276+BA276</f>
        <v/>
      </c>
      <c r="BE276" s="3" t="n">
        <v>600</v>
      </c>
      <c r="BF276" s="3" t="n">
        <v>202</v>
      </c>
      <c r="BH276" s="3">
        <f>ROUNDUP(BD276*1.85,0)</f>
        <v/>
      </c>
      <c r="BJ276" s="38">
        <f>BH276*V276</f>
        <v/>
      </c>
      <c r="BL276" s="3">
        <f>U276*1.18</f>
        <v/>
      </c>
    </row>
    <row r="277">
      <c r="A277" s="1" t="inlineStr">
        <is>
          <t>83DV00HBIN</t>
        </is>
      </c>
      <c r="B277" s="1">
        <f>IF(BL277&lt;40000,"Entry",IF(BL277&gt;65000,"Premium","Mainstream"))</f>
        <v/>
      </c>
      <c r="C277" s="1" t="inlineStr">
        <is>
          <t>Premium</t>
        </is>
      </c>
      <c r="D277" s="1" t="inlineStr">
        <is>
          <t>i7 OS 6GB GFX Office</t>
        </is>
      </c>
      <c r="E277" s="1" t="inlineStr">
        <is>
          <t>Gaming</t>
        </is>
      </c>
      <c r="F277" s="1" t="inlineStr">
        <is>
          <t>LOQ</t>
        </is>
      </c>
      <c r="G277" s="1" t="inlineStr">
        <is>
          <t>LOQ 15IRX9</t>
        </is>
      </c>
      <c r="H277" s="1" t="inlineStr">
        <is>
          <t>i7</t>
        </is>
      </c>
      <c r="I277" s="4" t="inlineStr">
        <is>
          <t>13th gen</t>
        </is>
      </c>
      <c r="J277" s="1" t="inlineStr">
        <is>
          <t>i7 13650HX</t>
        </is>
      </c>
      <c r="K277" s="1" t="inlineStr">
        <is>
          <t>16GB</t>
        </is>
      </c>
      <c r="L277" s="1" t="inlineStr">
        <is>
          <t>1TB SSD</t>
        </is>
      </c>
      <c r="M277" s="1" t="inlineStr">
        <is>
          <t>Windows 11</t>
        </is>
      </c>
      <c r="N277" s="1" t="inlineStr">
        <is>
          <t>Office 2021</t>
        </is>
      </c>
      <c r="O277" s="1" t="inlineStr">
        <is>
          <t>RTX 4050 6GB</t>
        </is>
      </c>
      <c r="P277" s="1" t="inlineStr">
        <is>
          <t>15.6_FHD_AG_300N_144_SRGB</t>
        </is>
      </c>
      <c r="Q277" s="1" t="inlineStr">
        <is>
          <t>1 year onsite</t>
        </is>
      </c>
      <c r="R277" s="39" t="inlineStr">
        <is>
          <t>Zero GTN</t>
        </is>
      </c>
      <c r="S277" s="4" t="n">
        <v>0</v>
      </c>
      <c r="T277" s="18">
        <f>U277*0.98*0.98</f>
        <v/>
      </c>
      <c r="U277" s="13" t="n">
        <v>86709.44309927365</v>
      </c>
      <c r="V277" s="35" t="n">
        <v>3898</v>
      </c>
      <c r="W277" s="13" t="n">
        <v>0</v>
      </c>
      <c r="X277" s="13" t="n"/>
      <c r="Y277" s="2">
        <f>(U277*0.98-S277-V277-W277-X277)*1.18/0.92</f>
        <v/>
      </c>
      <c r="Z277" s="1" t="n">
        <v>103990</v>
      </c>
      <c r="AA277" s="5" t="n"/>
      <c r="AB277" s="5" t="n"/>
      <c r="AC277" s="14" t="n">
        <v>103990</v>
      </c>
      <c r="AD277" s="5">
        <f>(Y277-AC277)/1.18*0.92</f>
        <v/>
      </c>
      <c r="AF277" s="5">
        <f>W277+X277</f>
        <v/>
      </c>
      <c r="AH277" s="35" t="n">
        <v>3898</v>
      </c>
      <c r="AI277" s="14" t="n"/>
      <c r="AL277" s="5" t="n"/>
      <c r="AM277" s="5" t="n">
        <v>105990</v>
      </c>
      <c r="AN277" s="5">
        <f>Y277-AM277</f>
        <v/>
      </c>
      <c r="AO277" s="5" t="n"/>
      <c r="AP277" s="5">
        <f>U277-AL277</f>
        <v/>
      </c>
      <c r="AQ277" s="20" t="n">
        <v>2338.983050847458</v>
      </c>
      <c r="AR277" s="22" t="n"/>
      <c r="AT277" s="3" t="n">
        <v>0</v>
      </c>
      <c r="AV277" s="5">
        <f>ROUNDUP((AT277/8)*80,0)</f>
        <v/>
      </c>
      <c r="AX277" s="38">
        <f>AV277*W277</f>
        <v/>
      </c>
      <c r="BA277" s="3" t="n">
        <v>0</v>
      </c>
      <c r="BB277" s="3" t="n">
        <v>0</v>
      </c>
      <c r="BC277" s="3" t="n">
        <v>0</v>
      </c>
      <c r="BD277" s="3">
        <f>BC277+BB277+BA277</f>
        <v/>
      </c>
      <c r="BE277" s="3" t="n">
        <v>480</v>
      </c>
      <c r="BF277" s="3" t="n">
        <v>477</v>
      </c>
      <c r="BH277" s="3">
        <f>ROUNDUP(BD277*1.85,0)</f>
        <v/>
      </c>
      <c r="BJ277" s="38">
        <f>BH277*V277</f>
        <v/>
      </c>
      <c r="BL277" s="3">
        <f>U277*1.18</f>
        <v/>
      </c>
    </row>
    <row r="278">
      <c r="A278" s="1" t="inlineStr">
        <is>
          <t>83FD000XIN</t>
        </is>
      </c>
      <c r="B278" s="1">
        <f>IF(BL278&lt;40000,"Entry",IF(BL278&gt;65000,"Premium","Mainstream"))</f>
        <v/>
      </c>
      <c r="C278" s="1" t="inlineStr">
        <is>
          <t>Premium</t>
        </is>
      </c>
      <c r="D278" s="1" t="inlineStr">
        <is>
          <t>i9 OS 32GB GFX Office</t>
        </is>
      </c>
      <c r="E278" s="1" t="inlineStr">
        <is>
          <t>Gaming</t>
        </is>
      </c>
      <c r="F278" s="1" t="inlineStr">
        <is>
          <t>Legion 7</t>
        </is>
      </c>
      <c r="G278" s="1" t="inlineStr">
        <is>
          <t>Legion 7 16IRX9</t>
        </is>
      </c>
      <c r="H278" s="1" t="inlineStr">
        <is>
          <t>i9</t>
        </is>
      </c>
      <c r="I278" s="1" t="inlineStr">
        <is>
          <t>14th Gen</t>
        </is>
      </c>
      <c r="J278" s="1" t="inlineStr">
        <is>
          <t>i9 14900HX</t>
        </is>
      </c>
      <c r="K278" s="1" t="inlineStr">
        <is>
          <t>32GB</t>
        </is>
      </c>
      <c r="L278" s="1" t="inlineStr">
        <is>
          <t>1TB SSD</t>
        </is>
      </c>
      <c r="M278" s="1" t="inlineStr">
        <is>
          <t>Windows 11</t>
        </is>
      </c>
      <c r="N278" s="1" t="inlineStr">
        <is>
          <t>Office 2021</t>
        </is>
      </c>
      <c r="O278" s="1" t="inlineStr">
        <is>
          <t>RTX 4070 8GB</t>
        </is>
      </c>
      <c r="P278" s="1" t="inlineStr">
        <is>
          <t>16_3.2K_AG_430N_165_P3</t>
        </is>
      </c>
      <c r="Q278" s="4" t="inlineStr">
        <is>
          <t>1 Yr Onsite + 1 Yr LUS</t>
        </is>
      </c>
      <c r="R278" s="39" t="inlineStr">
        <is>
          <t>Full GTN</t>
        </is>
      </c>
      <c r="S278" s="1" t="n">
        <v>2457</v>
      </c>
      <c r="T278" s="2">
        <f>U278*0.965*0.98</f>
        <v/>
      </c>
      <c r="U278" s="13" t="n">
        <v>186623.7095531586</v>
      </c>
      <c r="V278" s="14" t="n">
        <v>0</v>
      </c>
      <c r="W278" s="13" t="n">
        <v>0</v>
      </c>
      <c r="X278" s="13" t="n"/>
      <c r="Y278" s="2">
        <f>(U278*0.88-S278-V278-W278-X278)*1.18/0.92</f>
        <v/>
      </c>
      <c r="Z278" s="1" t="n">
        <v>207490</v>
      </c>
      <c r="AA278" s="5" t="n"/>
      <c r="AB278" s="5" t="n"/>
      <c r="AC278" s="14" t="n">
        <v>207490</v>
      </c>
      <c r="AD278" s="5">
        <f>(Y278-AC278)/1.18*0.92</f>
        <v/>
      </c>
      <c r="AF278" s="5">
        <f>W278+X278</f>
        <v/>
      </c>
      <c r="AH278" s="14" t="n">
        <v>0</v>
      </c>
      <c r="AI278" s="14" t="n"/>
      <c r="AL278" s="5" t="n"/>
      <c r="AM278" s="5" t="n">
        <v>207489.9999999998</v>
      </c>
      <c r="AN278" s="5">
        <f>Y278-AM278</f>
        <v/>
      </c>
      <c r="AO278" s="5" t="n"/>
      <c r="AP278" s="5">
        <f>U278-AL278</f>
        <v/>
      </c>
      <c r="AQ278" s="20" t="n">
        <v>0</v>
      </c>
      <c r="AR278" s="22" t="n"/>
      <c r="AT278" s="3" t="n">
        <v>0</v>
      </c>
      <c r="AV278" s="5">
        <f>ROUNDUP((AT278/8)*80,0)</f>
        <v/>
      </c>
      <c r="AX278" s="38">
        <f>AV278*W278</f>
        <v/>
      </c>
      <c r="BA278" s="3" t="n">
        <v>0</v>
      </c>
      <c r="BB278" s="3" t="n">
        <v>0</v>
      </c>
      <c r="BC278" s="3" t="n">
        <v>0</v>
      </c>
      <c r="BD278" s="3">
        <f>BC278+BB278+BA278</f>
        <v/>
      </c>
      <c r="BE278" s="3" t="n">
        <v>63</v>
      </c>
      <c r="BF278" s="3" t="n">
        <v>54</v>
      </c>
      <c r="BH278" s="3">
        <f>ROUNDUP(BD278*1.85,0)</f>
        <v/>
      </c>
      <c r="BJ278" s="38">
        <f>BH278*V278</f>
        <v/>
      </c>
      <c r="BL278" s="3">
        <f>U278*1.18</f>
        <v/>
      </c>
    </row>
    <row r="279">
      <c r="A279" s="1" t="inlineStr">
        <is>
          <t>83FD000YIN</t>
        </is>
      </c>
      <c r="B279" s="1">
        <f>IF(BL279&lt;40000,"Entry",IF(BL279&gt;65000,"Premium","Mainstream"))</f>
        <v/>
      </c>
      <c r="C279" s="1" t="inlineStr">
        <is>
          <t>Premium</t>
        </is>
      </c>
      <c r="D279" s="1" t="inlineStr">
        <is>
          <t>i9 OS 16GB GFX Office</t>
        </is>
      </c>
      <c r="E279" s="1" t="inlineStr">
        <is>
          <t>Gaming</t>
        </is>
      </c>
      <c r="F279" s="1" t="inlineStr">
        <is>
          <t>Legion 7</t>
        </is>
      </c>
      <c r="G279" s="1" t="inlineStr">
        <is>
          <t>Legion 7 16IRX9</t>
        </is>
      </c>
      <c r="H279" s="1" t="inlineStr">
        <is>
          <t>i9</t>
        </is>
      </c>
      <c r="I279" s="1" t="inlineStr">
        <is>
          <t>14th Gen</t>
        </is>
      </c>
      <c r="J279" s="1" t="inlineStr">
        <is>
          <t>i9 14900HX</t>
        </is>
      </c>
      <c r="K279" s="1" t="inlineStr">
        <is>
          <t>16GB</t>
        </is>
      </c>
      <c r="L279" s="1" t="inlineStr">
        <is>
          <t>1TB SSD</t>
        </is>
      </c>
      <c r="M279" s="1" t="inlineStr">
        <is>
          <t>Windows 11</t>
        </is>
      </c>
      <c r="N279" s="1" t="inlineStr">
        <is>
          <t>Office 2021</t>
        </is>
      </c>
      <c r="O279" s="1" t="inlineStr">
        <is>
          <t>RTX 4060 8GB</t>
        </is>
      </c>
      <c r="P279" s="1" t="inlineStr">
        <is>
          <t>16_3.2K_AG_430N_165_P3</t>
        </is>
      </c>
      <c r="Q279" s="4" t="inlineStr">
        <is>
          <t>1 Yr Onsite + 1 Yr LUS</t>
        </is>
      </c>
      <c r="R279" s="39" t="inlineStr">
        <is>
          <t>Full GTN</t>
        </is>
      </c>
      <c r="S279" s="1" t="n">
        <v>2457</v>
      </c>
      <c r="T279" s="2">
        <f>U279*0.965*0.98</f>
        <v/>
      </c>
      <c r="U279" s="13" t="n">
        <v>157829.4106317413</v>
      </c>
      <c r="V279" s="14" t="n">
        <v>0</v>
      </c>
      <c r="W279" s="13" t="n">
        <v>0</v>
      </c>
      <c r="X279" s="13" t="n"/>
      <c r="Y279" s="2">
        <f>(U279*0.88-S279-V279-W279-X279)*1.18/0.92</f>
        <v/>
      </c>
      <c r="Z279" s="1" t="n">
        <v>174990</v>
      </c>
      <c r="AA279" s="5" t="n"/>
      <c r="AB279" s="5" t="n"/>
      <c r="AC279" s="14" t="n">
        <v>174990</v>
      </c>
      <c r="AD279" s="5">
        <f>(Y279-AC279)/1.18*0.92</f>
        <v/>
      </c>
      <c r="AF279" s="5">
        <f>W279+X279</f>
        <v/>
      </c>
      <c r="AH279" s="14" t="n">
        <v>0</v>
      </c>
      <c r="AI279" s="14" t="n"/>
      <c r="AL279" s="5" t="n"/>
      <c r="AM279" s="5" t="n">
        <v>174990.0000000001</v>
      </c>
      <c r="AN279" s="5">
        <f>Y279-AM279</f>
        <v/>
      </c>
      <c r="AO279" s="5" t="n"/>
      <c r="AP279" s="5">
        <f>U279-AL279</f>
        <v/>
      </c>
      <c r="AQ279" s="20" t="n">
        <v>0</v>
      </c>
      <c r="AR279" s="22" t="n"/>
      <c r="AT279" s="3" t="n">
        <v>0</v>
      </c>
      <c r="AV279" s="5">
        <f>ROUNDUP((AT279/8)*80,0)</f>
        <v/>
      </c>
      <c r="AX279" s="38">
        <f>AV279*W279</f>
        <v/>
      </c>
      <c r="BA279" s="3" t="n">
        <v>0</v>
      </c>
      <c r="BB279" s="3" t="n">
        <v>0</v>
      </c>
      <c r="BC279" s="3" t="n">
        <v>0</v>
      </c>
      <c r="BD279" s="3">
        <f>BC279+BB279+BA279</f>
        <v/>
      </c>
      <c r="BE279" s="3" t="n">
        <v>242</v>
      </c>
      <c r="BF279" s="3" t="n">
        <v>29</v>
      </c>
      <c r="BH279" s="3">
        <f>ROUNDUP(BD279*1.85,0)</f>
        <v/>
      </c>
      <c r="BJ279" s="38">
        <f>BH279*V279</f>
        <v/>
      </c>
      <c r="BL279" s="3">
        <f>U279*1.18</f>
        <v/>
      </c>
    </row>
    <row r="280">
      <c r="A280" s="1" t="inlineStr">
        <is>
          <t>83FD0010IN</t>
        </is>
      </c>
      <c r="B280" s="1">
        <f>IF(BL280&lt;40000,"Entry",IF(BL280&gt;65000,"Premium","Mainstream"))</f>
        <v/>
      </c>
      <c r="C280" s="1" t="inlineStr">
        <is>
          <t>Premium</t>
        </is>
      </c>
      <c r="D280" s="1" t="inlineStr">
        <is>
          <t>i7 OS 8GB GFX Office</t>
        </is>
      </c>
      <c r="E280" s="1" t="inlineStr">
        <is>
          <t>Gaming</t>
        </is>
      </c>
      <c r="F280" s="1" t="inlineStr">
        <is>
          <t>Legion 7</t>
        </is>
      </c>
      <c r="G280" s="1" t="inlineStr">
        <is>
          <t>Legion 7 16IRX9</t>
        </is>
      </c>
      <c r="H280" s="1" t="inlineStr">
        <is>
          <t>i7</t>
        </is>
      </c>
      <c r="I280" s="1" t="inlineStr">
        <is>
          <t>14th Gen</t>
        </is>
      </c>
      <c r="J280" s="1" t="inlineStr">
        <is>
          <t>i7 14700HX</t>
        </is>
      </c>
      <c r="K280" s="1" t="inlineStr">
        <is>
          <t>32GB</t>
        </is>
      </c>
      <c r="L280" s="1" t="inlineStr">
        <is>
          <t>1TB SSD</t>
        </is>
      </c>
      <c r="M280" s="1" t="inlineStr">
        <is>
          <t>Windows 11</t>
        </is>
      </c>
      <c r="N280" s="1" t="inlineStr">
        <is>
          <t>Office 2021</t>
        </is>
      </c>
      <c r="O280" s="1" t="inlineStr">
        <is>
          <t>RTX 4070 8GB</t>
        </is>
      </c>
      <c r="P280" s="1" t="inlineStr">
        <is>
          <t>16_3.2K_AG_430N_165_P3</t>
        </is>
      </c>
      <c r="Q280" s="4" t="inlineStr">
        <is>
          <t>1 Yr Onsite + 1 Yr LUS</t>
        </is>
      </c>
      <c r="R280" s="39" t="inlineStr">
        <is>
          <t>Full GTN</t>
        </is>
      </c>
      <c r="S280" s="1" t="n">
        <v>2457</v>
      </c>
      <c r="T280" s="2">
        <f>U280*0.965*0.98</f>
        <v/>
      </c>
      <c r="U280" s="13" t="n">
        <v>177763.9252696456</v>
      </c>
      <c r="V280" s="14" t="n">
        <v>0</v>
      </c>
      <c r="W280" s="13" t="n">
        <v>0</v>
      </c>
      <c r="X280" s="13" t="n"/>
      <c r="Y280" s="2">
        <f>(U280*0.88-S280-V280-W280-X280)*1.18/0.92</f>
        <v/>
      </c>
      <c r="Z280" s="1" t="n">
        <v>197490</v>
      </c>
      <c r="AA280" s="5" t="n"/>
      <c r="AB280" s="5" t="n"/>
      <c r="AC280" s="14" t="n">
        <v>197490</v>
      </c>
      <c r="AD280" s="5">
        <f>(Y280-AC280)/1.18*0.92</f>
        <v/>
      </c>
      <c r="AF280" s="5">
        <f>W280+X280</f>
        <v/>
      </c>
      <c r="AH280" s="14" t="n">
        <v>0</v>
      </c>
      <c r="AI280" s="14" t="n"/>
      <c r="AL280" s="5" t="n"/>
      <c r="AM280" s="5" t="n">
        <v>197489.9999999999</v>
      </c>
      <c r="AN280" s="5">
        <f>Y280-AM280</f>
        <v/>
      </c>
      <c r="AO280" s="5" t="n"/>
      <c r="AP280" s="5">
        <f>U280-AL280</f>
        <v/>
      </c>
      <c r="AQ280" s="20" t="n">
        <v>0</v>
      </c>
      <c r="AR280" s="22" t="n"/>
      <c r="AT280" s="3" t="n">
        <v>0</v>
      </c>
      <c r="AV280" s="5">
        <f>ROUNDUP((AT280/8)*80,0)</f>
        <v/>
      </c>
      <c r="AX280" s="38">
        <f>AV280*W280</f>
        <v/>
      </c>
      <c r="BA280" s="3" t="n">
        <v>0</v>
      </c>
      <c r="BB280" s="3" t="n">
        <v>0</v>
      </c>
      <c r="BC280" s="3" t="n">
        <v>0</v>
      </c>
      <c r="BD280" s="3">
        <f>BC280+BB280+BA280</f>
        <v/>
      </c>
      <c r="BE280" s="3" t="n">
        <v>141</v>
      </c>
      <c r="BF280" s="3" t="n">
        <v>135</v>
      </c>
      <c r="BH280" s="3">
        <f>ROUNDUP(BD280*1.85,0)</f>
        <v/>
      </c>
      <c r="BJ280" s="38">
        <f>BH280*V280</f>
        <v/>
      </c>
      <c r="BL280" s="3">
        <f>U280*1.18</f>
        <v/>
      </c>
    </row>
    <row r="281">
      <c r="A281" s="1" t="inlineStr">
        <is>
          <t>83G0003AIN</t>
        </is>
      </c>
      <c r="B281" s="1">
        <f>IF(BL281&lt;40000,"Entry",IF(BL281&gt;65000,"Premium","Mainstream"))</f>
        <v/>
      </c>
      <c r="C281" s="1" t="inlineStr">
        <is>
          <t>Premium</t>
        </is>
      </c>
      <c r="D281" s="1" t="inlineStr">
        <is>
          <t>i9 OS 16GB GFX Office</t>
        </is>
      </c>
      <c r="E281" s="1" t="inlineStr">
        <is>
          <t>Gaming</t>
        </is>
      </c>
      <c r="F281" s="1" t="inlineStr">
        <is>
          <t>Legion 9</t>
        </is>
      </c>
      <c r="G281" s="1" t="inlineStr">
        <is>
          <t>Legion 9 16IRX9</t>
        </is>
      </c>
      <c r="H281" s="1" t="inlineStr">
        <is>
          <t>i9</t>
        </is>
      </c>
      <c r="I281" s="1" t="inlineStr">
        <is>
          <t>14th Gen</t>
        </is>
      </c>
      <c r="J281" s="1" t="inlineStr">
        <is>
          <t>i9 14900HX</t>
        </is>
      </c>
      <c r="K281" s="1" t="inlineStr">
        <is>
          <t>64GB</t>
        </is>
      </c>
      <c r="L281" s="1" t="inlineStr">
        <is>
          <t>2x1TB SSD</t>
        </is>
      </c>
      <c r="M281" s="1" t="inlineStr">
        <is>
          <t>Windows 11</t>
        </is>
      </c>
      <c r="N281" s="1" t="inlineStr">
        <is>
          <t>Office 2021</t>
        </is>
      </c>
      <c r="O281" s="1" t="inlineStr">
        <is>
          <t>RTX 4090 16GB</t>
        </is>
      </c>
      <c r="P281" s="1" t="inlineStr">
        <is>
          <t>16" 3.2K (3200x2000) Mini LED 1200nits Anti-glare, 100% DCI-P3</t>
        </is>
      </c>
      <c r="Q281" s="4" t="inlineStr">
        <is>
          <t>1 Yr Onsite + 1 Yr LUS</t>
        </is>
      </c>
      <c r="R281" s="39" t="inlineStr">
        <is>
          <t>Full GTN</t>
        </is>
      </c>
      <c r="S281" s="1" t="n">
        <v>2457</v>
      </c>
      <c r="T281" s="2">
        <f>U281*0.965*0.98</f>
        <v/>
      </c>
      <c r="U281" s="13" t="n">
        <v>410333.2627118644</v>
      </c>
      <c r="V281" s="14" t="n">
        <v>0</v>
      </c>
      <c r="W281" s="13" t="n">
        <v>0</v>
      </c>
      <c r="X281" s="13" t="n"/>
      <c r="Y281" s="2">
        <f>(U281*0.88-S281-V281-W281-X281)*1.18/0.92</f>
        <v/>
      </c>
      <c r="Z281" s="1" t="n">
        <v>459990</v>
      </c>
      <c r="AA281" s="5" t="n"/>
      <c r="AB281" s="5" t="n"/>
      <c r="AC281" s="14" t="n">
        <v>459990</v>
      </c>
      <c r="AD281" s="5">
        <f>(Y281-AC281)/1.18*0.92</f>
        <v/>
      </c>
      <c r="AF281" s="5">
        <f>W281+X281</f>
        <v/>
      </c>
      <c r="AH281" s="14" t="n">
        <v>0</v>
      </c>
      <c r="AI281" s="14" t="n"/>
      <c r="AL281" s="5" t="n"/>
      <c r="AM281" s="5" t="n">
        <v>459990.0000000001</v>
      </c>
      <c r="AN281" s="5">
        <f>Y281-AM281</f>
        <v/>
      </c>
      <c r="AO281" s="5" t="n"/>
      <c r="AP281" s="5">
        <f>U281-AL281</f>
        <v/>
      </c>
      <c r="AQ281" s="20" t="n">
        <v>0</v>
      </c>
      <c r="AR281" s="22" t="n"/>
      <c r="AT281" s="3" t="n">
        <v>0</v>
      </c>
      <c r="AV281" s="5">
        <f>ROUNDUP((AT281/8)*80,0)</f>
        <v/>
      </c>
      <c r="AX281" s="38">
        <f>AV281*W281</f>
        <v/>
      </c>
      <c r="BA281" s="3" t="n">
        <v>0</v>
      </c>
      <c r="BB281" s="3" t="n">
        <v>0</v>
      </c>
      <c r="BC281" s="3" t="n">
        <v>0</v>
      </c>
      <c r="BD281" s="3">
        <f>BC281+BB281+BA281</f>
        <v/>
      </c>
      <c r="BE281" s="3" t="n">
        <v>0</v>
      </c>
      <c r="BF281" s="3" t="n">
        <v>54</v>
      </c>
      <c r="BH281" s="3">
        <f>ROUNDUP(BD281*1.85,0)</f>
        <v/>
      </c>
      <c r="BJ281" s="38">
        <f>BH281*V281</f>
        <v/>
      </c>
      <c r="BL281" s="3">
        <f>U281*1.18</f>
        <v/>
      </c>
    </row>
    <row r="282">
      <c r="A282" s="1" t="inlineStr">
        <is>
          <t>83GS003UIN</t>
        </is>
      </c>
      <c r="B282" s="1">
        <f>IF(BL282&lt;40000,"Entry",IF(BL282&gt;65000,"Premium","Mainstream"))</f>
        <v/>
      </c>
      <c r="C282" s="1" t="inlineStr">
        <is>
          <t>Premium</t>
        </is>
      </c>
      <c r="D282" s="1" t="inlineStr">
        <is>
          <t>i5 OS 6GB Gfx Office</t>
        </is>
      </c>
      <c r="E282" s="1" t="inlineStr">
        <is>
          <t>Gaming</t>
        </is>
      </c>
      <c r="F282" s="1" t="inlineStr">
        <is>
          <t>LOQ</t>
        </is>
      </c>
      <c r="G282" s="1" t="inlineStr">
        <is>
          <t>LoQ 15IAX9</t>
        </is>
      </c>
      <c r="H282" s="1" t="inlineStr">
        <is>
          <t>i5</t>
        </is>
      </c>
      <c r="I282" s="1" t="inlineStr">
        <is>
          <t>12th Gen</t>
        </is>
      </c>
      <c r="J282" s="1" t="inlineStr">
        <is>
          <t>i5 12450HX</t>
        </is>
      </c>
      <c r="K282" s="1" t="inlineStr">
        <is>
          <t>16GB</t>
        </is>
      </c>
      <c r="L282" s="1" t="inlineStr">
        <is>
          <t>512GB SSD</t>
        </is>
      </c>
      <c r="M282" s="1" t="inlineStr">
        <is>
          <t>Windows 11</t>
        </is>
      </c>
      <c r="N282" s="1" t="inlineStr">
        <is>
          <t>Office 2021</t>
        </is>
      </c>
      <c r="O282" s="1" t="inlineStr">
        <is>
          <t>RTX 3050 6GB</t>
        </is>
      </c>
      <c r="P282" s="1" t="inlineStr">
        <is>
          <t>15.6_FHD_AG_300N_144_SRGB</t>
        </is>
      </c>
      <c r="Q282" s="1" t="inlineStr">
        <is>
          <t>1 year onsite</t>
        </is>
      </c>
      <c r="R282" s="39" t="inlineStr">
        <is>
          <t>Zero GTN</t>
        </is>
      </c>
      <c r="S282" s="4" t="n">
        <v>0</v>
      </c>
      <c r="T282" s="18">
        <f>U282*0.98*0.98</f>
        <v/>
      </c>
      <c r="U282" s="13" t="n">
        <v>58068.83431338636</v>
      </c>
      <c r="V282" s="34" t="n">
        <v>2339</v>
      </c>
      <c r="W282" s="13" t="n">
        <v>0</v>
      </c>
      <c r="X282" s="13" t="n"/>
      <c r="Y282" s="2">
        <f>(U282*0.98-S282-V282-W282-X282)*1.18/0.92</f>
        <v/>
      </c>
      <c r="Z282" s="1" t="n">
        <v>69990</v>
      </c>
      <c r="AA282" s="5" t="n"/>
      <c r="AB282" s="5" t="n"/>
      <c r="AC282" s="14" t="n">
        <v>69990</v>
      </c>
      <c r="AD282" s="5">
        <f>(Y282-AC282)/1.18*0.92</f>
        <v/>
      </c>
      <c r="AF282" s="5">
        <f>W282+X282</f>
        <v/>
      </c>
      <c r="AH282" s="34" t="n">
        <v>2339</v>
      </c>
      <c r="AI282" s="14" t="n"/>
      <c r="AL282" s="5" t="n"/>
      <c r="AM282" s="5" t="n">
        <v>72989.99999999997</v>
      </c>
      <c r="AN282" s="5">
        <f>Y282-AM282</f>
        <v/>
      </c>
      <c r="AO282" s="5" t="n"/>
      <c r="AP282" s="5">
        <f>U282-AL282</f>
        <v/>
      </c>
      <c r="AQ282" s="20" t="n">
        <v>0</v>
      </c>
      <c r="AR282" s="22" t="n"/>
      <c r="AT282" s="3" t="n">
        <v>0</v>
      </c>
      <c r="AV282" s="5">
        <f>ROUNDUP((AT282/8)*80,0)</f>
        <v/>
      </c>
      <c r="AX282" s="38">
        <f>AV282*W282</f>
        <v/>
      </c>
      <c r="BA282" s="3" t="n">
        <v>0</v>
      </c>
      <c r="BB282" s="3" t="n">
        <v>0</v>
      </c>
      <c r="BC282" s="3" t="n">
        <v>0</v>
      </c>
      <c r="BD282" s="3">
        <f>BC282+BB282+BA282</f>
        <v/>
      </c>
      <c r="BE282" s="3" t="n">
        <v>1000</v>
      </c>
      <c r="BF282" s="3" t="n">
        <v>0</v>
      </c>
      <c r="BH282" s="3">
        <f>ROUNDUP(BD282*1.85,0)</f>
        <v/>
      </c>
      <c r="BJ282" s="38">
        <f>BH282*V282</f>
        <v/>
      </c>
      <c r="BL282" s="3">
        <f>U282*1.18</f>
        <v/>
      </c>
    </row>
    <row r="283">
      <c r="A283" s="1" t="inlineStr">
        <is>
          <t>83GS003VIN</t>
        </is>
      </c>
      <c r="B283" s="1">
        <f>IF(BL283&lt;40000,"Entry",IF(BL283&gt;65000,"Premium","Mainstream"))</f>
        <v/>
      </c>
      <c r="C283" s="1" t="inlineStr">
        <is>
          <t>Premium</t>
        </is>
      </c>
      <c r="D283" s="1" t="inlineStr">
        <is>
          <t>i5 OS 6GB Gfx Office</t>
        </is>
      </c>
      <c r="E283" s="1" t="inlineStr">
        <is>
          <t>Gaming</t>
        </is>
      </c>
      <c r="F283" s="1" t="inlineStr">
        <is>
          <t>LOQ</t>
        </is>
      </c>
      <c r="G283" s="1" t="inlineStr">
        <is>
          <t>LOQ 15IAX9</t>
        </is>
      </c>
      <c r="H283" s="1" t="inlineStr">
        <is>
          <t>i5</t>
        </is>
      </c>
      <c r="I283" s="1" t="inlineStr">
        <is>
          <t>12th Gen</t>
        </is>
      </c>
      <c r="J283" s="1" t="inlineStr">
        <is>
          <t>i5 12450HX</t>
        </is>
      </c>
      <c r="K283" s="1" t="inlineStr">
        <is>
          <t>16GB</t>
        </is>
      </c>
      <c r="L283" s="1" t="inlineStr">
        <is>
          <t>512GB SSD</t>
        </is>
      </c>
      <c r="M283" s="1" t="inlineStr">
        <is>
          <t>Windows 11</t>
        </is>
      </c>
      <c r="N283" s="1" t="inlineStr">
        <is>
          <t>Office 2021</t>
        </is>
      </c>
      <c r="O283" s="1" t="inlineStr">
        <is>
          <t>RTX 4050 6GB</t>
        </is>
      </c>
      <c r="P283" s="1" t="inlineStr">
        <is>
          <t>15.6_FHD_AG_300N_144_SRGB</t>
        </is>
      </c>
      <c r="Q283" s="1" t="inlineStr">
        <is>
          <t>1 year onsite</t>
        </is>
      </c>
      <c r="R283" s="39" t="inlineStr">
        <is>
          <t>Zero GTN</t>
        </is>
      </c>
      <c r="S283" s="4" t="n">
        <v>0</v>
      </c>
      <c r="T283" s="18">
        <f>U283*0.98*0.98</f>
        <v/>
      </c>
      <c r="U283" s="13" t="n">
        <v>65228.81355932204</v>
      </c>
      <c r="V283" s="13" t="n">
        <v>2338.983050847458</v>
      </c>
      <c r="W283" s="13" t="n">
        <v>0</v>
      </c>
      <c r="X283" s="13" t="n"/>
      <c r="Y283" s="2">
        <f>(U283*0.98-S283-V283-W283-X283)*1.18/0.92</f>
        <v/>
      </c>
      <c r="Z283" s="1" t="n">
        <v>78990</v>
      </c>
      <c r="AA283" s="5" t="n"/>
      <c r="AB283" s="5" t="n"/>
      <c r="AC283" s="14" t="n">
        <v>78990</v>
      </c>
      <c r="AD283" s="5">
        <f>(Y283-AC283)/1.18*0.92</f>
        <v/>
      </c>
      <c r="AF283" s="5">
        <f>W283+X283</f>
        <v/>
      </c>
      <c r="AH283" s="13" t="n">
        <v>2338.983050847458</v>
      </c>
      <c r="AI283" s="14" t="n"/>
      <c r="AL283" s="5" t="n"/>
      <c r="AM283" s="5" t="n">
        <v>78989.78260869563</v>
      </c>
      <c r="AN283" s="5">
        <f>Y283-AM283</f>
        <v/>
      </c>
      <c r="AO283" s="5" t="n"/>
      <c r="AP283" s="5">
        <f>U283-AL283</f>
        <v/>
      </c>
      <c r="AQ283" s="20" t="n">
        <v>2338.983050847458</v>
      </c>
      <c r="AR283" s="22" t="n"/>
      <c r="AT283" s="3" t="n">
        <v>0</v>
      </c>
      <c r="AV283" s="5">
        <f>ROUNDUP((AT283/8)*80,0)</f>
        <v/>
      </c>
      <c r="AX283" s="38">
        <f>AV283*W283</f>
        <v/>
      </c>
      <c r="BA283" s="3" t="n">
        <v>0</v>
      </c>
      <c r="BB283" s="3" t="n">
        <v>0</v>
      </c>
      <c r="BC283" s="3" t="n">
        <v>0</v>
      </c>
      <c r="BD283" s="3">
        <f>BC283+BB283+BA283</f>
        <v/>
      </c>
      <c r="BE283" s="3" t="n">
        <v>0</v>
      </c>
      <c r="BF283" s="3" t="n">
        <v>150</v>
      </c>
      <c r="BH283" s="3">
        <f>ROUNDUP(BD283*1.85,0)</f>
        <v/>
      </c>
      <c r="BJ283" s="38">
        <f>BH283*V283</f>
        <v/>
      </c>
      <c r="BL283" s="3">
        <f>U283*1.18</f>
        <v/>
      </c>
    </row>
    <row r="284">
      <c r="A284" s="1" t="inlineStr">
        <is>
          <t>83GS008VIN</t>
        </is>
      </c>
      <c r="B284" s="1">
        <f>IF(BL284&lt;40000,"Entry",IF(BL284&gt;65000,"Premium","Mainstream"))</f>
        <v/>
      </c>
      <c r="C284" s="1" t="inlineStr">
        <is>
          <t>Premium</t>
        </is>
      </c>
      <c r="D284" s="1" t="inlineStr">
        <is>
          <t>i5 OS 4GB Gfx</t>
        </is>
      </c>
      <c r="E284" s="1" t="inlineStr">
        <is>
          <t>Gaming</t>
        </is>
      </c>
      <c r="F284" s="1" t="inlineStr">
        <is>
          <t>LOQ</t>
        </is>
      </c>
      <c r="G284" s="1" t="inlineStr">
        <is>
          <t>LOQ 15IAX9</t>
        </is>
      </c>
      <c r="H284" s="1" t="inlineStr">
        <is>
          <t>i5</t>
        </is>
      </c>
      <c r="I284" s="1" t="inlineStr">
        <is>
          <t>12th Gen</t>
        </is>
      </c>
      <c r="J284" s="1" t="inlineStr">
        <is>
          <t>i5 12450HX</t>
        </is>
      </c>
      <c r="K284" s="1" t="inlineStr">
        <is>
          <t>12GB</t>
        </is>
      </c>
      <c r="L284" s="1" t="inlineStr">
        <is>
          <t>512GB SSD</t>
        </is>
      </c>
      <c r="M284" s="1" t="inlineStr">
        <is>
          <t>Windows 11</t>
        </is>
      </c>
      <c r="N284" s="1" t="inlineStr">
        <is>
          <t>OFFICE TRIAL</t>
        </is>
      </c>
      <c r="O284" s="1" t="inlineStr">
        <is>
          <t>RTX 2050 4GB</t>
        </is>
      </c>
      <c r="P284" s="1" t="inlineStr">
        <is>
          <t>15.6_FHD_AG_300N_144_SRGB</t>
        </is>
      </c>
      <c r="Q284" s="1" t="inlineStr">
        <is>
          <t>1 year onsite</t>
        </is>
      </c>
      <c r="R284" s="39" t="inlineStr">
        <is>
          <t>Zero GTN</t>
        </is>
      </c>
      <c r="S284" s="4" t="n">
        <v>0</v>
      </c>
      <c r="T284" s="18">
        <f>U284*0.98*0.98</f>
        <v/>
      </c>
      <c r="U284" s="13" t="n">
        <v>50908.68211691458</v>
      </c>
      <c r="V284" s="13" t="n">
        <v>2338.983050847458</v>
      </c>
      <c r="W284" s="13" t="n">
        <v>0</v>
      </c>
      <c r="X284" s="13" t="n">
        <v>1559.322033898317</v>
      </c>
      <c r="Y284" s="2">
        <f>(U284*0.98-S284-V284-W284-X284)*1.18/0.92</f>
        <v/>
      </c>
      <c r="Z284" s="1" t="n">
        <v>58990</v>
      </c>
      <c r="AA284" s="5" t="n"/>
      <c r="AB284" s="5" t="n"/>
      <c r="AC284" s="14" t="n">
        <v>58990</v>
      </c>
      <c r="AD284" s="5">
        <f>(Y284-AC284)/1.18*0.92</f>
        <v/>
      </c>
      <c r="AE284" s="5" t="n"/>
      <c r="AF284" s="5">
        <f>W284+X284</f>
        <v/>
      </c>
      <c r="AH284" s="13" t="n">
        <v>2338.983050847458</v>
      </c>
      <c r="AI284" s="14" t="n"/>
      <c r="AL284" s="5" t="n"/>
      <c r="AM284" s="5" t="n">
        <v>60990.00000000001</v>
      </c>
      <c r="AN284" s="5">
        <f>Y284-AM284</f>
        <v/>
      </c>
      <c r="AO284" s="5" t="n"/>
      <c r="AP284" s="5">
        <f>U284-AL284</f>
        <v/>
      </c>
      <c r="AQ284" s="20" t="n">
        <v>2338.983050847458</v>
      </c>
      <c r="AR284" s="22" t="n"/>
      <c r="AT284" s="3" t="n">
        <v>0</v>
      </c>
      <c r="AV284" s="5">
        <f>ROUNDUP((AT284/8)*80,0)</f>
        <v/>
      </c>
      <c r="AX284" s="38">
        <f>AV284*W284</f>
        <v/>
      </c>
      <c r="BA284" s="3" t="n">
        <v>0</v>
      </c>
      <c r="BB284" s="3" t="n">
        <v>0</v>
      </c>
      <c r="BC284" s="3" t="n">
        <v>0</v>
      </c>
      <c r="BD284" s="3">
        <f>BC284+BB284+BA284</f>
        <v/>
      </c>
      <c r="BE284" s="3" t="n">
        <v>1000</v>
      </c>
      <c r="BF284" s="3" t="n">
        <v>0</v>
      </c>
      <c r="BH284" s="3">
        <f>ROUNDUP(BD284*1.85,0)</f>
        <v/>
      </c>
      <c r="BJ284" s="38">
        <f>BH284*V284</f>
        <v/>
      </c>
      <c r="BL284" s="3">
        <f>U284*1.18</f>
        <v/>
      </c>
    </row>
    <row r="285">
      <c r="A285" s="1" t="inlineStr">
        <is>
          <t>83GS009RIN</t>
        </is>
      </c>
      <c r="B285" s="1">
        <f>IF(BL285&lt;40000,"Entry",IF(BL285&gt;65000,"Premium","Mainstream"))</f>
        <v/>
      </c>
      <c r="C285" s="1" t="inlineStr">
        <is>
          <t>Premium</t>
        </is>
      </c>
      <c r="D285" s="1" t="inlineStr">
        <is>
          <t>i5 OS 4GB Gfx Office</t>
        </is>
      </c>
      <c r="E285" s="1" t="inlineStr">
        <is>
          <t>Gaming</t>
        </is>
      </c>
      <c r="F285" s="1" t="inlineStr">
        <is>
          <t>LOQ</t>
        </is>
      </c>
      <c r="G285" s="1" t="inlineStr">
        <is>
          <t>LOQ 15IAX9</t>
        </is>
      </c>
      <c r="H285" s="1" t="inlineStr">
        <is>
          <t>i5</t>
        </is>
      </c>
      <c r="I285" s="1" t="inlineStr">
        <is>
          <t>12th Gen</t>
        </is>
      </c>
      <c r="J285" s="1" t="inlineStr">
        <is>
          <t>i5 12450HX</t>
        </is>
      </c>
      <c r="K285" s="1" t="inlineStr">
        <is>
          <t>12GB</t>
        </is>
      </c>
      <c r="L285" s="1" t="inlineStr">
        <is>
          <t>512GB SSD</t>
        </is>
      </c>
      <c r="M285" s="1" t="inlineStr">
        <is>
          <t>Windows 11</t>
        </is>
      </c>
      <c r="N285" s="1" t="inlineStr">
        <is>
          <t>Office 2021</t>
        </is>
      </c>
      <c r="O285" s="1" t="inlineStr">
        <is>
          <t>RTX 2050 4GB</t>
        </is>
      </c>
      <c r="P285" s="1" t="inlineStr">
        <is>
          <t>15.6_FHD_AG_300N_144_SRGB</t>
        </is>
      </c>
      <c r="Q285" s="1" t="inlineStr">
        <is>
          <t>1 year onsite</t>
        </is>
      </c>
      <c r="R285" s="39" t="inlineStr">
        <is>
          <t>Zero GTN</t>
        </is>
      </c>
      <c r="S285" s="4" t="n">
        <v>0</v>
      </c>
      <c r="T285" s="18">
        <f>U285*0.98*0.98</f>
        <v/>
      </c>
      <c r="U285" s="13" t="n">
        <v>52499.82704946386</v>
      </c>
      <c r="V285" s="13" t="n">
        <v>2338.983050847458</v>
      </c>
      <c r="W285" s="13" t="n">
        <v>0</v>
      </c>
      <c r="X285" s="13" t="n">
        <v>1559.322033898305</v>
      </c>
      <c r="Y285" s="2">
        <f>(U285*0.98-S285-V285-W285-X285)*1.18/0.92</f>
        <v/>
      </c>
      <c r="Z285" s="1" t="n">
        <v>60990</v>
      </c>
      <c r="AA285" s="5" t="n"/>
      <c r="AB285" s="5" t="n"/>
      <c r="AC285" s="14" t="n">
        <v>60990</v>
      </c>
      <c r="AD285" s="5">
        <f>(Y285-AC285)/1.18*0.92</f>
        <v/>
      </c>
      <c r="AE285" s="5" t="n"/>
      <c r="AF285" s="5">
        <f>W285+X285</f>
        <v/>
      </c>
      <c r="AH285" s="13" t="n">
        <v>2338.983050847458</v>
      </c>
      <c r="AI285" s="14" t="n"/>
      <c r="AL285" s="5" t="n"/>
      <c r="AM285" s="5" t="n">
        <v>62990</v>
      </c>
      <c r="AN285" s="5">
        <f>Y285-AM285</f>
        <v/>
      </c>
      <c r="AO285" s="5" t="n"/>
      <c r="AP285" s="5">
        <f>U285-AL285</f>
        <v/>
      </c>
      <c r="AQ285" s="20" t="n">
        <v>2338.983050847458</v>
      </c>
      <c r="AR285" s="22" t="n"/>
      <c r="AT285" s="3" t="n">
        <v>0</v>
      </c>
      <c r="AV285" s="5">
        <f>ROUNDUP((AT285/8)*80,0)</f>
        <v/>
      </c>
      <c r="AX285" s="38">
        <f>AV285*W285</f>
        <v/>
      </c>
      <c r="BA285" s="3" t="n">
        <v>0</v>
      </c>
      <c r="BB285" s="3" t="n">
        <v>0</v>
      </c>
      <c r="BC285" s="3" t="n">
        <v>0</v>
      </c>
      <c r="BD285" s="3">
        <f>BC285+BB285+BA285</f>
        <v/>
      </c>
      <c r="BE285" s="3" t="n">
        <v>176</v>
      </c>
      <c r="BF285" s="3" t="n">
        <v>21</v>
      </c>
      <c r="BH285" s="3">
        <f>ROUNDUP(BD285*1.85,0)</f>
        <v/>
      </c>
      <c r="BJ285" s="38">
        <f>BH285*V285</f>
        <v/>
      </c>
      <c r="BL285" s="3">
        <f>U285*1.18</f>
        <v/>
      </c>
    </row>
    <row r="286">
      <c r="A286" s="1" t="inlineStr">
        <is>
          <t>82R400BGIN</t>
        </is>
      </c>
      <c r="B286" s="1">
        <f>IF(BL286&lt;40000,"Entry",IF(BL286&gt;65000,"Premium","Mainstream"))</f>
        <v/>
      </c>
      <c r="C286" s="1" t="inlineStr">
        <is>
          <t>Mainstream</t>
        </is>
      </c>
      <c r="D286" s="1" t="inlineStr">
        <is>
          <t>R5 OS Office</t>
        </is>
      </c>
      <c r="E286" s="1" t="inlineStr">
        <is>
          <t>Thin &amp; Light</t>
        </is>
      </c>
      <c r="F286" s="1" t="inlineStr">
        <is>
          <t>Slim 1</t>
        </is>
      </c>
      <c r="G286" s="1" t="inlineStr">
        <is>
          <t>IP 1 15ALC7</t>
        </is>
      </c>
      <c r="H286" s="1" t="inlineStr">
        <is>
          <t>R5</t>
        </is>
      </c>
      <c r="I286" s="1" t="inlineStr">
        <is>
          <t>5XXXU</t>
        </is>
      </c>
      <c r="J286" s="1" t="inlineStr">
        <is>
          <t>R5-5500U</t>
        </is>
      </c>
      <c r="K286" s="1" t="inlineStr">
        <is>
          <t>8GB</t>
        </is>
      </c>
      <c r="L286" s="1" t="inlineStr">
        <is>
          <t>512GB SSD</t>
        </is>
      </c>
      <c r="M286" s="1" t="inlineStr">
        <is>
          <t>Windows 11</t>
        </is>
      </c>
      <c r="N286" s="1" t="inlineStr">
        <is>
          <t>Office 2021</t>
        </is>
      </c>
      <c r="O286" s="1" t="inlineStr">
        <is>
          <t>INTEGRATED_GRAPHICS</t>
        </is>
      </c>
      <c r="P286" s="1" t="inlineStr">
        <is>
          <t>15.6FHD_AG_220N_N</t>
        </is>
      </c>
      <c r="Q286" s="1" t="inlineStr">
        <is>
          <t>1 Yr. Onsite + 1 Yr. ADP</t>
        </is>
      </c>
      <c r="R286" s="1" t="inlineStr">
        <is>
          <t>Zero GTN</t>
        </is>
      </c>
      <c r="S286" s="1" t="n">
        <v>800</v>
      </c>
      <c r="T286" s="2" t="n">
        <v>33870</v>
      </c>
      <c r="U286" s="13" t="n">
        <v>35269.49152542373</v>
      </c>
      <c r="V286" s="13" t="n">
        <v>0</v>
      </c>
      <c r="W286" s="13" t="n">
        <v>4145</v>
      </c>
      <c r="X286" s="13" t="n"/>
      <c r="Y286" s="2">
        <f>(U286*0.98-S286-V286-W286-X286)*1.18/0.92</f>
        <v/>
      </c>
      <c r="Z286" s="18">
        <f>AC286</f>
        <v/>
      </c>
      <c r="AA286" s="5" t="inlineStr">
        <is>
          <t>Ok</t>
        </is>
      </c>
      <c r="AB286" s="5" t="n"/>
      <c r="AC286" s="14" t="n">
        <v>37990</v>
      </c>
      <c r="AD286" s="5">
        <f>(Y286-AC286)/1.18*0.92</f>
        <v/>
      </c>
      <c r="AE286" s="5" t="n"/>
      <c r="AF286" s="5">
        <f>W286+X286</f>
        <v/>
      </c>
      <c r="AG286" s="5" t="n"/>
      <c r="AH286" s="13" t="n">
        <v>0</v>
      </c>
      <c r="AI286" s="13" t="n">
        <v>4145</v>
      </c>
      <c r="AJ286" s="5" t="n"/>
      <c r="AL286" s="5" t="n"/>
      <c r="AM286" s="5" t="n">
        <v>37989.71739130434</v>
      </c>
      <c r="AN286" s="5">
        <f>Y286-AM286</f>
        <v/>
      </c>
      <c r="AO286" s="5" t="n"/>
      <c r="AP286" s="5">
        <f>U286-AL286</f>
        <v/>
      </c>
      <c r="AQ286" s="20" t="n">
        <v>0</v>
      </c>
      <c r="AR286" s="20" t="n">
        <v>4145</v>
      </c>
      <c r="AT286" s="3" t="n">
        <v>3</v>
      </c>
      <c r="AV286" s="5">
        <f>ROUNDUP((AT286/8)*80,0)</f>
        <v/>
      </c>
      <c r="AX286" s="38">
        <f>AV286*W286</f>
        <v/>
      </c>
      <c r="BA286" s="3" t="n">
        <v>0</v>
      </c>
      <c r="BB286" s="3" t="n">
        <v>0</v>
      </c>
      <c r="BC286" s="3" t="n">
        <v>1732</v>
      </c>
      <c r="BD286" s="3">
        <f>BC286+BB286+BA286</f>
        <v/>
      </c>
      <c r="BE286" s="3" t="n">
        <v>436</v>
      </c>
      <c r="BF286" s="3" t="n">
        <v>0</v>
      </c>
      <c r="BH286" s="3">
        <f>ROUNDUP(BD286*1.85,0)</f>
        <v/>
      </c>
      <c r="BJ286" s="38">
        <f>BH286*V286</f>
        <v/>
      </c>
      <c r="BL286" s="3">
        <f>U286*1.18</f>
        <v/>
      </c>
    </row>
    <row r="287">
      <c r="A287" s="1" t="inlineStr">
        <is>
          <t>82KU024GIN</t>
        </is>
      </c>
      <c r="B287" s="1">
        <f>IF(BL287&lt;40000,"Entry",IF(BL287&gt;65000,"Premium","Mainstream"))</f>
        <v/>
      </c>
      <c r="C287" s="1" t="inlineStr">
        <is>
          <t>Mainstream</t>
        </is>
      </c>
      <c r="D287" s="1" t="inlineStr">
        <is>
          <t>R7 OS Office</t>
        </is>
      </c>
      <c r="E287" s="1" t="inlineStr">
        <is>
          <t>Thin &amp; Light</t>
        </is>
      </c>
      <c r="F287" s="1" t="inlineStr">
        <is>
          <t>Slim 3</t>
        </is>
      </c>
      <c r="G287" s="1" t="inlineStr">
        <is>
          <t>IP 3 15ALC6</t>
        </is>
      </c>
      <c r="H287" s="1" t="inlineStr">
        <is>
          <t>R7</t>
        </is>
      </c>
      <c r="I287" s="1" t="inlineStr">
        <is>
          <t>5XXXU</t>
        </is>
      </c>
      <c r="J287" s="1" t="inlineStr">
        <is>
          <t>R7-5700U</t>
        </is>
      </c>
      <c r="K287" s="1" t="inlineStr">
        <is>
          <t>16GB</t>
        </is>
      </c>
      <c r="L287" s="1" t="inlineStr">
        <is>
          <t>512GB SSD</t>
        </is>
      </c>
      <c r="M287" s="1" t="inlineStr">
        <is>
          <t>Windows 11</t>
        </is>
      </c>
      <c r="N287" s="1" t="inlineStr">
        <is>
          <t>Office 2021</t>
        </is>
      </c>
      <c r="O287" s="1" t="inlineStr">
        <is>
          <t>INTEGRATED_GRAPHICS</t>
        </is>
      </c>
      <c r="P287" s="1" t="inlineStr">
        <is>
          <t>15.6FHD_AG_300N_N</t>
        </is>
      </c>
      <c r="Q287" s="1" t="inlineStr">
        <is>
          <t>1 Yr. Onsite + 1 Yr. ADP</t>
        </is>
      </c>
      <c r="R287" s="1" t="inlineStr">
        <is>
          <t>Full GTN</t>
        </is>
      </c>
      <c r="S287" s="1" t="n">
        <v>0</v>
      </c>
      <c r="T287" s="2" t="n"/>
      <c r="U287" s="13" t="n">
        <v>45076.27118644068</v>
      </c>
      <c r="V287" s="13" t="n">
        <v>0</v>
      </c>
      <c r="W287" s="13" t="n">
        <v>363</v>
      </c>
      <c r="X287" s="13" t="n"/>
      <c r="Y287" s="2">
        <f>(U287*0.89-S287-V287-W287-X287)*1.18/0.92</f>
        <v/>
      </c>
      <c r="Z287" s="18">
        <f>AC287</f>
        <v/>
      </c>
      <c r="AA287" s="5" t="inlineStr">
        <is>
          <t>Ok</t>
        </is>
      </c>
      <c r="AB287" s="5" t="n"/>
      <c r="AC287" s="14" t="n">
        <v>50990</v>
      </c>
      <c r="AD287" s="5">
        <f>(Y287-AC287)/1.18*0.92</f>
        <v/>
      </c>
      <c r="AE287" s="5" t="n"/>
      <c r="AF287" s="5">
        <f>W287+X287</f>
        <v/>
      </c>
      <c r="AG287" s="5" t="n"/>
      <c r="AH287" s="13" t="n">
        <v>0</v>
      </c>
      <c r="AI287" s="13" t="n">
        <v>363</v>
      </c>
      <c r="AJ287" s="5" t="n"/>
      <c r="AL287" s="5" t="n"/>
      <c r="AM287" s="5" t="n">
        <v>50989.95652173913</v>
      </c>
      <c r="AN287" s="5">
        <f>Y287-AM287</f>
        <v/>
      </c>
      <c r="AO287" s="5" t="n"/>
      <c r="AP287" s="5">
        <f>U287-AL287</f>
        <v/>
      </c>
      <c r="AQ287" s="20" t="n">
        <v>0</v>
      </c>
      <c r="AR287" s="20" t="n">
        <v>363</v>
      </c>
      <c r="AT287" s="3" t="n">
        <v>0</v>
      </c>
      <c r="AV287" s="5">
        <f>ROUNDUP((AT287/8)*80,0)</f>
        <v/>
      </c>
      <c r="AX287" s="38">
        <f>AV287*W287</f>
        <v/>
      </c>
      <c r="BA287" s="3" t="n">
        <v>0</v>
      </c>
      <c r="BB287" s="3" t="n">
        <v>0</v>
      </c>
      <c r="BC287" s="3" t="n">
        <v>0</v>
      </c>
      <c r="BD287" s="3">
        <f>BC287+BB287+BA287</f>
        <v/>
      </c>
      <c r="BE287" s="3" t="n">
        <v>1459</v>
      </c>
      <c r="BF287" s="3" t="n">
        <v>0</v>
      </c>
      <c r="BH287" s="3">
        <f>ROUNDUP(BD287*1.85,0)</f>
        <v/>
      </c>
      <c r="BJ287" s="38">
        <f>BH287*V287</f>
        <v/>
      </c>
      <c r="BL287" s="3">
        <f>U287*1.18</f>
        <v/>
      </c>
    </row>
    <row r="288">
      <c r="A288" s="1" t="inlineStr">
        <is>
          <t>82SB00Y9IN</t>
        </is>
      </c>
      <c r="B288" s="1">
        <f>IF(BL288&lt;40000,"Entry",IF(BL288&gt;65000,"Premium","Mainstream"))</f>
        <v/>
      </c>
      <c r="C288" s="1" t="inlineStr">
        <is>
          <t>Premium</t>
        </is>
      </c>
      <c r="D288" s="1" t="inlineStr">
        <is>
          <t>R7 OS 4GB GFX Office</t>
        </is>
      </c>
      <c r="E288" s="1" t="inlineStr">
        <is>
          <t>Gaming</t>
        </is>
      </c>
      <c r="F288" s="1" t="inlineStr">
        <is>
          <t>IP Gaming 3</t>
        </is>
      </c>
      <c r="G288" s="1" t="inlineStr">
        <is>
          <t>IdeaPad Gaming 3 15ARH7</t>
        </is>
      </c>
      <c r="H288" s="1" t="inlineStr">
        <is>
          <t>R7</t>
        </is>
      </c>
      <c r="I288" s="1" t="inlineStr">
        <is>
          <t>6XXXH</t>
        </is>
      </c>
      <c r="J288" s="1" t="inlineStr">
        <is>
          <t>R7 6800H</t>
        </is>
      </c>
      <c r="K288" s="1" t="inlineStr">
        <is>
          <t>16GB</t>
        </is>
      </c>
      <c r="L288" s="1" t="inlineStr">
        <is>
          <t>512GB SSD</t>
        </is>
      </c>
      <c r="M288" s="1" t="inlineStr">
        <is>
          <t>Windows 11</t>
        </is>
      </c>
      <c r="N288" s="1" t="inlineStr">
        <is>
          <t>OFFICE 2021</t>
        </is>
      </c>
      <c r="O288" s="1" t="inlineStr">
        <is>
          <t>RTX 3050 4GB</t>
        </is>
      </c>
      <c r="P288" s="1" t="inlineStr">
        <is>
          <t>15.6FHD_AG_250N_120_N</t>
        </is>
      </c>
      <c r="Q288" s="1" t="inlineStr">
        <is>
          <t>1 Year onsite</t>
        </is>
      </c>
      <c r="R288" s="1" t="inlineStr">
        <is>
          <t>Zero GTN</t>
        </is>
      </c>
      <c r="S288" s="1" t="n">
        <v>725</v>
      </c>
      <c r="T288" s="2">
        <f>U288*0.98*0.98</f>
        <v/>
      </c>
      <c r="U288" s="13" t="n">
        <v>64056.77966101695</v>
      </c>
      <c r="V288" s="13" t="n">
        <v>7482</v>
      </c>
      <c r="W288" s="13" t="n">
        <v>1559</v>
      </c>
      <c r="X288" s="13" t="n"/>
      <c r="Y288" s="2">
        <f>(U288*0.98-S288-V288-W288-X288)*1.18/0.92</f>
        <v/>
      </c>
      <c r="Z288" s="1" t="n">
        <v>67990</v>
      </c>
      <c r="AA288" s="5" t="n"/>
      <c r="AB288" s="5" t="n"/>
      <c r="AC288" s="14" t="n">
        <v>67990</v>
      </c>
      <c r="AD288" s="5">
        <f>(Y288-AC288)/1.18*0.92</f>
        <v/>
      </c>
      <c r="AE288" s="5" t="n"/>
      <c r="AF288" s="5">
        <f>W288+X288</f>
        <v/>
      </c>
      <c r="AG288" s="5" t="n"/>
      <c r="AH288" s="13" t="n">
        <v>7482</v>
      </c>
      <c r="AI288" s="13" t="n">
        <v>1559</v>
      </c>
      <c r="AJ288" s="5" t="n"/>
      <c r="AL288" s="5" t="n"/>
      <c r="AM288" s="5" t="n">
        <v>67990.63043478261</v>
      </c>
      <c r="AN288" s="5">
        <f>Y288-AM288</f>
        <v/>
      </c>
      <c r="AO288" s="5" t="n"/>
      <c r="AP288" s="5">
        <f>U288-AL288</f>
        <v/>
      </c>
      <c r="AQ288" s="20" t="n"/>
      <c r="AR288" s="20" t="n"/>
      <c r="AT288" s="3" t="n">
        <v>0</v>
      </c>
      <c r="AV288" s="5">
        <f>ROUNDUP((AT288/8)*80,0)</f>
        <v/>
      </c>
      <c r="AX288" s="38">
        <f>AV288*W288</f>
        <v/>
      </c>
      <c r="BA288" s="3" t="n">
        <v>0</v>
      </c>
      <c r="BB288" s="3" t="n">
        <v>0</v>
      </c>
      <c r="BC288" s="3" t="n">
        <v>375</v>
      </c>
      <c r="BD288" s="3">
        <f>BC288+BB288+BA288</f>
        <v/>
      </c>
      <c r="BE288" s="3" t="n">
        <v>236</v>
      </c>
      <c r="BF288" s="3" t="n">
        <v>0</v>
      </c>
      <c r="BH288" s="3">
        <f>ROUNDUP(BD288*1.85,0)</f>
        <v/>
      </c>
      <c r="BJ288" s="38">
        <f>BH288*V288</f>
        <v/>
      </c>
      <c r="BL288" s="3">
        <f>U288*1.18</f>
        <v/>
      </c>
    </row>
    <row r="289">
      <c r="A289" s="1" t="inlineStr">
        <is>
          <t>82SB00VGIN</t>
        </is>
      </c>
      <c r="B289" s="1">
        <f>IF(BL289&lt;40000,"Entry",IF(BL289&gt;65000,"Premium","Mainstream"))</f>
        <v/>
      </c>
      <c r="C289" s="1" t="inlineStr">
        <is>
          <t>Premium</t>
        </is>
      </c>
      <c r="D289" s="1" t="inlineStr">
        <is>
          <t>R7 OS 4GB GFX Office</t>
        </is>
      </c>
      <c r="E289" s="1" t="inlineStr">
        <is>
          <t>Gaming</t>
        </is>
      </c>
      <c r="F289" s="1" t="inlineStr">
        <is>
          <t>IP Gaming 3</t>
        </is>
      </c>
      <c r="G289" s="1" t="inlineStr">
        <is>
          <t>IdeaPad Gaming 3 15ARH7</t>
        </is>
      </c>
      <c r="H289" s="1" t="inlineStr">
        <is>
          <t>R7</t>
        </is>
      </c>
      <c r="I289" s="1" t="inlineStr">
        <is>
          <t>6XXXH</t>
        </is>
      </c>
      <c r="J289" s="1" t="inlineStr">
        <is>
          <t>R7 6800H</t>
        </is>
      </c>
      <c r="K289" s="1" t="inlineStr">
        <is>
          <t>8GB</t>
        </is>
      </c>
      <c r="L289" s="1" t="inlineStr">
        <is>
          <t>512GB SSD</t>
        </is>
      </c>
      <c r="M289" s="1" t="inlineStr">
        <is>
          <t>Windows 11</t>
        </is>
      </c>
      <c r="N289" s="1" t="inlineStr">
        <is>
          <t>OFFICE 2021</t>
        </is>
      </c>
      <c r="O289" s="1" t="inlineStr">
        <is>
          <t>RTX 3050 4GB</t>
        </is>
      </c>
      <c r="P289" s="1" t="inlineStr">
        <is>
          <t>15.6FHD_AG_250N_120_N</t>
        </is>
      </c>
      <c r="Q289" s="1" t="inlineStr">
        <is>
          <t>1 Year onsite</t>
        </is>
      </c>
      <c r="R289" s="1" t="inlineStr">
        <is>
          <t>Full GTN</t>
        </is>
      </c>
      <c r="S289" s="1" t="n">
        <v>0</v>
      </c>
      <c r="T289" s="2">
        <f>U289*0.965*0.98</f>
        <v/>
      </c>
      <c r="U289" s="13" t="n">
        <v>67110.16949152543</v>
      </c>
      <c r="V289" s="13" t="n">
        <v>6827</v>
      </c>
      <c r="W289" s="13" t="n">
        <v>1559</v>
      </c>
      <c r="X289" s="13" t="n"/>
      <c r="Y289" s="2">
        <f>(U289*0.88-S289-V289-W289-X289)*1.18/0.92</f>
        <v/>
      </c>
      <c r="Z289" s="1" t="n">
        <v>64990</v>
      </c>
      <c r="AA289" s="5" t="n"/>
      <c r="AB289" s="5" t="n"/>
      <c r="AC289" s="14" t="n">
        <v>64990</v>
      </c>
      <c r="AD289" s="5" t="n">
        <v>0</v>
      </c>
      <c r="AE289" s="5" t="n"/>
      <c r="AF289" s="5">
        <f>W289+X289</f>
        <v/>
      </c>
      <c r="AG289" s="5" t="n"/>
      <c r="AH289" s="36" t="n">
        <v>6827</v>
      </c>
      <c r="AI289" s="36" t="n">
        <v>1559</v>
      </c>
      <c r="AJ289" s="5" t="n"/>
      <c r="AL289" s="5" t="n"/>
      <c r="AM289" s="5" t="n">
        <v>64991.00000000001</v>
      </c>
      <c r="AN289" s="5">
        <f>Y289-AM289</f>
        <v/>
      </c>
      <c r="AO289" s="5" t="n"/>
      <c r="AP289" s="5">
        <f>U289-AL289</f>
        <v/>
      </c>
      <c r="AQ289" s="20" t="n"/>
      <c r="AR289" s="20" t="n"/>
      <c r="AT289" s="3" t="n">
        <v>0</v>
      </c>
      <c r="AV289" s="5">
        <f>ROUNDUP((AT289/8)*80,0)</f>
        <v/>
      </c>
      <c r="AX289" s="38">
        <f>AV289*W289</f>
        <v/>
      </c>
      <c r="BA289" s="3" t="n">
        <v>0</v>
      </c>
      <c r="BB289" s="3" t="n">
        <v>0</v>
      </c>
      <c r="BC289" s="3" t="n">
        <v>395</v>
      </c>
      <c r="BD289" s="3">
        <f>BC289+BB289+BA289</f>
        <v/>
      </c>
      <c r="BE289" s="3" t="n">
        <v>0</v>
      </c>
      <c r="BF289" s="3" t="n">
        <v>4</v>
      </c>
      <c r="BH289" s="3">
        <f>ROUNDUP(BD289*1.85,0)</f>
        <v/>
      </c>
      <c r="BJ289" s="38">
        <f>BH289*V289</f>
        <v/>
      </c>
      <c r="BL289" s="3">
        <f>U289*1.18</f>
        <v/>
      </c>
    </row>
    <row r="290">
      <c r="A290" s="1" t="inlineStr">
        <is>
          <t>83DJ007UIN</t>
        </is>
      </c>
      <c r="B290" s="1">
        <f>IF(BL290&lt;40000,"Entry",IF(BL290&gt;65000,"Premium","Mainstream"))</f>
        <v/>
      </c>
      <c r="C290" s="1" t="inlineStr">
        <is>
          <t>Premium</t>
        </is>
      </c>
      <c r="D290" s="1" t="inlineStr">
        <is>
          <t>Ultra 5 OS Office</t>
        </is>
      </c>
      <c r="E290" s="1" t="inlineStr">
        <is>
          <t>Convertible</t>
        </is>
      </c>
      <c r="F290" s="1" t="inlineStr">
        <is>
          <t>Yoga 7 2-in-1</t>
        </is>
      </c>
      <c r="G290" s="1" t="inlineStr">
        <is>
          <t>Yoga 7 2-in-1 14IML9</t>
        </is>
      </c>
      <c r="H290" s="1" t="inlineStr">
        <is>
          <t>Core Ultra 5</t>
        </is>
      </c>
      <c r="I290" s="1" t="inlineStr">
        <is>
          <t>Ultra</t>
        </is>
      </c>
      <c r="J290" s="1" t="inlineStr">
        <is>
          <t>Ultra 5 125H</t>
        </is>
      </c>
      <c r="K290" s="1" t="inlineStr">
        <is>
          <t>16GB</t>
        </is>
      </c>
      <c r="L290" s="1" t="inlineStr">
        <is>
          <t>1TB</t>
        </is>
      </c>
      <c r="M290" s="1" t="inlineStr">
        <is>
          <t>Windows 11</t>
        </is>
      </c>
      <c r="N290" s="1" t="inlineStr">
        <is>
          <t>OFFICE 2021</t>
        </is>
      </c>
      <c r="O290" s="10" t="inlineStr">
        <is>
          <t>Intel Arc Graphics</t>
        </is>
      </c>
      <c r="P290" s="1" t="inlineStr">
        <is>
          <t>14_WUXGA_OLED_GL_400N_HDR_P3</t>
        </is>
      </c>
      <c r="Q290" s="1" t="inlineStr">
        <is>
          <t>1 Year onsite + 1 year PC</t>
        </is>
      </c>
      <c r="R290" s="1" t="inlineStr">
        <is>
          <t>Full GTN</t>
        </is>
      </c>
      <c r="S290" s="1" t="n">
        <v>0</v>
      </c>
      <c r="T290" s="2">
        <f>U290*0.965*0.98</f>
        <v/>
      </c>
      <c r="U290" s="13" t="n">
        <v>89474.96147919877</v>
      </c>
      <c r="V290" s="13" t="n"/>
      <c r="W290" s="13" t="n"/>
      <c r="X290" s="13" t="n"/>
      <c r="Y290" s="2">
        <f>(U290*0.88-S290-V290-W290-X290)*1.18/0.92</f>
        <v/>
      </c>
      <c r="Z290" s="15" t="n">
        <v>100990</v>
      </c>
      <c r="AA290" s="5" t="n"/>
      <c r="AB290" s="5" t="n"/>
      <c r="AC290" s="14" t="n">
        <v>0</v>
      </c>
      <c r="AD290" s="5">
        <f>(Y290-AC290)/1.18*0.92</f>
        <v/>
      </c>
      <c r="AF290" s="5">
        <f>W290+X290</f>
        <v/>
      </c>
      <c r="AH290" s="13" t="n"/>
      <c r="AI290" s="13" t="n"/>
      <c r="AL290" s="5" t="n"/>
      <c r="AM290" s="5" t="n">
        <v>0</v>
      </c>
      <c r="AN290" s="5">
        <f>Y290-AM290</f>
        <v/>
      </c>
      <c r="AO290" s="5" t="n"/>
      <c r="AP290" s="5" t="n"/>
      <c r="AT290" s="3" t="n">
        <v>0</v>
      </c>
      <c r="AV290" s="5">
        <f>ROUNDUP((AT290/8)*80,0)</f>
        <v/>
      </c>
      <c r="AX290" s="38">
        <f>AV290*W290</f>
        <v/>
      </c>
      <c r="BA290" s="3" t="n">
        <v>0</v>
      </c>
      <c r="BB290" s="3" t="n">
        <v>0</v>
      </c>
      <c r="BC290" s="3" t="n">
        <v>0</v>
      </c>
      <c r="BD290" s="3">
        <f>BC290+BB290+BA290</f>
        <v/>
      </c>
      <c r="BE290" s="3" t="n">
        <v>0</v>
      </c>
      <c r="BF290" s="3" t="n">
        <v>100</v>
      </c>
      <c r="BH290" s="3">
        <f>ROUNDUP(BD290*1.85,0)</f>
        <v/>
      </c>
      <c r="BJ290" s="38">
        <f>BH290*V290</f>
        <v/>
      </c>
      <c r="BL290" s="3">
        <f>U290*1.18</f>
        <v/>
      </c>
    </row>
    <row r="291">
      <c r="A291" s="1" t="inlineStr">
        <is>
          <t>82V700ECIN</t>
        </is>
      </c>
      <c r="B291" s="1">
        <f>IF(BL291&lt;40000,"Entry",IF(BL291&gt;65000,"Premium","Mainstream"))</f>
        <v/>
      </c>
      <c r="C291" s="1" t="inlineStr">
        <is>
          <t>Entry</t>
        </is>
      </c>
      <c r="D291" s="1" t="inlineStr">
        <is>
          <t>CDC OS Office</t>
        </is>
      </c>
      <c r="E291" s="1" t="inlineStr">
        <is>
          <t>Thin &amp; Light</t>
        </is>
      </c>
      <c r="F291" s="1" t="inlineStr">
        <is>
          <t>Slim 3</t>
        </is>
      </c>
      <c r="G291" s="1" t="inlineStr">
        <is>
          <t>IdeaPad 3 15IGL05</t>
        </is>
      </c>
      <c r="H291" s="1" t="inlineStr">
        <is>
          <t>Celeron</t>
        </is>
      </c>
      <c r="I291" s="1" t="inlineStr">
        <is>
          <t>4XXX</t>
        </is>
      </c>
      <c r="J291" s="1" t="inlineStr">
        <is>
          <t>N4020</t>
        </is>
      </c>
      <c r="K291" s="1" t="inlineStr">
        <is>
          <t>8GB</t>
        </is>
      </c>
      <c r="L291" s="1" t="inlineStr">
        <is>
          <t>512GB SSD</t>
        </is>
      </c>
      <c r="M291" s="1" t="inlineStr">
        <is>
          <t>Windows 11</t>
        </is>
      </c>
      <c r="N291" s="1" t="inlineStr">
        <is>
          <t>Office 2021</t>
        </is>
      </c>
      <c r="O291" s="1" t="inlineStr">
        <is>
          <t>INTEGRATED_GRAPHICS</t>
        </is>
      </c>
      <c r="P291" s="1" t="inlineStr">
        <is>
          <t>15.6HD_TN_AG_220N_N</t>
        </is>
      </c>
      <c r="Q291" s="1" t="inlineStr">
        <is>
          <t>1 Yr. Onsite + 1 Yr. ADP</t>
        </is>
      </c>
      <c r="R291" s="1" t="inlineStr">
        <is>
          <t>Zero GTN</t>
        </is>
      </c>
      <c r="S291" s="1" t="n">
        <v>725</v>
      </c>
      <c r="T291" s="2" t="n">
        <v>24197.19661016949</v>
      </c>
      <c r="U291" s="13" t="n">
        <v>25195</v>
      </c>
      <c r="V291" s="13" t="n">
        <v>1754</v>
      </c>
      <c r="W291" s="13" t="n">
        <v>0</v>
      </c>
      <c r="X291" s="13" t="n"/>
      <c r="Y291" s="2">
        <f>(U291*0.98-S291-V291-W291-X291)*1.18/0.92</f>
        <v/>
      </c>
      <c r="Z291" s="18">
        <f>AC291</f>
        <v/>
      </c>
      <c r="AA291" s="5" t="inlineStr">
        <is>
          <t>Ok</t>
        </is>
      </c>
      <c r="AB291" s="5" t="n"/>
      <c r="AC291" s="14" t="n">
        <v>28490</v>
      </c>
      <c r="AD291" s="5">
        <f>(Y291-AC291)/1.18*0.92</f>
        <v/>
      </c>
      <c r="AE291" s="5" t="n"/>
      <c r="AF291" s="5">
        <f>W291+X291</f>
        <v/>
      </c>
      <c r="AG291" s="5" t="n"/>
      <c r="AH291" s="13" t="n">
        <v>1754</v>
      </c>
      <c r="AI291" s="13" t="n">
        <v>0</v>
      </c>
      <c r="AJ291" s="5" t="n"/>
      <c r="AL291" s="5" t="n"/>
      <c r="AM291" s="5" t="n">
        <v>0</v>
      </c>
      <c r="AN291" s="5">
        <f>Y291-AM291</f>
        <v/>
      </c>
      <c r="AO291" s="5" t="n"/>
      <c r="AP291" s="5">
        <f>U291-AL291</f>
        <v/>
      </c>
      <c r="AQ291" s="20" t="n">
        <v>309.502711864403</v>
      </c>
      <c r="AR291" s="20" t="n">
        <v>1559.322033898308</v>
      </c>
      <c r="AT291" s="3" t="n">
        <v>0</v>
      </c>
      <c r="AV291" s="5">
        <f>ROUNDUP((AT291/8)*80,0)</f>
        <v/>
      </c>
      <c r="AX291" s="38">
        <f>AV291*W291</f>
        <v/>
      </c>
      <c r="BA291" s="3" t="n">
        <v>0</v>
      </c>
      <c r="BB291" s="3" t="n">
        <v>0</v>
      </c>
      <c r="BC291" s="3" t="n">
        <v>0</v>
      </c>
      <c r="BD291" s="3">
        <f>BC291+BB291+BA291</f>
        <v/>
      </c>
      <c r="BE291" s="3" t="n">
        <v>2706</v>
      </c>
      <c r="BF291" s="3" t="n">
        <v>1000</v>
      </c>
      <c r="BH291" s="3">
        <f>ROUNDUP(BD291*1.85,0)</f>
        <v/>
      </c>
      <c r="BJ291" s="38">
        <f>BH291*V291</f>
        <v/>
      </c>
      <c r="BL291" s="3">
        <f>U291*1.18</f>
        <v/>
      </c>
    </row>
    <row r="292">
      <c r="A292" s="1" t="inlineStr">
        <is>
          <t>82R400EFIN</t>
        </is>
      </c>
      <c r="B292" s="1">
        <f>IF(BL292&lt;40000,"Entry",IF(BL292&gt;65000,"Premium","Mainstream"))</f>
        <v/>
      </c>
      <c r="C292" s="1" t="inlineStr">
        <is>
          <t>Mainstream</t>
        </is>
      </c>
      <c r="D292" s="1" t="inlineStr">
        <is>
          <t>R7 OS Office</t>
        </is>
      </c>
      <c r="E292" s="1" t="inlineStr">
        <is>
          <t>Thin &amp; Light</t>
        </is>
      </c>
      <c r="F292" s="1" t="inlineStr">
        <is>
          <t>Slim 1</t>
        </is>
      </c>
      <c r="G292" s="1" t="inlineStr">
        <is>
          <t>IP 1 15ALC6</t>
        </is>
      </c>
      <c r="H292" s="1" t="inlineStr">
        <is>
          <t>R7</t>
        </is>
      </c>
      <c r="I292" s="1" t="inlineStr">
        <is>
          <t>5XXXU</t>
        </is>
      </c>
      <c r="J292" s="1" t="inlineStr">
        <is>
          <t>R7-5700U</t>
        </is>
      </c>
      <c r="K292" s="1" t="inlineStr">
        <is>
          <t>16GB</t>
        </is>
      </c>
      <c r="L292" s="1" t="inlineStr">
        <is>
          <t>512GB SSD</t>
        </is>
      </c>
      <c r="M292" s="1" t="inlineStr">
        <is>
          <t>Windows 11</t>
        </is>
      </c>
      <c r="N292" s="1" t="inlineStr">
        <is>
          <t>Office 2021</t>
        </is>
      </c>
      <c r="O292" s="1" t="inlineStr">
        <is>
          <t>INTEGRATED_GRAPHICS</t>
        </is>
      </c>
      <c r="P292" s="1" t="inlineStr">
        <is>
          <t>15.6FHD_AG_220N_N</t>
        </is>
      </c>
      <c r="Q292" s="1" t="inlineStr">
        <is>
          <t>1 Yr. Onsite + 1 Yr. ADP</t>
        </is>
      </c>
      <c r="R292" s="1" t="inlineStr">
        <is>
          <t>Zero GTN</t>
        </is>
      </c>
      <c r="S292" s="1" t="n">
        <v>0</v>
      </c>
      <c r="T292" s="2" t="n"/>
      <c r="U292" s="13" t="n">
        <v>43524.57627118644</v>
      </c>
      <c r="V292" s="13" t="n">
        <v>3289</v>
      </c>
      <c r="W292" s="13" t="n">
        <v>0</v>
      </c>
      <c r="X292" s="13" t="n"/>
      <c r="Y292" s="2">
        <f>(U292*0.98-S292-V292-W292-X292)*1.18/0.92</f>
        <v/>
      </c>
      <c r="Z292" s="18">
        <f>AC292</f>
        <v/>
      </c>
      <c r="AA292" s="5" t="inlineStr">
        <is>
          <t>Ok</t>
        </is>
      </c>
      <c r="AB292" s="5" t="n"/>
      <c r="AC292" s="14" t="n">
        <v>50490</v>
      </c>
      <c r="AD292" s="5">
        <f>(Y292-AC292)/1.18*0.92</f>
        <v/>
      </c>
      <c r="AE292" s="5" t="n"/>
      <c r="AF292" s="5">
        <f>W292+X292</f>
        <v/>
      </c>
      <c r="AG292" s="5" t="n"/>
      <c r="AH292" s="13" t="n">
        <v>3289</v>
      </c>
      <c r="AI292" s="13" t="n">
        <v>0</v>
      </c>
      <c r="AJ292" s="5" t="n"/>
      <c r="AL292" s="5" t="n"/>
      <c r="AM292" s="5" t="n">
        <v>0</v>
      </c>
      <c r="AN292" s="5">
        <f>Y292-AM292</f>
        <v/>
      </c>
      <c r="AO292" s="5" t="n"/>
      <c r="AP292" s="5">
        <f>U292-AL292</f>
        <v/>
      </c>
      <c r="AQ292" s="20" t="n">
        <v>0</v>
      </c>
      <c r="AR292" s="20" t="n">
        <v>363</v>
      </c>
      <c r="AT292" s="3" t="n">
        <v>0</v>
      </c>
      <c r="AV292" s="5">
        <f>ROUNDUP((AT292/8)*80,0)</f>
        <v/>
      </c>
      <c r="AX292" s="38">
        <f>AV292*W292</f>
        <v/>
      </c>
      <c r="BA292" s="3" t="n">
        <v>0</v>
      </c>
      <c r="BB292" s="3" t="n">
        <v>0</v>
      </c>
      <c r="BC292" s="3" t="n">
        <v>0</v>
      </c>
      <c r="BD292" s="3">
        <f>BC292+BB292+BA292</f>
        <v/>
      </c>
      <c r="BE292" s="3" t="n">
        <v>1499</v>
      </c>
      <c r="BF292" s="3" t="n">
        <v>0</v>
      </c>
      <c r="BH292" s="3">
        <f>ROUNDUP(BD292*1.85,0)</f>
        <v/>
      </c>
      <c r="BJ292" s="38">
        <f>BH292*V292</f>
        <v/>
      </c>
      <c r="BL292" s="3">
        <f>U292*1.18</f>
        <v/>
      </c>
    </row>
    <row r="293">
      <c r="A293" s="14" t="inlineStr">
        <is>
          <t>83ER00BCIN</t>
        </is>
      </c>
      <c r="B293" s="1">
        <f>IF(BL293&lt;40000,"Entry",IF(BL293&gt;65000,"Premium","Mainstream"))</f>
        <v/>
      </c>
      <c r="C293" s="1" t="inlineStr">
        <is>
          <t>Premium</t>
        </is>
      </c>
      <c r="D293" s="1" t="inlineStr">
        <is>
          <t>i5 OS Office</t>
        </is>
      </c>
      <c r="E293" s="1" t="inlineStr">
        <is>
          <t>Thin &amp; Light</t>
        </is>
      </c>
      <c r="F293" s="1" t="inlineStr">
        <is>
          <t>Slim 3</t>
        </is>
      </c>
      <c r="G293" s="1" t="inlineStr">
        <is>
          <t>IdeaPad 3 15IAH8</t>
        </is>
      </c>
      <c r="H293" s="1" t="inlineStr">
        <is>
          <t>i5</t>
        </is>
      </c>
      <c r="I293" s="1" t="inlineStr">
        <is>
          <t>12th Gen</t>
        </is>
      </c>
      <c r="J293" s="1" t="inlineStr">
        <is>
          <t>i5 12450H</t>
        </is>
      </c>
      <c r="K293" s="1" t="inlineStr">
        <is>
          <t>16GB</t>
        </is>
      </c>
      <c r="L293" s="1" t="inlineStr">
        <is>
          <t>512GB SSD</t>
        </is>
      </c>
      <c r="M293" s="1" t="inlineStr">
        <is>
          <t>Win11</t>
        </is>
      </c>
      <c r="N293" s="1" t="inlineStr">
        <is>
          <t>Office 2021</t>
        </is>
      </c>
      <c r="O293" s="1" t="inlineStr">
        <is>
          <t>INTEGRATED_GRAPHICS</t>
        </is>
      </c>
      <c r="P293" s="1" t="inlineStr">
        <is>
          <t>15.6FHD_AG_300N_N</t>
        </is>
      </c>
      <c r="Q293" s="1" t="inlineStr">
        <is>
          <t>1 Yr. Onsite + 1 Yr. ADP</t>
        </is>
      </c>
      <c r="R293" s="1" t="inlineStr">
        <is>
          <t>Full GTN</t>
        </is>
      </c>
      <c r="S293" s="1" t="n">
        <v>0</v>
      </c>
      <c r="T293" s="2">
        <f>U293*0.98*0.965</f>
        <v/>
      </c>
      <c r="U293" s="13" t="n">
        <v>49898.20878274269</v>
      </c>
      <c r="V293" s="13" t="n">
        <v>0</v>
      </c>
      <c r="W293" s="13" t="n">
        <v>1224</v>
      </c>
      <c r="X293" s="13" t="n"/>
      <c r="Y293" s="2">
        <f>(U293*0.89-S293-V293-W293-X293)*1.18/0.92</f>
        <v/>
      </c>
      <c r="Z293" s="18">
        <f>AC293</f>
        <v/>
      </c>
      <c r="AA293" s="5" t="inlineStr">
        <is>
          <t>Ok</t>
        </is>
      </c>
      <c r="AB293" s="5" t="n"/>
      <c r="AC293" s="14" t="n">
        <v>55390</v>
      </c>
      <c r="AD293" s="5">
        <f>(Y293-AC293)/1.18*0.92</f>
        <v/>
      </c>
      <c r="AE293" s="5" t="n"/>
      <c r="AF293" s="5">
        <f>W293+X293</f>
        <v/>
      </c>
      <c r="AG293" s="5" t="n"/>
      <c r="AH293" s="13" t="n">
        <v>0</v>
      </c>
      <c r="AI293" s="13" t="n">
        <v>725</v>
      </c>
      <c r="AM293" s="5" t="n">
        <v>0</v>
      </c>
      <c r="AN293" s="5">
        <f>Y293-AM293</f>
        <v/>
      </c>
      <c r="BL293" s="3">
        <f>U293*1.18</f>
        <v/>
      </c>
    </row>
    <row r="294">
      <c r="A294" s="1" t="inlineStr">
        <is>
          <t>82XT00EEIN</t>
        </is>
      </c>
      <c r="B294" s="1">
        <f>IF(BL294&lt;40000,"Entry",IF(BL294&gt;65000,"Premium","Mainstream"))</f>
        <v/>
      </c>
      <c r="C294" s="1" t="inlineStr">
        <is>
          <t>Premium</t>
        </is>
      </c>
      <c r="D294" s="1" t="inlineStr">
        <is>
          <t>R5 OS 6GB Graphics Office</t>
        </is>
      </c>
      <c r="E294" s="1" t="inlineStr">
        <is>
          <t>Gaming</t>
        </is>
      </c>
      <c r="F294" s="1" t="inlineStr">
        <is>
          <t>LOQ</t>
        </is>
      </c>
      <c r="G294" s="1" t="inlineStr">
        <is>
          <t>LOQ 15APH8</t>
        </is>
      </c>
      <c r="H294" s="1" t="inlineStr">
        <is>
          <t>R5</t>
        </is>
      </c>
      <c r="I294" s="1" t="inlineStr">
        <is>
          <t>7xxxHS</t>
        </is>
      </c>
      <c r="J294" s="29" t="inlineStr">
        <is>
          <t>R5 7640HS</t>
        </is>
      </c>
      <c r="K294" s="1" t="inlineStr">
        <is>
          <t>16GB</t>
        </is>
      </c>
      <c r="L294" s="1" t="inlineStr">
        <is>
          <t>512GB SSD</t>
        </is>
      </c>
      <c r="M294" s="1" t="inlineStr">
        <is>
          <t>Windows 11</t>
        </is>
      </c>
      <c r="N294" s="1" t="inlineStr">
        <is>
          <t xml:space="preserve">OFFICE H&amp;S 2021  </t>
        </is>
      </c>
      <c r="O294" s="1" t="inlineStr">
        <is>
          <t>RTX 3050 6GB</t>
        </is>
      </c>
      <c r="P294" s="1" t="inlineStr">
        <is>
          <t>15.6FHD_AG_350N_144_N</t>
        </is>
      </c>
      <c r="Q294" s="1" t="inlineStr">
        <is>
          <t>1 Year Onsite</t>
        </is>
      </c>
      <c r="R294" s="1" t="inlineStr">
        <is>
          <t>Zero GTN</t>
        </is>
      </c>
      <c r="S294" s="1" t="n">
        <v>0</v>
      </c>
      <c r="T294" s="2">
        <f>U294*0.98*0.98</f>
        <v/>
      </c>
      <c r="U294" s="2" t="n">
        <v>54090.97198201315</v>
      </c>
      <c r="V294" s="13" t="n">
        <v>0</v>
      </c>
      <c r="W294" s="13" t="n">
        <v>0</v>
      </c>
      <c r="X294" s="13" t="n"/>
      <c r="Y294" s="2">
        <f>(U294*0.98-S294-V294-W294-X294)*1.18/0.92</f>
        <v/>
      </c>
      <c r="Z294" s="1" t="n">
        <v>67990</v>
      </c>
      <c r="AA294" s="5" t="n"/>
      <c r="AB294" s="5" t="n"/>
      <c r="AC294" s="14" t="n">
        <v>67990</v>
      </c>
      <c r="AD294" s="5">
        <f>(Y294-AC294)/1.18*0.92</f>
        <v/>
      </c>
      <c r="AF294" s="5">
        <f>W294+X294</f>
        <v/>
      </c>
      <c r="AH294" s="3" t="n">
        <v>0</v>
      </c>
      <c r="AI294" s="3" t="n">
        <v>0</v>
      </c>
      <c r="AM294" s="5" t="n">
        <v>0</v>
      </c>
      <c r="AN294" s="5">
        <f>Y294-AM294</f>
        <v/>
      </c>
      <c r="BL294" s="3">
        <f>U294*1.18</f>
        <v/>
      </c>
    </row>
    <row r="295">
      <c r="A295" s="1" t="inlineStr">
        <is>
          <t>83B2007VIN</t>
        </is>
      </c>
      <c r="B295" s="1" t="inlineStr">
        <is>
          <t>Premium</t>
        </is>
      </c>
      <c r="C295" s="1" t="inlineStr">
        <is>
          <t>Premium</t>
        </is>
      </c>
      <c r="D295" s="1" t="inlineStr">
        <is>
          <t>R7 OS Office</t>
        </is>
      </c>
      <c r="E295" s="1" t="inlineStr">
        <is>
          <t>Convertible</t>
        </is>
      </c>
      <c r="F295" s="1" t="inlineStr">
        <is>
          <t>Yoga 6</t>
        </is>
      </c>
      <c r="G295" s="1" t="inlineStr">
        <is>
          <t>YG6 14ABR8</t>
        </is>
      </c>
      <c r="H295" s="1" t="inlineStr">
        <is>
          <t>R7</t>
        </is>
      </c>
      <c r="I295" s="1" t="inlineStr">
        <is>
          <t>7XXXU</t>
        </is>
      </c>
      <c r="J295" s="1" t="inlineStr">
        <is>
          <t>R7-7730U</t>
        </is>
      </c>
      <c r="K295" s="1" t="inlineStr">
        <is>
          <t>16GB</t>
        </is>
      </c>
      <c r="L295" s="1" t="inlineStr">
        <is>
          <t>1TB SSD</t>
        </is>
      </c>
      <c r="M295" s="1" t="inlineStr">
        <is>
          <t>Windows 11</t>
        </is>
      </c>
      <c r="N295" s="1" t="inlineStr">
        <is>
          <t>Office 2021</t>
        </is>
      </c>
      <c r="O295" s="1" t="inlineStr">
        <is>
          <t>INTEGRATED_GRAPHICS</t>
        </is>
      </c>
      <c r="P295" s="1" t="inlineStr">
        <is>
          <t>13.3_WUXGA_GL_300N_MT_N_SRGB</t>
        </is>
      </c>
      <c r="Q295" s="1" t="inlineStr">
        <is>
          <t>1 Yr Onsite + 1 Yr PC</t>
        </is>
      </c>
      <c r="R295" s="1" t="inlineStr">
        <is>
          <t>Full GTN</t>
        </is>
      </c>
      <c r="S295" s="1" t="n">
        <v>1881</v>
      </c>
      <c r="T295" s="2">
        <f>U295*0.98*0.965</f>
        <v/>
      </c>
      <c r="U295" s="2" t="n">
        <v>76432.20338983051</v>
      </c>
      <c r="V295" s="1" t="n"/>
      <c r="W295" s="1" t="n"/>
      <c r="X295" s="1" t="n"/>
      <c r="Y295" s="2">
        <f>(U295*0.88-S295-V295-W295-X295)*1.18/0.92</f>
        <v/>
      </c>
      <c r="Z295" s="1" t="n"/>
      <c r="AD295" s="5">
        <f>(Y295-AC295)/1.18*0.92</f>
        <v/>
      </c>
      <c r="AF295" s="5">
        <f>W295+X295</f>
        <v/>
      </c>
    </row>
    <row r="296">
      <c r="A296" s="1" t="inlineStr">
        <is>
          <t>83DV007GIN</t>
        </is>
      </c>
      <c r="B296" s="1" t="inlineStr">
        <is>
          <t>Premium</t>
        </is>
      </c>
      <c r="C296" s="1" t="inlineStr">
        <is>
          <t>Premium</t>
        </is>
      </c>
      <c r="D296" s="1" t="n"/>
      <c r="E296" s="1" t="inlineStr">
        <is>
          <t>Gaming</t>
        </is>
      </c>
      <c r="F296" s="1" t="inlineStr">
        <is>
          <t>LOQ</t>
        </is>
      </c>
      <c r="G296" s="1" t="inlineStr">
        <is>
          <t>LOQ 15IRX9</t>
        </is>
      </c>
      <c r="H296" s="1" t="inlineStr">
        <is>
          <t>i5</t>
        </is>
      </c>
      <c r="I296" s="1" t="inlineStr">
        <is>
          <t>13th Gen</t>
        </is>
      </c>
      <c r="J296" s="29" t="inlineStr">
        <is>
          <t>I5 13450HX</t>
        </is>
      </c>
      <c r="K296" s="1" t="inlineStr">
        <is>
          <t>16GB</t>
        </is>
      </c>
      <c r="L296" s="1" t="inlineStr">
        <is>
          <t>512GB SSD</t>
        </is>
      </c>
      <c r="M296" s="1" t="inlineStr">
        <is>
          <t>Windows 11</t>
        </is>
      </c>
      <c r="N296" s="1" t="inlineStr">
        <is>
          <t>Office 2021</t>
        </is>
      </c>
      <c r="O296" s="1" t="inlineStr">
        <is>
          <t>RTX 4050 6GB</t>
        </is>
      </c>
      <c r="P296" s="1" t="inlineStr">
        <is>
          <t>15.6_FHD_AG_300N_144_SRGB</t>
        </is>
      </c>
      <c r="Q296" s="1" t="inlineStr">
        <is>
          <t>1 Year Onsite</t>
        </is>
      </c>
      <c r="R296" s="1" t="inlineStr">
        <is>
          <t>Zero GTN</t>
        </is>
      </c>
      <c r="S296" s="1" t="n">
        <v>0</v>
      </c>
      <c r="T296" s="2" t="n">
        <v>65701.94067796611</v>
      </c>
      <c r="U296" s="2" t="n">
        <v>68411.01694915254</v>
      </c>
      <c r="V296" s="28" t="n">
        <v>1559</v>
      </c>
      <c r="W296" s="1" t="n"/>
      <c r="X296" s="1" t="n"/>
      <c r="Y296" s="2">
        <f>(U296*0.98-S296-V296-W296-X296)*1.18/0.92</f>
        <v/>
      </c>
      <c r="Z296" s="1" t="n">
        <v>83990</v>
      </c>
      <c r="AA296" s="5" t="n"/>
      <c r="AC296" s="14" t="n">
        <v>83990</v>
      </c>
      <c r="AD296" s="5">
        <f>(Y296-AC296)/1.18*0.92</f>
        <v/>
      </c>
      <c r="AF296" s="5">
        <f>W296+X296</f>
        <v/>
      </c>
    </row>
    <row r="297">
      <c r="A297" s="1" t="inlineStr">
        <is>
          <t>83DV00LWIN</t>
        </is>
      </c>
      <c r="B297" s="1" t="inlineStr">
        <is>
          <t>Premium</t>
        </is>
      </c>
      <c r="C297" s="1" t="inlineStr">
        <is>
          <t>Premium</t>
        </is>
      </c>
      <c r="D297" s="1" t="n"/>
      <c r="E297" s="1" t="inlineStr">
        <is>
          <t>Gaming</t>
        </is>
      </c>
      <c r="F297" s="1" t="inlineStr">
        <is>
          <t>LOQ</t>
        </is>
      </c>
      <c r="G297" s="1" t="inlineStr">
        <is>
          <t>LOQ 15IRX9</t>
        </is>
      </c>
      <c r="H297" s="1" t="inlineStr">
        <is>
          <t>i7</t>
        </is>
      </c>
      <c r="I297" s="1" t="inlineStr">
        <is>
          <t>13th Gen</t>
        </is>
      </c>
      <c r="J297" s="29" t="inlineStr">
        <is>
          <t>i7 13650HX</t>
        </is>
      </c>
      <c r="K297" s="1" t="inlineStr">
        <is>
          <t>24GB</t>
        </is>
      </c>
      <c r="L297" s="1" t="inlineStr">
        <is>
          <t>512GB SSD</t>
        </is>
      </c>
      <c r="M297" s="1" t="inlineStr">
        <is>
          <t>Windows 11</t>
        </is>
      </c>
      <c r="N297" s="1" t="inlineStr">
        <is>
          <t>OFFICE 2021</t>
        </is>
      </c>
      <c r="O297" s="1" t="inlineStr">
        <is>
          <t>RTX 4050 6GB</t>
        </is>
      </c>
      <c r="P297" s="1" t="inlineStr">
        <is>
          <t>15.6_FHD_AG_300N_144_SRGB</t>
        </is>
      </c>
      <c r="Q297" s="1" t="inlineStr">
        <is>
          <t>1 Year Onsite</t>
        </is>
      </c>
      <c r="R297" s="1" t="inlineStr">
        <is>
          <t>Zero GTN</t>
        </is>
      </c>
      <c r="S297" s="1" t="n">
        <v>0</v>
      </c>
      <c r="T297" s="2">
        <f>U297*0.98*0.98</f>
        <v/>
      </c>
      <c r="U297" s="2" t="n">
        <v>81936.00830162574</v>
      </c>
      <c r="V297" s="1" t="n"/>
      <c r="W297" s="1" t="n"/>
      <c r="X297" s="1" t="n"/>
      <c r="Y297" s="2">
        <f>(U297*0.98-S297-V297-W297-X297)*1.18/0.92</f>
        <v/>
      </c>
      <c r="Z297" s="1" t="n">
        <v>102990</v>
      </c>
      <c r="AA297" s="5" t="n"/>
      <c r="AC297" s="14" t="n">
        <v>102990</v>
      </c>
      <c r="AD297" s="5">
        <f>(Y297-AC297)/1.18*0.92</f>
        <v/>
      </c>
      <c r="AF297" s="5">
        <f>W297+X297</f>
        <v/>
      </c>
    </row>
    <row r="298">
      <c r="A298" s="1" t="inlineStr">
        <is>
          <t>83DV00LXIN</t>
        </is>
      </c>
      <c r="B298" s="1" t="inlineStr">
        <is>
          <t>Premium</t>
        </is>
      </c>
      <c r="C298" s="1" t="inlineStr">
        <is>
          <t>Premium</t>
        </is>
      </c>
      <c r="D298" s="1" t="n"/>
      <c r="E298" s="1" t="inlineStr">
        <is>
          <t>Gaming</t>
        </is>
      </c>
      <c r="F298" s="1" t="inlineStr">
        <is>
          <t>LOQ</t>
        </is>
      </c>
      <c r="G298" s="1" t="inlineStr">
        <is>
          <t>LOQ 15IRX9</t>
        </is>
      </c>
      <c r="H298" s="1" t="inlineStr">
        <is>
          <t>i7</t>
        </is>
      </c>
      <c r="I298" s="1" t="inlineStr">
        <is>
          <t>13th Gen</t>
        </is>
      </c>
      <c r="J298" s="29" t="inlineStr">
        <is>
          <t>i7 13650HX</t>
        </is>
      </c>
      <c r="K298" s="1" t="inlineStr">
        <is>
          <t>24GB</t>
        </is>
      </c>
      <c r="L298" s="1" t="inlineStr">
        <is>
          <t>512GB SSD</t>
        </is>
      </c>
      <c r="M298" s="1" t="inlineStr">
        <is>
          <t>Windows 11</t>
        </is>
      </c>
      <c r="N298" s="1" t="inlineStr">
        <is>
          <t>Office 2021</t>
        </is>
      </c>
      <c r="O298" s="1" t="inlineStr">
        <is>
          <t>RTX 4060 8GB</t>
        </is>
      </c>
      <c r="P298" s="1" t="inlineStr">
        <is>
          <t>15.6_FHD_AG_300N_144_SRGB</t>
        </is>
      </c>
      <c r="Q298" s="1" t="inlineStr">
        <is>
          <t>1 Year Onsite</t>
        </is>
      </c>
      <c r="R298" s="1" t="inlineStr">
        <is>
          <t>Zero GTN</t>
        </is>
      </c>
      <c r="S298" s="1" t="n">
        <v>0</v>
      </c>
      <c r="T298" s="2" t="n">
        <v>84039.8833898305</v>
      </c>
      <c r="U298" s="2" t="n">
        <v>87505.08474576271</v>
      </c>
      <c r="V298" s="1" t="n"/>
      <c r="W298" s="1" t="n"/>
      <c r="X298" s="1" t="n"/>
      <c r="Y298" s="2">
        <f>(U298*0.98-S298-V298-W298-X298)*1.18/0.92</f>
        <v/>
      </c>
      <c r="Z298" s="1" t="n">
        <v>109990</v>
      </c>
      <c r="AA298" s="5" t="n"/>
      <c r="AC298" s="14" t="n">
        <v>109990</v>
      </c>
      <c r="AD298" s="5">
        <f>(Y298-AC298)/1.18*0.92</f>
        <v/>
      </c>
      <c r="AF298" s="5">
        <f>W298+X298</f>
        <v/>
      </c>
    </row>
    <row r="299">
      <c r="A299" s="1" t="inlineStr">
        <is>
          <t>83DX0006IN</t>
        </is>
      </c>
      <c r="B299" s="1" t="inlineStr">
        <is>
          <t>Premium</t>
        </is>
      </c>
      <c r="C299" s="1" t="inlineStr">
        <is>
          <t>Premium</t>
        </is>
      </c>
      <c r="D299" s="1" t="n"/>
      <c r="E299" s="1" t="inlineStr">
        <is>
          <t>Gaming</t>
        </is>
      </c>
      <c r="F299" s="1" t="inlineStr">
        <is>
          <t>LOQ</t>
        </is>
      </c>
      <c r="G299" s="1" t="inlineStr">
        <is>
          <t>LoQ 15AHP9</t>
        </is>
      </c>
      <c r="H299" s="1" t="inlineStr">
        <is>
          <t>R7</t>
        </is>
      </c>
      <c r="I299" s="1" t="inlineStr">
        <is>
          <t>8XXXHS</t>
        </is>
      </c>
      <c r="J299" s="29" t="inlineStr">
        <is>
          <t>R7 8845HS</t>
        </is>
      </c>
      <c r="K299" s="1" t="inlineStr">
        <is>
          <t>16GB</t>
        </is>
      </c>
      <c r="L299" s="1" t="inlineStr">
        <is>
          <t>512GB SSD</t>
        </is>
      </c>
      <c r="M299" s="1" t="inlineStr">
        <is>
          <t>Windows 11</t>
        </is>
      </c>
      <c r="N299" s="1" t="inlineStr">
        <is>
          <t>OFFICE 2021</t>
        </is>
      </c>
      <c r="O299" s="1" t="inlineStr">
        <is>
          <t>RTX 4050 6GB</t>
        </is>
      </c>
      <c r="P299" s="1" t="inlineStr">
        <is>
          <t>15.6_FHD_AG_300N_144_SRGB</t>
        </is>
      </c>
      <c r="Q299" s="1" t="inlineStr">
        <is>
          <t>1 Year Onsite</t>
        </is>
      </c>
      <c r="R299" s="1" t="inlineStr">
        <is>
          <t>Full GTN</t>
        </is>
      </c>
      <c r="S299" s="1" t="n">
        <v>725</v>
      </c>
      <c r="T299" s="2">
        <f>U299*0.98*0.965</f>
        <v/>
      </c>
      <c r="U299" s="2" t="n">
        <v>89412.84668721104</v>
      </c>
      <c r="V299" s="1" t="n"/>
      <c r="W299" s="1" t="n"/>
      <c r="X299" s="1" t="n"/>
      <c r="Y299" s="2">
        <f>(U299*0.88-S299-V299-W299-X299)*1.18/0.92</f>
        <v/>
      </c>
      <c r="Z299" s="1" t="n">
        <v>99990</v>
      </c>
      <c r="AA299" s="5" t="n"/>
      <c r="AC299" s="14" t="n">
        <v>99990</v>
      </c>
      <c r="AD299" s="5">
        <f>(Y299-AC299)/1.18*0.92</f>
        <v/>
      </c>
      <c r="AF299" s="5">
        <f>W299+X299</f>
        <v/>
      </c>
    </row>
    <row r="300">
      <c r="A300" s="1" t="inlineStr">
        <is>
          <t>83DX000MIN</t>
        </is>
      </c>
      <c r="B300" s="1" t="inlineStr">
        <is>
          <t>Premium</t>
        </is>
      </c>
      <c r="C300" s="1" t="inlineStr">
        <is>
          <t>Premium</t>
        </is>
      </c>
      <c r="D300" s="1" t="n"/>
      <c r="E300" s="1" t="inlineStr">
        <is>
          <t>Gaming</t>
        </is>
      </c>
      <c r="F300" s="1" t="inlineStr">
        <is>
          <t>LOQ</t>
        </is>
      </c>
      <c r="G300" s="1" t="inlineStr">
        <is>
          <t>LOQ 15AHP9</t>
        </is>
      </c>
      <c r="H300" s="1" t="inlineStr">
        <is>
          <t>R7</t>
        </is>
      </c>
      <c r="I300" s="1" t="inlineStr">
        <is>
          <t>8XXXHS</t>
        </is>
      </c>
      <c r="J300" s="29" t="inlineStr">
        <is>
          <t>R7 8845HS</t>
        </is>
      </c>
      <c r="K300" s="1" t="inlineStr">
        <is>
          <t>16GB</t>
        </is>
      </c>
      <c r="L300" s="1" t="inlineStr">
        <is>
          <t>1TB SSD</t>
        </is>
      </c>
      <c r="M300" s="1" t="inlineStr">
        <is>
          <t>Windows 11</t>
        </is>
      </c>
      <c r="N300" s="1" t="inlineStr">
        <is>
          <t>OFFICE 2021</t>
        </is>
      </c>
      <c r="O300" s="1" t="inlineStr">
        <is>
          <t>RTX 4060 8GB</t>
        </is>
      </c>
      <c r="P300" s="1" t="inlineStr">
        <is>
          <t>15.6_FHD_AG_300N_144_SRGB</t>
        </is>
      </c>
      <c r="Q300" s="1" t="inlineStr">
        <is>
          <t>1 Year Onsite</t>
        </is>
      </c>
      <c r="R300" s="1" t="inlineStr">
        <is>
          <t>Full GTN</t>
        </is>
      </c>
      <c r="S300" s="1" t="n">
        <v>725</v>
      </c>
      <c r="T300" s="2">
        <f>U300*0.98*0.965</f>
        <v/>
      </c>
      <c r="U300" s="2" t="n">
        <v>102702.5231124808</v>
      </c>
      <c r="V300" s="1" t="n"/>
      <c r="W300" s="1" t="n"/>
      <c r="X300" s="1" t="n"/>
      <c r="Y300" s="2">
        <f>(U300*0.88-S300-V300-W300-X300)*1.18/0.92</f>
        <v/>
      </c>
      <c r="Z300" s="1" t="n">
        <v>114990</v>
      </c>
      <c r="AA300" s="5" t="n"/>
      <c r="AC300" s="14" t="n">
        <v>114990</v>
      </c>
      <c r="AD300" s="5">
        <f>(Y300-AC300)/1.18*0.92</f>
        <v/>
      </c>
      <c r="AF300" s="5">
        <f>W300+X300</f>
        <v/>
      </c>
    </row>
    <row r="301">
      <c r="A301" s="1" t="inlineStr">
        <is>
          <t>83GS003NIN</t>
        </is>
      </c>
      <c r="B301" s="1" t="inlineStr">
        <is>
          <t>Premium</t>
        </is>
      </c>
      <c r="C301" s="1" t="inlineStr">
        <is>
          <t>Premium</t>
        </is>
      </c>
      <c r="D301" s="1" t="n"/>
      <c r="E301" s="1" t="inlineStr">
        <is>
          <t>Gaming</t>
        </is>
      </c>
      <c r="F301" s="1" t="inlineStr">
        <is>
          <t>LOQ</t>
        </is>
      </c>
      <c r="G301" s="1" t="inlineStr">
        <is>
          <t>LOQ 15IAX9</t>
        </is>
      </c>
      <c r="H301" s="1" t="inlineStr">
        <is>
          <t>i5</t>
        </is>
      </c>
      <c r="I301" s="1" t="inlineStr">
        <is>
          <t>12th Gen</t>
        </is>
      </c>
      <c r="J301" s="29" t="inlineStr">
        <is>
          <t>i5 12450HX</t>
        </is>
      </c>
      <c r="K301" s="1" t="inlineStr">
        <is>
          <t>16GB</t>
        </is>
      </c>
      <c r="L301" s="1" t="inlineStr">
        <is>
          <t>512GB SSD</t>
        </is>
      </c>
      <c r="M301" s="1" t="inlineStr">
        <is>
          <t>Windows 11</t>
        </is>
      </c>
      <c r="N301" s="1" t="inlineStr">
        <is>
          <t>OFFICE TRIAL</t>
        </is>
      </c>
      <c r="O301" s="1" t="inlineStr">
        <is>
          <t>RTX 3050 6GB</t>
        </is>
      </c>
      <c r="P301" s="1" t="inlineStr">
        <is>
          <t>15.6_FHD_AG_300N_144_SRGB</t>
        </is>
      </c>
      <c r="Q301" s="1" t="inlineStr">
        <is>
          <t>1 Year Onsite</t>
        </is>
      </c>
      <c r="R301" s="1" t="inlineStr">
        <is>
          <t>Zero GTN</t>
        </is>
      </c>
      <c r="S301" s="1" t="n">
        <v>0</v>
      </c>
      <c r="T301" s="2" t="n">
        <v>54241.17288135595</v>
      </c>
      <c r="U301" s="2" t="n">
        <v>56477.6893808371</v>
      </c>
      <c r="V301" s="28" t="n">
        <v>2338.983050847469</v>
      </c>
      <c r="W301" s="1" t="n"/>
      <c r="X301" s="1" t="n"/>
      <c r="Y301" s="2">
        <f>(U301*0.98-S301-V301-W301-X301)*1.18/0.92</f>
        <v/>
      </c>
      <c r="Z301" s="1" t="n">
        <v>67990</v>
      </c>
      <c r="AA301" s="5" t="n"/>
      <c r="AC301" s="14" t="n">
        <v>67990</v>
      </c>
      <c r="AD301" s="5">
        <f>(Y301-AC301)/1.18*0.92</f>
        <v/>
      </c>
      <c r="AF301" s="5">
        <f>W301+X301</f>
        <v/>
      </c>
    </row>
    <row r="302" ht="14.5" customHeight="1">
      <c r="A302" s="40" t="inlineStr">
        <is>
          <t>83D4002PIN</t>
        </is>
      </c>
      <c r="B302" s="1" t="inlineStr">
        <is>
          <t>Premium</t>
        </is>
      </c>
      <c r="C302" s="1" t="inlineStr">
        <is>
          <t>Premium</t>
        </is>
      </c>
      <c r="D302" s="1" t="inlineStr">
        <is>
          <t>CORE_ULT9_185H</t>
        </is>
      </c>
      <c r="E302" s="4" t="inlineStr">
        <is>
          <t>Thin &amp; Light</t>
        </is>
      </c>
      <c r="F302" s="1" t="inlineStr">
        <is>
          <t>IP Pro 5</t>
        </is>
      </c>
      <c r="G302" s="1" t="inlineStr">
        <is>
          <t>IP Pro 5 16IMH9</t>
        </is>
      </c>
      <c r="H302" s="1" t="inlineStr">
        <is>
          <t>CORE_ULT9_185H</t>
        </is>
      </c>
      <c r="I302" s="1" t="inlineStr">
        <is>
          <t>Ultra</t>
        </is>
      </c>
      <c r="J302" s="1" t="inlineStr">
        <is>
          <t>CORE_ULT9_185H</t>
        </is>
      </c>
      <c r="K302" s="1" t="inlineStr">
        <is>
          <t>32GB</t>
        </is>
      </c>
      <c r="L302" s="1" t="inlineStr">
        <is>
          <t>1TB SSD</t>
        </is>
      </c>
      <c r="M302" s="1" t="inlineStr">
        <is>
          <t>Windows 11</t>
        </is>
      </c>
      <c r="N302" s="1" t="inlineStr">
        <is>
          <t>Office 2021</t>
        </is>
      </c>
      <c r="O302" s="1" t="inlineStr">
        <is>
          <t>RTX4050_6GB</t>
        </is>
      </c>
      <c r="P302" s="1" t="inlineStr">
        <is>
          <t>16" 2K (2048x1280) OLED 400nits Glossy, 100% DCI-P3, 120Hz, Eyesafe®, DisplayHDR™ True Black 500</t>
        </is>
      </c>
      <c r="Q302" s="1" t="inlineStr">
        <is>
          <t>1 Yr Onsite + 1 Yr PC</t>
        </is>
      </c>
      <c r="R302" s="1" t="inlineStr">
        <is>
          <t>Full GTN</t>
        </is>
      </c>
      <c r="S302" s="1" t="n">
        <v>725</v>
      </c>
      <c r="T302" s="2">
        <f>U302*0.965*0.98</f>
        <v/>
      </c>
      <c r="U302" s="2" t="n">
        <v>132825.7896764253</v>
      </c>
      <c r="V302" s="1" t="n"/>
      <c r="W302" s="1" t="n"/>
      <c r="X302" s="1" t="n"/>
      <c r="Y302" s="2">
        <f>(U302*0.88-S302-V302-W302-X302)*1.18/0.92</f>
        <v/>
      </c>
      <c r="Z302" s="41" t="n">
        <v>148990</v>
      </c>
    </row>
    <row r="303" ht="14.5" customHeight="1">
      <c r="A303" s="40" t="inlineStr">
        <is>
          <t>83D5000SIN</t>
        </is>
      </c>
      <c r="B303" s="1" t="inlineStr">
        <is>
          <t>Premium</t>
        </is>
      </c>
      <c r="C303" s="1" t="inlineStr">
        <is>
          <t>Premium</t>
        </is>
      </c>
      <c r="D303" s="1" t="inlineStr">
        <is>
          <t>RYZEN_7_HPT_HS</t>
        </is>
      </c>
      <c r="E303" s="4" t="inlineStr">
        <is>
          <t>Thin &amp; Light</t>
        </is>
      </c>
      <c r="F303" s="1" t="inlineStr">
        <is>
          <t>IP Pro 5</t>
        </is>
      </c>
      <c r="G303" s="1" t="inlineStr">
        <is>
          <t>IP Pro 5 16AHP9</t>
        </is>
      </c>
      <c r="H303" s="1" t="inlineStr">
        <is>
          <t>R7 8845HS</t>
        </is>
      </c>
      <c r="I303" s="1" t="inlineStr">
        <is>
          <t>Ultra</t>
        </is>
      </c>
      <c r="J303" s="1" t="inlineStr">
        <is>
          <t>R7 8845HS</t>
        </is>
      </c>
      <c r="K303" s="1" t="inlineStr">
        <is>
          <t>16GB</t>
        </is>
      </c>
      <c r="L303" s="1" t="inlineStr">
        <is>
          <t>1TB SSD</t>
        </is>
      </c>
      <c r="M303" s="1" t="inlineStr">
        <is>
          <t>Windows 11</t>
        </is>
      </c>
      <c r="N303" s="1" t="inlineStr">
        <is>
          <t>Office 2021</t>
        </is>
      </c>
      <c r="O303" s="1" t="inlineStr">
        <is>
          <t>RTX4050_6GB</t>
        </is>
      </c>
      <c r="P303" s="1" t="inlineStr">
        <is>
          <t>16" 2K (2048x1280) OLED 400nits Glossy, 100% DCI-P3, 120Hz, Eyesafe®, DisplayHDR™ True Black 500</t>
        </is>
      </c>
      <c r="Q303" s="1" t="inlineStr">
        <is>
          <t>1 Yr Onsite + 1 Yr PC</t>
        </is>
      </c>
      <c r="R303" s="1" t="inlineStr">
        <is>
          <t>Full GTN</t>
        </is>
      </c>
      <c r="S303" s="1" t="n">
        <v>725</v>
      </c>
      <c r="T303" s="2">
        <f>U303*0.965*0.98</f>
        <v/>
      </c>
      <c r="U303" s="2" t="n">
        <v>115106.2211093991</v>
      </c>
      <c r="V303" s="1" t="n"/>
      <c r="W303" s="1" t="n"/>
      <c r="X303" s="1" t="n"/>
      <c r="Y303" s="2">
        <f>(U303*0.88-S303-V303-W303-X303)*1.18/0.92</f>
        <v/>
      </c>
      <c r="Z303" s="41" t="n">
        <v>128990</v>
      </c>
    </row>
    <row r="304">
      <c r="A304" s="1" t="inlineStr">
        <is>
          <t>83DJ006YIN</t>
        </is>
      </c>
      <c r="B304" s="1" t="inlineStr">
        <is>
          <t>Premium</t>
        </is>
      </c>
      <c r="C304" s="1" t="inlineStr">
        <is>
          <t>Premium</t>
        </is>
      </c>
      <c r="D304" s="1" t="inlineStr">
        <is>
          <t>Ultra 5 OS Office</t>
        </is>
      </c>
      <c r="E304" s="1" t="inlineStr">
        <is>
          <t>Convertible</t>
        </is>
      </c>
      <c r="F304" s="1" t="inlineStr">
        <is>
          <t>Yoga 7 2-in-1</t>
        </is>
      </c>
      <c r="G304" s="1" t="inlineStr">
        <is>
          <t>Yoga 7 2-in-1 14IML9</t>
        </is>
      </c>
      <c r="H304" s="1" t="inlineStr">
        <is>
          <t>Core Ultra 5</t>
        </is>
      </c>
      <c r="I304" s="1" t="inlineStr">
        <is>
          <t>Ultra</t>
        </is>
      </c>
      <c r="J304" s="1" t="inlineStr">
        <is>
          <t>Ultra 5 125H</t>
        </is>
      </c>
      <c r="K304" s="1" t="inlineStr">
        <is>
          <t>16GB</t>
        </is>
      </c>
      <c r="L304" s="1" t="inlineStr">
        <is>
          <t>1TB</t>
        </is>
      </c>
      <c r="M304" s="1" t="inlineStr">
        <is>
          <t>Windows 11</t>
        </is>
      </c>
      <c r="N304" s="1" t="inlineStr">
        <is>
          <t>OFFICE 2021</t>
        </is>
      </c>
      <c r="O304" s="10" t="inlineStr">
        <is>
          <t>Intel Arc Graphics</t>
        </is>
      </c>
      <c r="Q304" s="1" t="inlineStr">
        <is>
          <t>1 Year onsite + 1 year PC</t>
        </is>
      </c>
      <c r="R304" s="1" t="inlineStr">
        <is>
          <t>Full GTN</t>
        </is>
      </c>
      <c r="S304" s="1" t="n">
        <v>1881</v>
      </c>
      <c r="T304" s="2">
        <f>U304*0.965*0.98</f>
        <v/>
      </c>
      <c r="U304" s="13" t="n">
        <v>106674.094761171</v>
      </c>
      <c r="V304" s="13" t="n"/>
      <c r="W304" s="13" t="n"/>
      <c r="X304" s="13" t="n"/>
      <c r="Y304" s="2">
        <f>(U304*0.88-S304-V304-W304-X304)*1.18/0.92</f>
        <v/>
      </c>
      <c r="Z304" s="15" t="n">
        <v>117990</v>
      </c>
    </row>
    <row r="305">
      <c r="A305" s="42" t="inlineStr">
        <is>
          <t>82WM00FEIN</t>
        </is>
      </c>
      <c r="B305" s="1" t="inlineStr">
        <is>
          <t>Premium</t>
        </is>
      </c>
      <c r="C305" s="1" t="inlineStr">
        <is>
          <t>Premium</t>
        </is>
      </c>
      <c r="D305" s="1" t="inlineStr">
        <is>
          <t>R9 OS Office GFX 8GB</t>
        </is>
      </c>
      <c r="E305" s="1" t="inlineStr">
        <is>
          <t>Gaming</t>
        </is>
      </c>
      <c r="F305" s="1" t="inlineStr">
        <is>
          <t>Legion 5 Pro</t>
        </is>
      </c>
      <c r="G305" s="1" t="inlineStr">
        <is>
          <t>Legion Pro5 16ARX8</t>
        </is>
      </c>
      <c r="H305" s="1" t="inlineStr">
        <is>
          <t>R9</t>
        </is>
      </c>
      <c r="I305" s="1" t="inlineStr">
        <is>
          <t>7XXXHX</t>
        </is>
      </c>
      <c r="J305" s="1" t="inlineStr">
        <is>
          <t>R9 7945HX</t>
        </is>
      </c>
      <c r="K305" s="1" t="inlineStr">
        <is>
          <t>16GB</t>
        </is>
      </c>
      <c r="L305" s="1" t="inlineStr">
        <is>
          <t>1TB SSD</t>
        </is>
      </c>
      <c r="M305" s="1" t="inlineStr">
        <is>
          <t>Windows 11</t>
        </is>
      </c>
      <c r="N305" s="1" t="inlineStr">
        <is>
          <t>Office 2021</t>
        </is>
      </c>
      <c r="O305" s="10" t="inlineStr">
        <is>
          <t>RTX 4060 8GB</t>
        </is>
      </c>
      <c r="P305" s="3" t="inlineStr">
        <is>
          <t>16_WQXGA_AG_500N_240_P3</t>
        </is>
      </c>
      <c r="Q305" s="1" t="inlineStr">
        <is>
          <t>1 Yr Onsite + 1 Yr LUS</t>
        </is>
      </c>
      <c r="R305" s="1" t="inlineStr">
        <is>
          <t>Full GTN</t>
        </is>
      </c>
      <c r="S305" s="1" t="n">
        <v>2457</v>
      </c>
      <c r="T305" s="2">
        <f>U305*0.965*0.98</f>
        <v/>
      </c>
      <c r="U305" s="13" t="n">
        <v>150967.2623434046</v>
      </c>
      <c r="V305" s="13" t="n"/>
      <c r="W305" s="13" t="n"/>
      <c r="X305" s="13" t="n"/>
      <c r="Y305" s="2">
        <f>(U305*0.92-S305-V305-W305-X305)*1.18/0.92</f>
        <v/>
      </c>
      <c r="Z305" s="15" t="n">
        <v>174990</v>
      </c>
    </row>
    <row r="306">
      <c r="A306" s="42" t="inlineStr">
        <is>
          <t>82WM00FFIN</t>
        </is>
      </c>
      <c r="B306" s="1" t="inlineStr">
        <is>
          <t>Premium</t>
        </is>
      </c>
      <c r="C306" s="1" t="inlineStr">
        <is>
          <t>Premium</t>
        </is>
      </c>
      <c r="D306" s="1" t="inlineStr">
        <is>
          <t>R9 OS Office GFX 8GB</t>
        </is>
      </c>
      <c r="E306" s="1" t="inlineStr">
        <is>
          <t>Gaming</t>
        </is>
      </c>
      <c r="F306" s="1" t="inlineStr">
        <is>
          <t>Legion 5 Pro</t>
        </is>
      </c>
      <c r="G306" s="1" t="inlineStr">
        <is>
          <t>Legion Pro5 16ARX8</t>
        </is>
      </c>
      <c r="H306" s="1" t="inlineStr">
        <is>
          <t>R9</t>
        </is>
      </c>
      <c r="I306" s="1" t="inlineStr">
        <is>
          <t>7XXXHX</t>
        </is>
      </c>
      <c r="J306" s="1" t="inlineStr">
        <is>
          <t>R9 7945HX</t>
        </is>
      </c>
      <c r="K306" s="1" t="inlineStr">
        <is>
          <t>32GB</t>
        </is>
      </c>
      <c r="L306" s="1" t="inlineStr">
        <is>
          <t>1TB SSD</t>
        </is>
      </c>
      <c r="M306" s="1" t="inlineStr">
        <is>
          <t>Windows 11</t>
        </is>
      </c>
      <c r="N306" s="1" t="inlineStr">
        <is>
          <t>Office 2021</t>
        </is>
      </c>
      <c r="O306" s="10" t="inlineStr">
        <is>
          <t>RTX 4070 8GB</t>
        </is>
      </c>
      <c r="P306" s="3" t="inlineStr">
        <is>
          <t>16_WQXGA_AG_500N_240_P3</t>
        </is>
      </c>
      <c r="Q306" s="1" t="inlineStr">
        <is>
          <t>1 Yr Onsite + 1 Yr LUS</t>
        </is>
      </c>
      <c r="R306" s="1" t="inlineStr">
        <is>
          <t>Full GTN</t>
        </is>
      </c>
      <c r="S306" s="1" t="n">
        <v>2457</v>
      </c>
      <c r="T306" s="2">
        <f>U306*0.965*0.98</f>
        <v/>
      </c>
      <c r="U306" s="13" t="n">
        <v>172153.7030213707</v>
      </c>
      <c r="V306" s="13" t="n"/>
      <c r="W306" s="13" t="n"/>
      <c r="X306" s="13" t="n"/>
      <c r="Y306" s="2">
        <f>(U306*0.92-S306-V306-W306-X306)*1.18/0.92</f>
        <v/>
      </c>
      <c r="Z306" s="15" t="n">
        <v>199990</v>
      </c>
    </row>
  </sheetData>
  <autoFilter ref="A2:BL2"/>
  <conditionalFormatting sqref="A17">
    <cfRule type="duplicateValues" priority="19" dxfId="0"/>
  </conditionalFormatting>
  <conditionalFormatting sqref="A18">
    <cfRule type="duplicateValues" priority="20" dxfId="0"/>
  </conditionalFormatting>
  <conditionalFormatting sqref="A19">
    <cfRule type="duplicateValues" priority="21" dxfId="0"/>
  </conditionalFormatting>
  <conditionalFormatting sqref="A20">
    <cfRule type="duplicateValues" priority="22" dxfId="0"/>
  </conditionalFormatting>
  <conditionalFormatting sqref="A21">
    <cfRule type="duplicateValues" priority="23" dxfId="0"/>
  </conditionalFormatting>
  <conditionalFormatting sqref="A22">
    <cfRule type="duplicateValues" priority="24" dxfId="0"/>
  </conditionalFormatting>
  <conditionalFormatting sqref="A23">
    <cfRule type="duplicateValues" priority="25" dxfId="0"/>
  </conditionalFormatting>
  <conditionalFormatting sqref="A24">
    <cfRule type="duplicateValues" priority="26" dxfId="0"/>
  </conditionalFormatting>
  <conditionalFormatting sqref="A25">
    <cfRule type="duplicateValues" priority="27" dxfId="0"/>
  </conditionalFormatting>
  <conditionalFormatting sqref="A26">
    <cfRule type="duplicateValues" priority="28" dxfId="0"/>
  </conditionalFormatting>
  <conditionalFormatting sqref="A27">
    <cfRule type="duplicateValues" priority="29" dxfId="0"/>
  </conditionalFormatting>
  <conditionalFormatting sqref="A29">
    <cfRule type="duplicateValues" priority="30" dxfId="0"/>
  </conditionalFormatting>
  <conditionalFormatting sqref="A30">
    <cfRule type="duplicateValues" priority="31" dxfId="0"/>
  </conditionalFormatting>
  <conditionalFormatting sqref="A31">
    <cfRule type="duplicateValues" priority="32" dxfId="0"/>
  </conditionalFormatting>
  <conditionalFormatting sqref="A32">
    <cfRule type="duplicateValues" priority="33" dxfId="0"/>
  </conditionalFormatting>
  <conditionalFormatting sqref="A33">
    <cfRule type="duplicateValues" priority="34" dxfId="0"/>
  </conditionalFormatting>
  <conditionalFormatting sqref="A34">
    <cfRule type="duplicateValues" priority="35" dxfId="0"/>
  </conditionalFormatting>
  <conditionalFormatting sqref="A35">
    <cfRule type="duplicateValues" priority="36" dxfId="0"/>
  </conditionalFormatting>
  <conditionalFormatting sqref="A35:A52">
    <cfRule type="duplicateValues" priority="141" dxfId="0"/>
  </conditionalFormatting>
  <conditionalFormatting sqref="A36">
    <cfRule type="duplicateValues" priority="37" dxfId="0"/>
  </conditionalFormatting>
  <conditionalFormatting sqref="A37">
    <cfRule type="duplicateValues" priority="38" dxfId="0"/>
  </conditionalFormatting>
  <conditionalFormatting sqref="A39">
    <cfRule type="duplicateValues" priority="47" dxfId="0"/>
  </conditionalFormatting>
  <conditionalFormatting sqref="A40">
    <cfRule type="duplicateValues" priority="48" dxfId="0"/>
  </conditionalFormatting>
  <conditionalFormatting sqref="A41">
    <cfRule type="duplicateValues" priority="39" dxfId="0"/>
  </conditionalFormatting>
  <conditionalFormatting sqref="A42">
    <cfRule type="duplicateValues" priority="140" dxfId="0"/>
  </conditionalFormatting>
  <conditionalFormatting sqref="A43">
    <cfRule type="duplicateValues" priority="40" dxfId="0"/>
  </conditionalFormatting>
  <conditionalFormatting sqref="A44">
    <cfRule type="duplicateValues" priority="41" dxfId="0"/>
  </conditionalFormatting>
  <conditionalFormatting sqref="A45">
    <cfRule type="duplicateValues" priority="42" dxfId="0"/>
  </conditionalFormatting>
  <conditionalFormatting sqref="A46">
    <cfRule type="duplicateValues" priority="43" dxfId="0"/>
  </conditionalFormatting>
  <conditionalFormatting sqref="A47">
    <cfRule type="duplicateValues" priority="44" dxfId="0"/>
  </conditionalFormatting>
  <conditionalFormatting sqref="A48">
    <cfRule type="duplicateValues" priority="45" dxfId="0"/>
  </conditionalFormatting>
  <conditionalFormatting sqref="A49">
    <cfRule type="duplicateValues" priority="46" dxfId="0"/>
  </conditionalFormatting>
  <conditionalFormatting sqref="A50">
    <cfRule type="duplicateValues" priority="16" dxfId="0"/>
  </conditionalFormatting>
  <conditionalFormatting sqref="A51">
    <cfRule type="duplicateValues" priority="17" dxfId="0"/>
  </conditionalFormatting>
  <conditionalFormatting sqref="A52">
    <cfRule type="duplicateValues" priority="18" dxfId="0"/>
  </conditionalFormatting>
  <conditionalFormatting sqref="A3:A16 A38 A55:A63">
    <cfRule type="duplicateValues" priority="54" dxfId="0"/>
  </conditionalFormatting>
  <conditionalFormatting sqref="A55:A63">
    <cfRule type="duplicateValues" priority="51" dxfId="0"/>
    <cfRule type="duplicateValues" priority="52" dxfId="0"/>
    <cfRule type="duplicateValues" priority="53" dxfId="0"/>
  </conditionalFormatting>
  <conditionalFormatting sqref="A93">
    <cfRule type="duplicateValues" priority="50" dxfId="0"/>
  </conditionalFormatting>
  <conditionalFormatting sqref="A100:A146">
    <cfRule type="duplicateValues" priority="135" dxfId="0"/>
  </conditionalFormatting>
  <conditionalFormatting sqref="A100:A157">
    <cfRule type="duplicateValues" priority="136" dxfId="0"/>
  </conditionalFormatting>
  <conditionalFormatting sqref="A102:A148">
    <cfRule type="duplicateValues" priority="134" dxfId="0"/>
  </conditionalFormatting>
  <conditionalFormatting sqref="A129">
    <cfRule type="duplicateValues" priority="96" dxfId="0"/>
  </conditionalFormatting>
  <conditionalFormatting sqref="A130:A146">
    <cfRule type="duplicateValues" priority="133" dxfId="0"/>
    <cfRule type="duplicateValues" priority="132" dxfId="0"/>
    <cfRule type="duplicateValues" priority="131" dxfId="0"/>
  </conditionalFormatting>
  <conditionalFormatting sqref="A147">
    <cfRule type="duplicateValues" priority="55" dxfId="0"/>
  </conditionalFormatting>
  <conditionalFormatting sqref="A157">
    <cfRule type="duplicateValues" priority="56" dxfId="0"/>
    <cfRule type="duplicateValues" priority="57" dxfId="0"/>
    <cfRule type="duplicateValues" priority="58" dxfId="0"/>
  </conditionalFormatting>
  <conditionalFormatting sqref="A168">
    <cfRule type="duplicateValues" priority="66" dxfId="0"/>
  </conditionalFormatting>
  <conditionalFormatting sqref="A169">
    <cfRule type="duplicateValues" priority="67" dxfId="0"/>
  </conditionalFormatting>
  <conditionalFormatting sqref="A170">
    <cfRule type="duplicateValues" priority="70" dxfId="0"/>
  </conditionalFormatting>
  <conditionalFormatting sqref="A162:A167 A171:A175 A177:A186">
    <cfRule type="duplicateValues" priority="65" dxfId="0"/>
  </conditionalFormatting>
  <conditionalFormatting sqref="A162:A169 A171:A175 A177:A186">
    <cfRule type="duplicateValues" priority="59" dxfId="0"/>
  </conditionalFormatting>
  <conditionalFormatting sqref="A171:A175 A177:A186">
    <cfRule type="duplicateValues" priority="64" dxfId="0"/>
    <cfRule type="duplicateValues" priority="60" dxfId="0"/>
    <cfRule type="duplicateValues" priority="63" dxfId="0"/>
  </conditionalFormatting>
  <conditionalFormatting sqref="A171:A175">
    <cfRule type="duplicateValues" priority="61" dxfId="0"/>
  </conditionalFormatting>
  <conditionalFormatting sqref="A176">
    <cfRule type="duplicateValues" priority="69" dxfId="0"/>
  </conditionalFormatting>
  <conditionalFormatting sqref="A162:A175 A177:A186">
    <cfRule type="duplicateValues" priority="68" dxfId="0"/>
  </conditionalFormatting>
  <conditionalFormatting sqref="A177:A186">
    <cfRule type="duplicateValues" priority="62" dxfId="0"/>
  </conditionalFormatting>
  <conditionalFormatting sqref="A192:A226">
    <cfRule type="duplicateValues" priority="73" dxfId="0"/>
    <cfRule type="duplicateValues" priority="71" dxfId="0"/>
    <cfRule type="duplicateValues" priority="72" dxfId="0"/>
  </conditionalFormatting>
  <conditionalFormatting sqref="A193:A226">
    <cfRule type="duplicateValues" priority="74" dxfId="0"/>
  </conditionalFormatting>
  <conditionalFormatting sqref="A200">
    <cfRule type="duplicateValues" priority="78" dxfId="0"/>
  </conditionalFormatting>
  <conditionalFormatting sqref="A201">
    <cfRule type="duplicateValues" priority="79" dxfId="0"/>
  </conditionalFormatting>
  <conditionalFormatting sqref="A202">
    <cfRule type="duplicateValues" priority="80" dxfId="0"/>
  </conditionalFormatting>
  <conditionalFormatting sqref="A203">
    <cfRule type="duplicateValues" priority="81" dxfId="0"/>
  </conditionalFormatting>
  <conditionalFormatting sqref="A204">
    <cfRule type="duplicateValues" priority="82" dxfId="0"/>
  </conditionalFormatting>
  <conditionalFormatting sqref="A205">
    <cfRule type="duplicateValues" priority="83" dxfId="0"/>
  </conditionalFormatting>
  <conditionalFormatting sqref="A205:A209">
    <cfRule type="duplicateValues" priority="85" dxfId="0"/>
  </conditionalFormatting>
  <conditionalFormatting sqref="A206">
    <cfRule type="duplicateValues" priority="84" dxfId="0"/>
  </conditionalFormatting>
  <conditionalFormatting sqref="A207">
    <cfRule type="duplicateValues" priority="86" dxfId="0"/>
  </conditionalFormatting>
  <conditionalFormatting sqref="A209">
    <cfRule type="duplicateValues" priority="87" dxfId="0"/>
  </conditionalFormatting>
  <conditionalFormatting sqref="A210">
    <cfRule type="duplicateValues" priority="89" dxfId="0"/>
  </conditionalFormatting>
  <conditionalFormatting sqref="A210:A211">
    <cfRule type="duplicateValues" priority="92" dxfId="0"/>
  </conditionalFormatting>
  <conditionalFormatting sqref="A212">
    <cfRule type="duplicateValues" priority="88" dxfId="0"/>
  </conditionalFormatting>
  <conditionalFormatting sqref="A212:A214">
    <cfRule type="duplicateValues" priority="75" dxfId="0"/>
    <cfRule type="duplicateValues" priority="76" dxfId="0"/>
    <cfRule type="duplicateValues" priority="77" dxfId="0"/>
  </conditionalFormatting>
  <conditionalFormatting sqref="A221">
    <cfRule type="duplicateValues" priority="90" dxfId="0"/>
  </conditionalFormatting>
  <conditionalFormatting sqref="A222">
    <cfRule type="duplicateValues" priority="91" dxfId="0"/>
  </conditionalFormatting>
  <conditionalFormatting sqref="A223">
    <cfRule type="duplicateValues" priority="93" dxfId="0"/>
  </conditionalFormatting>
  <conditionalFormatting sqref="A224">
    <cfRule type="duplicateValues" priority="94" dxfId="0"/>
  </conditionalFormatting>
  <conditionalFormatting sqref="A225:A226">
    <cfRule type="duplicateValues" priority="95" dxfId="0"/>
  </conditionalFormatting>
  <conditionalFormatting sqref="A240">
    <cfRule type="duplicateValues" priority="97" dxfId="0"/>
  </conditionalFormatting>
  <conditionalFormatting sqref="A241">
    <cfRule type="duplicateValues" priority="99" dxfId="0"/>
  </conditionalFormatting>
  <conditionalFormatting sqref="A250">
    <cfRule type="duplicateValues" priority="137" dxfId="0"/>
  </conditionalFormatting>
  <conditionalFormatting sqref="A255">
    <cfRule type="duplicateValues" priority="100" dxfId="0"/>
  </conditionalFormatting>
  <conditionalFormatting sqref="A256">
    <cfRule type="duplicateValues" priority="101" dxfId="0"/>
  </conditionalFormatting>
  <conditionalFormatting sqref="A258">
    <cfRule type="duplicateValues" priority="102" dxfId="0"/>
  </conditionalFormatting>
  <conditionalFormatting sqref="A53:A54 A259">
    <cfRule type="duplicateValues" priority="49" dxfId="0"/>
  </conditionalFormatting>
  <conditionalFormatting sqref="A3:A99 A242 A259 A286 A291">
    <cfRule type="duplicateValues" priority="139" dxfId="0"/>
  </conditionalFormatting>
  <conditionalFormatting sqref="A1:B1 A3:A240 A242:A249 A255:A257 A259 A262 A264:A265 A286 A288:A291 A293:A295 A304:A306 A307:B1048576">
    <cfRule type="duplicateValues" priority="98" dxfId="0"/>
  </conditionalFormatting>
  <conditionalFormatting sqref="A3:A63 A259 A286">
    <cfRule type="duplicateValues" priority="105" dxfId="0"/>
  </conditionalFormatting>
  <conditionalFormatting sqref="A260">
    <cfRule type="duplicateValues" priority="106" dxfId="0"/>
  </conditionalFormatting>
  <conditionalFormatting sqref="A260:A261">
    <cfRule type="duplicateValues" priority="107" dxfId="0"/>
  </conditionalFormatting>
  <conditionalFormatting sqref="A261">
    <cfRule type="duplicateValues" priority="108" dxfId="0"/>
  </conditionalFormatting>
  <conditionalFormatting sqref="A263">
    <cfRule type="duplicateValues" priority="109" dxfId="0"/>
  </conditionalFormatting>
  <conditionalFormatting sqref="A264">
    <cfRule type="duplicateValues" priority="110" dxfId="0"/>
  </conditionalFormatting>
  <conditionalFormatting sqref="A267">
    <cfRule type="duplicateValues" priority="111" dxfId="0"/>
  </conditionalFormatting>
  <conditionalFormatting sqref="A28 A286">
    <cfRule type="duplicateValues" priority="103" dxfId="0"/>
  </conditionalFormatting>
  <conditionalFormatting sqref="A3:A52 A55:A63 A286">
    <cfRule type="duplicateValues" priority="104" dxfId="0"/>
  </conditionalFormatting>
  <conditionalFormatting sqref="A287">
    <cfRule type="duplicateValues" priority="120" dxfId="0"/>
    <cfRule type="duplicateValues" priority="121" dxfId="0"/>
    <cfRule type="duplicateValues" priority="122" dxfId="0"/>
    <cfRule type="duplicateValues" priority="123" dxfId="0"/>
    <cfRule type="duplicateValues" priority="125" dxfId="0"/>
    <cfRule type="duplicateValues" priority="126" dxfId="0"/>
    <cfRule type="duplicateValues" priority="127" dxfId="0"/>
    <cfRule type="duplicateValues" priority="124" dxfId="0"/>
  </conditionalFormatting>
  <conditionalFormatting sqref="A288:A289">
    <cfRule type="duplicateValues" priority="128" dxfId="0"/>
    <cfRule type="duplicateValues" priority="129" dxfId="0"/>
    <cfRule type="duplicateValues" priority="130" dxfId="0"/>
  </conditionalFormatting>
  <conditionalFormatting sqref="A158:A161 A227:A239 A243:A249 A257 A262 A265 A290 A293:A295 A304:A306 A307:B1048576">
    <cfRule type="duplicateValues" priority="15" dxfId="0"/>
  </conditionalFormatting>
  <conditionalFormatting sqref="A1:B1 A158:A161 A227:A239 A243:A249 A257 A262 A265 A290 A293:A295 A304:A306 A307:B1048576">
    <cfRule type="duplicateValues" priority="14" dxfId="0"/>
  </conditionalFormatting>
  <conditionalFormatting sqref="A287 A292"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A3:A240 A242:A249 A259 A262 A286 A291 A293:A294">
    <cfRule type="duplicateValues" priority="138" dxfId="0"/>
  </conditionalFormatting>
  <conditionalFormatting sqref="A294">
    <cfRule type="duplicateValues" priority="13" dxfId="0"/>
    <cfRule type="duplicateValues" priority="12" dxfId="0"/>
    <cfRule type="duplicateValues" priority="11" dxfId="0"/>
  </conditionalFormatting>
  <conditionalFormatting sqref="A296:A301">
    <cfRule type="duplicateValues" priority="7" dxfId="0"/>
    <cfRule type="duplicateValues" priority="6" dxfId="0"/>
    <cfRule type="duplicateValues" priority="5" dxfId="0"/>
    <cfRule type="duplicateValues" priority="4" dxfId="0"/>
    <cfRule type="duplicateValues" priority="10" dxfId="0"/>
    <cfRule type="duplicateValues" priority="8" dxfId="0"/>
    <cfRule type="duplicateValues" priority="9" dxfId="0"/>
  </conditionalFormatting>
  <conditionalFormatting sqref="A302:A303">
    <cfRule type="duplicateValues" priority="2" dxfId="0"/>
    <cfRule type="duplicateValues" priority="1" dxfId="0"/>
    <cfRule type="duplicateValues" priority="3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6">
    <tabColor theme="7" tint="-0.249977111117893"/>
    <outlinePr summaryBelow="1" summaryRight="1"/>
    <pageSetUpPr/>
  </sheetPr>
  <dimension ref="B3:X123"/>
  <sheetViews>
    <sheetView showGridLines="0" tabSelected="1" zoomScale="90" zoomScaleNormal="80" workbookViewId="0">
      <pane xSplit="5" ySplit="4" topLeftCell="Q27" activePane="bottomRight" state="frozen"/>
      <selection pane="topRight" activeCell="F1" sqref="F1"/>
      <selection pane="bottomLeft" activeCell="F1" sqref="F1"/>
      <selection pane="bottomRight" activeCell="U124" sqref="U124"/>
    </sheetView>
  </sheetViews>
  <sheetFormatPr baseColWidth="8" defaultColWidth="9.26953125" defaultRowHeight="13"/>
  <cols>
    <col width="4.26953125" customWidth="1" style="47" min="1" max="1"/>
    <col width="22.81640625" bestFit="1" customWidth="1" style="46" min="2" max="2"/>
    <col width="16.81640625" bestFit="1" customWidth="1" style="46" min="3" max="3"/>
    <col width="11.1796875" bestFit="1" customWidth="1" style="46" min="4" max="4"/>
    <col width="21.1796875" bestFit="1" customWidth="1" style="46" min="5" max="5"/>
    <col width="14.453125" customWidth="1" style="46" min="6" max="6"/>
    <col width="15.1796875" bestFit="1" customWidth="1" style="46" min="7" max="7"/>
    <col width="21.7265625" customWidth="1" style="46" min="8" max="8"/>
    <col width="14.54296875" bestFit="1" customWidth="1" style="46" min="9" max="9"/>
    <col width="23.453125" customWidth="1" style="46" min="10" max="10"/>
    <col width="35.90625" customWidth="1" style="46" min="11" max="11"/>
    <col width="16.453125" customWidth="1" style="46" min="12" max="12"/>
    <col width="12.7265625" bestFit="1" customWidth="1" style="46" min="13" max="13"/>
    <col width="10.81640625" customWidth="1" style="46" min="14" max="14"/>
    <col width="12" customWidth="1" style="46" min="15" max="15"/>
    <col width="47.54296875" customWidth="1" style="46" min="16" max="16"/>
    <col width="14.7265625" customWidth="1" style="46" min="17" max="17"/>
    <col width="15.1796875" customWidth="1" style="46" min="18" max="18"/>
    <col width="23" customWidth="1" style="46" min="19" max="19"/>
    <col width="13.26953125" customWidth="1" style="46" min="20" max="20"/>
    <col width="9.26953125" customWidth="1" style="47" min="21" max="16384"/>
  </cols>
  <sheetData>
    <row r="1" ht="42" customHeight="1"/>
    <row r="3" ht="27" customHeight="1">
      <c r="B3" s="59" t="inlineStr">
        <is>
          <t>Lenovo Notebook Price List - 1st Jan'26 to 31st Jan '26</t>
        </is>
      </c>
      <c r="C3" s="60" t="n"/>
      <c r="D3" s="60" t="n"/>
      <c r="E3" s="60" t="n"/>
      <c r="F3" s="60" t="n"/>
      <c r="G3" s="60" t="n"/>
      <c r="H3" s="60" t="n"/>
      <c r="I3" s="60" t="n"/>
      <c r="J3" s="60" t="n"/>
      <c r="K3" s="61" t="n"/>
      <c r="L3" s="61" t="n"/>
      <c r="M3" s="60" t="n"/>
      <c r="N3" s="60" t="n"/>
      <c r="O3" s="60" t="n"/>
      <c r="P3" s="61" t="n"/>
      <c r="Q3" s="60" t="n"/>
      <c r="R3" s="60" t="n"/>
      <c r="S3" s="60" t="n"/>
      <c r="T3" s="60" t="n"/>
    </row>
    <row r="4" ht="39" customHeight="1">
      <c r="B4" s="48" t="inlineStr">
        <is>
          <t>Series</t>
        </is>
      </c>
      <c r="C4" s="48" t="inlineStr">
        <is>
          <t>Form Factor</t>
        </is>
      </c>
      <c r="D4" s="48" t="inlineStr">
        <is>
          <t>MTM</t>
        </is>
      </c>
      <c r="E4" s="48" t="inlineStr">
        <is>
          <t>CPU</t>
        </is>
      </c>
      <c r="F4" s="48" t="inlineStr">
        <is>
          <t>AI PC</t>
        </is>
      </c>
      <c r="G4" s="48" t="inlineStr">
        <is>
          <t>RAM/HDD</t>
        </is>
      </c>
      <c r="H4" s="48" t="inlineStr">
        <is>
          <t>Operating System</t>
        </is>
      </c>
      <c r="I4" s="48" t="inlineStr">
        <is>
          <t>Office</t>
        </is>
      </c>
      <c r="J4" s="48" t="inlineStr">
        <is>
          <t>Graphics</t>
        </is>
      </c>
      <c r="K4" s="62" t="inlineStr">
        <is>
          <t>Display</t>
        </is>
      </c>
      <c r="L4" s="62" t="inlineStr">
        <is>
          <t>Color</t>
        </is>
      </c>
      <c r="M4" s="48" t="inlineStr">
        <is>
          <t>Weight</t>
        </is>
      </c>
      <c r="N4" s="48" t="inlineStr">
        <is>
          <t>Carrycase MTM</t>
        </is>
      </c>
      <c r="O4" s="48" t="inlineStr">
        <is>
          <t>Warranty</t>
        </is>
      </c>
      <c r="P4" s="62" t="inlineStr">
        <is>
          <t>Additional Warranty Offering</t>
        </is>
      </c>
      <c r="Q4" s="48" t="inlineStr">
        <is>
          <t>ADP Additional</t>
        </is>
      </c>
      <c r="R4" s="48" t="inlineStr">
        <is>
          <t>Keyboard</t>
        </is>
      </c>
      <c r="S4" s="48" t="inlineStr">
        <is>
          <t>Login Option</t>
        </is>
      </c>
      <c r="T4" s="48" t="inlineStr">
        <is>
          <t>Segment Type</t>
        </is>
      </c>
      <c r="U4" s="50" t="inlineStr">
        <is>
          <t>T3 billing taxpaid</t>
        </is>
      </c>
      <c r="V4" s="51" t="inlineStr">
        <is>
          <t>Activation taxpaid</t>
        </is>
      </c>
      <c r="W4" s="50" t="inlineStr">
        <is>
          <t>Effective T3 NLC taxpaid</t>
        </is>
      </c>
      <c r="X4" t="inlineStr">
        <is>
          <t>final-price</t>
        </is>
      </c>
    </row>
    <row r="5">
      <c r="B5" s="45" t="inlineStr">
        <is>
          <t>Flex 5</t>
        </is>
      </c>
      <c r="C5" s="45" t="inlineStr">
        <is>
          <t>Convertible</t>
        </is>
      </c>
      <c r="D5" s="45" t="inlineStr">
        <is>
          <t>82R900D8IN</t>
        </is>
      </c>
      <c r="E5" s="45" t="inlineStr">
        <is>
          <t>RYZEN 7 5700U</t>
        </is>
      </c>
      <c r="F5" s="45" t="n"/>
      <c r="G5" s="45" t="inlineStr">
        <is>
          <t>16GB, 512GB SSD</t>
        </is>
      </c>
      <c r="H5" s="45" t="inlineStr">
        <is>
          <t>WINDOWS 11 HOME 64 SL</t>
        </is>
      </c>
      <c r="I5" s="45" t="inlineStr">
        <is>
          <t xml:space="preserve">OFFICE H&amp;S 2021  </t>
        </is>
      </c>
      <c r="J5" s="45" t="inlineStr">
        <is>
          <t>Integrated AMD Radeon Graphics</t>
        </is>
      </c>
      <c r="K5" s="63" t="inlineStr">
        <is>
          <t>14" WUXGA (1920x1200) IPS 300nits Glossy, Glass, Touch</t>
        </is>
      </c>
      <c r="L5" s="63" t="inlineStr">
        <is>
          <t>Storm Grey</t>
        </is>
      </c>
      <c r="M5" s="45" t="inlineStr">
        <is>
          <t>1.55 kg</t>
        </is>
      </c>
      <c r="N5" s="45" t="inlineStr">
        <is>
          <t xml:space="preserve">GX40Q75210 </t>
        </is>
      </c>
      <c r="O5" s="45" t="inlineStr">
        <is>
          <t>1 Year Onsite</t>
        </is>
      </c>
      <c r="P5" s="63" t="inlineStr">
        <is>
          <t>1 Year Hard bundled Premium Care</t>
        </is>
      </c>
      <c r="Q5" s="45" t="inlineStr">
        <is>
          <t>1 Year ADP</t>
        </is>
      </c>
      <c r="R5" s="45" t="inlineStr">
        <is>
          <t xml:space="preserve">Backlit </t>
        </is>
      </c>
      <c r="S5" s="45" t="inlineStr">
        <is>
          <t>FPR Touch Style</t>
        </is>
      </c>
      <c r="T5" s="53">
        <f>IF(W5&lt;45000,"Entry",IF(W5&gt;72000,"Premium","Mainstream"))</f>
        <v/>
      </c>
      <c r="U5" s="73" t="n">
        <v>61771.56335302901</v>
      </c>
      <c r="V5" s="73" t="n"/>
      <c r="W5" s="73">
        <f>U5-V5</f>
        <v/>
      </c>
      <c r="X5" t="n">
        <v>62080.42</v>
      </c>
    </row>
    <row r="6">
      <c r="B6" s="45" t="inlineStr">
        <is>
          <t>Flex 5</t>
        </is>
      </c>
      <c r="C6" s="45" t="inlineStr">
        <is>
          <t>Convertible</t>
        </is>
      </c>
      <c r="D6" s="45" t="inlineStr">
        <is>
          <t>82XX00G3IN</t>
        </is>
      </c>
      <c r="E6" s="45" t="inlineStr">
        <is>
          <t>RYZEN 5 5625U</t>
        </is>
      </c>
      <c r="F6" s="45" t="n"/>
      <c r="G6" s="45" t="inlineStr">
        <is>
          <t>16GB, 512GB SSD</t>
        </is>
      </c>
      <c r="H6" s="45" t="inlineStr">
        <is>
          <t>WINDOWS 11 HOME 64 SL</t>
        </is>
      </c>
      <c r="I6" s="45" t="inlineStr">
        <is>
          <t>OFFICE H&amp;S 2024</t>
        </is>
      </c>
      <c r="J6" s="45" t="inlineStr">
        <is>
          <t>Integrated AMD Radeon Graphics</t>
        </is>
      </c>
      <c r="K6" s="63" t="inlineStr">
        <is>
          <t>14" WUXGA (1920x1200) IPS 300nits Glossy, 45% NTSC, 60Hz, TÜV Low Blue Light, Glass, Touch</t>
        </is>
      </c>
      <c r="L6" s="63" t="inlineStr">
        <is>
          <t>Arctic Grey</t>
        </is>
      </c>
      <c r="M6" s="45" t="inlineStr">
        <is>
          <t>1.55 kg</t>
        </is>
      </c>
      <c r="N6" s="45" t="inlineStr">
        <is>
          <t xml:space="preserve">GX40Q75210 </t>
        </is>
      </c>
      <c r="O6" s="45" t="inlineStr">
        <is>
          <t>1 Year Onsite</t>
        </is>
      </c>
      <c r="P6" s="63" t="inlineStr">
        <is>
          <t>1 Year Hard bundled Premium Care</t>
        </is>
      </c>
      <c r="Q6" s="45" t="inlineStr">
        <is>
          <t>1 Year ADP</t>
        </is>
      </c>
      <c r="R6" s="45" t="inlineStr">
        <is>
          <t xml:space="preserve">Backlit </t>
        </is>
      </c>
      <c r="S6" s="45" t="inlineStr">
        <is>
          <t>FPR Touch Style</t>
        </is>
      </c>
      <c r="T6" s="53">
        <f>IF(W6&lt;45000,"Entry",IF(W6&gt;72000,"Premium","Mainstream"))</f>
        <v/>
      </c>
      <c r="U6" s="73" t="n">
        <v>66263.5691072</v>
      </c>
      <c r="V6" s="73" t="n">
        <v>6000.299999999999</v>
      </c>
      <c r="W6" s="73">
        <f>U6-V6</f>
        <v/>
      </c>
      <c r="X6" t="n">
        <v>64190</v>
      </c>
    </row>
    <row r="7">
      <c r="B7" s="45" t="inlineStr">
        <is>
          <t>Flex 5</t>
        </is>
      </c>
      <c r="C7" s="45" t="inlineStr">
        <is>
          <t>Convertible</t>
        </is>
      </c>
      <c r="D7" s="45" t="inlineStr">
        <is>
          <t>82R900HJIN</t>
        </is>
      </c>
      <c r="E7" s="45" t="inlineStr">
        <is>
          <t>RYZEN 7 5700U</t>
        </is>
      </c>
      <c r="F7" s="45" t="n"/>
      <c r="G7" s="45" t="inlineStr">
        <is>
          <t>16GB, 512GB SSD</t>
        </is>
      </c>
      <c r="H7" s="45" t="inlineStr">
        <is>
          <t>WINDOWS 11 HOME 64 SL</t>
        </is>
      </c>
      <c r="I7" s="45" t="inlineStr">
        <is>
          <t>OFFICE H&amp;S 2024</t>
        </is>
      </c>
      <c r="J7" s="45" t="inlineStr">
        <is>
          <t>Integrated AMD Radeon Graphics</t>
        </is>
      </c>
      <c r="K7" s="63" t="inlineStr">
        <is>
          <t>14" WUXGA (1920x1200) IPS 300nits Glossy, Glass, Touch</t>
        </is>
      </c>
      <c r="L7" s="63" t="inlineStr">
        <is>
          <t>Storm Grey</t>
        </is>
      </c>
      <c r="M7" s="45" t="inlineStr">
        <is>
          <t>1.55 kg</t>
        </is>
      </c>
      <c r="N7" s="45" t="inlineStr">
        <is>
          <t xml:space="preserve">GX40Q75210 </t>
        </is>
      </c>
      <c r="O7" s="45" t="inlineStr">
        <is>
          <t>1 Year Onsite</t>
        </is>
      </c>
      <c r="P7" s="63" t="inlineStr">
        <is>
          <t>1 Year Hard bundled Premium Care</t>
        </is>
      </c>
      <c r="Q7" s="45" t="inlineStr">
        <is>
          <t>1 Year ADP</t>
        </is>
      </c>
      <c r="R7" s="45" t="inlineStr">
        <is>
          <t xml:space="preserve">Backlit </t>
        </is>
      </c>
      <c r="S7" s="45" t="inlineStr">
        <is>
          <t>FPR Touch Style</t>
        </is>
      </c>
      <c r="T7" s="53">
        <f>IF(W7&lt;45000,"Entry",IF(W7&gt;72000,"Premium","Mainstream"))</f>
        <v/>
      </c>
      <c r="U7" s="73" t="n">
        <v>60912.82317376348</v>
      </c>
      <c r="V7" s="73" t="n"/>
      <c r="W7" s="73">
        <f>U7-V7</f>
        <v/>
      </c>
      <c r="X7" t="n">
        <v>67899</v>
      </c>
    </row>
    <row r="8">
      <c r="B8" s="45" t="inlineStr">
        <is>
          <t>Flex 5</t>
        </is>
      </c>
      <c r="C8" s="45" t="inlineStr">
        <is>
          <t>Convertible</t>
        </is>
      </c>
      <c r="D8" s="45" t="inlineStr">
        <is>
          <t>82R900HFIN</t>
        </is>
      </c>
      <c r="E8" s="45" t="inlineStr">
        <is>
          <t>RYZEN 7 5700U</t>
        </is>
      </c>
      <c r="F8" s="45" t="n"/>
      <c r="G8" s="45" t="inlineStr">
        <is>
          <t>16GB, 512GB SSD</t>
        </is>
      </c>
      <c r="H8" s="45" t="inlineStr">
        <is>
          <t>WINDOWS 11 HOME 64 SL</t>
        </is>
      </c>
      <c r="I8" s="45" t="inlineStr">
        <is>
          <t>OFFICE H&amp;S 2021</t>
        </is>
      </c>
      <c r="J8" s="45" t="inlineStr">
        <is>
          <t>Integrated AMD Radeon Graphics</t>
        </is>
      </c>
      <c r="K8" s="63" t="inlineStr">
        <is>
          <t>14" WUXGA (1920x1200) IPS 300nits Glossy, Glass, Touch</t>
        </is>
      </c>
      <c r="L8" s="63" t="inlineStr">
        <is>
          <t>Storm Grey</t>
        </is>
      </c>
      <c r="M8" s="45" t="inlineStr">
        <is>
          <t>1.55 kg</t>
        </is>
      </c>
      <c r="N8" s="45" t="inlineStr">
        <is>
          <t xml:space="preserve">GX40Q75210 </t>
        </is>
      </c>
      <c r="O8" s="45" t="inlineStr">
        <is>
          <t>1 Year Onsite</t>
        </is>
      </c>
      <c r="P8" s="63" t="inlineStr">
        <is>
          <t>1 Year Hard bundled Premium Care</t>
        </is>
      </c>
      <c r="Q8" s="45" t="inlineStr">
        <is>
          <t>1 Year ADP</t>
        </is>
      </c>
      <c r="R8" s="45" t="inlineStr">
        <is>
          <t xml:space="preserve">Backlit </t>
        </is>
      </c>
      <c r="S8" s="45" t="inlineStr">
        <is>
          <t>FPR Touch Style</t>
        </is>
      </c>
      <c r="T8" s="53">
        <f>IF(W8&lt;45000,"Entry",IF(W8&gt;72000,"Premium","Mainstream"))</f>
        <v/>
      </c>
      <c r="U8" s="73" t="n">
        <v>60426.0379672801</v>
      </c>
      <c r="V8" s="73" t="n"/>
      <c r="W8" s="73">
        <f>U8-V8</f>
        <v/>
      </c>
      <c r="X8" t="n">
        <v>60728.17</v>
      </c>
    </row>
    <row r="9">
      <c r="B9" s="45" t="inlineStr">
        <is>
          <t>Flex 5i</t>
        </is>
      </c>
      <c r="C9" s="45" t="inlineStr">
        <is>
          <t>Convertible</t>
        </is>
      </c>
      <c r="D9" s="45" t="inlineStr">
        <is>
          <t>82Y00052IN</t>
        </is>
      </c>
      <c r="E9" s="45" t="inlineStr">
        <is>
          <t>i7-1355U</t>
        </is>
      </c>
      <c r="F9" s="45" t="n"/>
      <c r="G9" s="45" t="inlineStr">
        <is>
          <t>16GB,512GB SSD</t>
        </is>
      </c>
      <c r="H9" s="45" t="inlineStr">
        <is>
          <t>WINDOWS 11 HOME 64 SL</t>
        </is>
      </c>
      <c r="I9" s="45" t="inlineStr">
        <is>
          <t xml:space="preserve">OFFICE H&amp;S 2021  </t>
        </is>
      </c>
      <c r="J9" s="45" t="inlineStr">
        <is>
          <t>Integrated Intel Iris Xe Graphics</t>
        </is>
      </c>
      <c r="K9" s="63" t="inlineStr">
        <is>
          <t>14" WUXGA (1920x1200) IPS 300nits Glossy, Glass, Touch</t>
        </is>
      </c>
      <c r="L9" s="63" t="inlineStr">
        <is>
          <t>Arctic Grey</t>
        </is>
      </c>
      <c r="M9" s="45" t="inlineStr">
        <is>
          <t>1.5 kg</t>
        </is>
      </c>
      <c r="N9" s="45" t="inlineStr">
        <is>
          <t xml:space="preserve">GX40Q75210 </t>
        </is>
      </c>
      <c r="O9" s="45" t="inlineStr">
        <is>
          <t>1 Year Onsite</t>
        </is>
      </c>
      <c r="P9" s="63" t="inlineStr">
        <is>
          <t>1 Year Hard bundled Premium Care</t>
        </is>
      </c>
      <c r="Q9" s="45" t="inlineStr">
        <is>
          <t>1 Year ADP</t>
        </is>
      </c>
      <c r="R9" s="45" t="inlineStr">
        <is>
          <t xml:space="preserve">Backlit </t>
        </is>
      </c>
      <c r="S9" s="45" t="inlineStr">
        <is>
          <t>FPR Touch Style</t>
        </is>
      </c>
      <c r="T9" s="53">
        <f>IF(W9&lt;45000,"Entry",IF(W9&gt;72000,"Premium","Mainstream"))</f>
        <v/>
      </c>
      <c r="U9" s="73" t="n">
        <v>78757.93215317201</v>
      </c>
      <c r="V9" s="73" t="n">
        <v>2000.1</v>
      </c>
      <c r="W9" s="73">
        <f>U9-V9</f>
        <v/>
      </c>
      <c r="X9" t="n">
        <v>77141.62</v>
      </c>
    </row>
    <row r="10">
      <c r="B10" s="45" t="inlineStr">
        <is>
          <t>Flex 5i</t>
        </is>
      </c>
      <c r="C10" s="45" t="inlineStr">
        <is>
          <t>Convertible</t>
        </is>
      </c>
      <c r="D10" s="45" t="inlineStr">
        <is>
          <t>82Y0004RIN</t>
        </is>
      </c>
      <c r="E10" s="45" t="inlineStr">
        <is>
          <t>i3-1315U</t>
        </is>
      </c>
      <c r="F10" s="45" t="n"/>
      <c r="G10" s="45" t="inlineStr">
        <is>
          <t>8GB, 512GB SSD</t>
        </is>
      </c>
      <c r="H10" s="45" t="inlineStr">
        <is>
          <t>WINDOWS 11 HOME 64 SL</t>
        </is>
      </c>
      <c r="I10" s="45" t="inlineStr">
        <is>
          <t xml:space="preserve">OFFICE H&amp;S 2021  </t>
        </is>
      </c>
      <c r="J10" s="45" t="inlineStr">
        <is>
          <t>Integrated Intel® UHD Graphics</t>
        </is>
      </c>
      <c r="K10" s="63" t="inlineStr">
        <is>
          <t>14" WUXGA (1920x1200) IPS 300nits Glossy, 45% NTSC, TÜV Low Blue Light, Glass, Touch</t>
        </is>
      </c>
      <c r="L10" s="63" t="inlineStr">
        <is>
          <t>Arctic Grey</t>
        </is>
      </c>
      <c r="M10" s="45" t="inlineStr">
        <is>
          <t>1.5 kg</t>
        </is>
      </c>
      <c r="N10" s="45" t="inlineStr">
        <is>
          <t xml:space="preserve">GX40Q75210 </t>
        </is>
      </c>
      <c r="O10" s="45" t="inlineStr">
        <is>
          <t>1 Year Onsite</t>
        </is>
      </c>
      <c r="P10" s="63" t="inlineStr">
        <is>
          <t>1 Year Hard bundled Premium Care</t>
        </is>
      </c>
      <c r="Q10" s="45" t="inlineStr">
        <is>
          <t>1 Year ADP</t>
        </is>
      </c>
      <c r="R10" s="45" t="inlineStr">
        <is>
          <t>Backlit</t>
        </is>
      </c>
      <c r="S10" s="45" t="inlineStr">
        <is>
          <t>FPR Touch Style</t>
        </is>
      </c>
      <c r="T10" s="53">
        <f>IF(W10&lt;45000,"Entry",IF(W10&gt;72000,"Premium","Mainstream"))</f>
        <v/>
      </c>
      <c r="U10" s="73" t="n">
        <v>55099.02273978233</v>
      </c>
      <c r="V10" s="73" t="n">
        <v>3700.48</v>
      </c>
      <c r="W10" s="73">
        <f>U10-V10</f>
        <v/>
      </c>
      <c r="X10" t="n">
        <v>64190</v>
      </c>
    </row>
    <row r="11">
      <c r="B11" s="45" t="inlineStr">
        <is>
          <t>Flex 5i</t>
        </is>
      </c>
      <c r="C11" s="45" t="inlineStr">
        <is>
          <t>Convertible</t>
        </is>
      </c>
      <c r="D11" s="45" t="inlineStr">
        <is>
          <t>82R700KHIN</t>
        </is>
      </c>
      <c r="E11" s="45" t="inlineStr">
        <is>
          <t>i3-1215U</t>
        </is>
      </c>
      <c r="F11" s="45" t="n"/>
      <c r="G11" s="45" t="inlineStr">
        <is>
          <t>8GB, 512GB SSD</t>
        </is>
      </c>
      <c r="H11" s="45" t="inlineStr">
        <is>
          <t>WINDOWS 11 HOME 64 SL</t>
        </is>
      </c>
      <c r="I11" s="45" t="inlineStr">
        <is>
          <t xml:space="preserve">OFFICE H&amp;S 2021  </t>
        </is>
      </c>
      <c r="J11" s="45" t="inlineStr">
        <is>
          <t>Integrated Intel® UHD Graphics</t>
        </is>
      </c>
      <c r="K11" s="63" t="inlineStr">
        <is>
          <t>14" WUXGA (1920x1200) IPS 300nits Glossy, 45% NTSC, TÜV Low Blue Light, Glass, Touch</t>
        </is>
      </c>
      <c r="L11" s="63" t="inlineStr">
        <is>
          <t>Storm Grey</t>
        </is>
      </c>
      <c r="M11" s="45" t="inlineStr">
        <is>
          <t>1.5 kg</t>
        </is>
      </c>
      <c r="N11" s="45" t="inlineStr">
        <is>
          <t xml:space="preserve">GX40Q75210 </t>
        </is>
      </c>
      <c r="O11" s="45" t="inlineStr">
        <is>
          <t>1 Year Onsite</t>
        </is>
      </c>
      <c r="P11" s="63" t="inlineStr">
        <is>
          <t>1 Year Hard bundled Premium Care</t>
        </is>
      </c>
      <c r="Q11" s="45" t="inlineStr">
        <is>
          <t>1 Year ADP</t>
        </is>
      </c>
      <c r="R11" s="45" t="inlineStr">
        <is>
          <t>Backlit</t>
        </is>
      </c>
      <c r="S11" s="45" t="inlineStr">
        <is>
          <t>FPR Touch Style</t>
        </is>
      </c>
      <c r="T11" s="53">
        <f>IF(W11&lt;45000,"Entry",IF(W11&gt;72000,"Premium","Mainstream"))</f>
        <v/>
      </c>
      <c r="U11" s="73" t="n">
        <v>51470.26041523244</v>
      </c>
      <c r="V11" s="73" t="n">
        <v>2999.56</v>
      </c>
      <c r="W11" s="73">
        <f>U11-V11</f>
        <v/>
      </c>
      <c r="X11" t="n">
        <v>52890</v>
      </c>
    </row>
    <row r="12">
      <c r="B12" s="45" t="inlineStr">
        <is>
          <t>Ideapad 5 2-in-1</t>
        </is>
      </c>
      <c r="C12" s="45" t="inlineStr">
        <is>
          <t>Convertible</t>
        </is>
      </c>
      <c r="D12" s="45" t="inlineStr">
        <is>
          <t>83KT000LIN</t>
        </is>
      </c>
      <c r="E12" s="45" t="inlineStr">
        <is>
          <t>Ryzen AI 7 350</t>
        </is>
      </c>
      <c r="F12" s="45" t="inlineStr">
        <is>
          <t>Co-Pilot+ PC</t>
        </is>
      </c>
      <c r="G12" s="45" t="inlineStr">
        <is>
          <t>24GB, 1TB SSD</t>
        </is>
      </c>
      <c r="H12" s="45" t="inlineStr">
        <is>
          <t>WINDOWS 11 HOME 64 SL</t>
        </is>
      </c>
      <c r="I12" s="45" t="inlineStr">
        <is>
          <t>OFFICE HOME 2024</t>
        </is>
      </c>
      <c r="J12" s="45" t="inlineStr">
        <is>
          <t>INTEGRATED_GRAPHICS</t>
        </is>
      </c>
      <c r="K12" s="63" t="inlineStr">
        <is>
          <t>14" WUXGA (1920x1200) OLED 500nits (peak) / 400nits (typical) Glossy, 100% DCI-P3, 60Hz, TÜV Low Blue Light, DisplayHDR™ True Black 500, Glass, Touch</t>
        </is>
      </c>
      <c r="L12" s="63" t="inlineStr">
        <is>
          <t>LUNA_GREY</t>
        </is>
      </c>
      <c r="M12" s="45" t="inlineStr">
        <is>
          <t>1.5Kg</t>
        </is>
      </c>
      <c r="N12" s="45" t="inlineStr">
        <is>
          <t xml:space="preserve">GX40Q75210 </t>
        </is>
      </c>
      <c r="O12" s="45" t="inlineStr">
        <is>
          <t>1 Year Onsite</t>
        </is>
      </c>
      <c r="P12" s="63" t="inlineStr">
        <is>
          <t>1 Year Hard bundled Premium Care</t>
        </is>
      </c>
      <c r="Q12" s="45" t="inlineStr">
        <is>
          <t>1 Year ADP</t>
        </is>
      </c>
      <c r="R12" s="45" t="inlineStr">
        <is>
          <t>Backlit</t>
        </is>
      </c>
      <c r="S12" s="45" t="inlineStr">
        <is>
          <t>IR Camera</t>
        </is>
      </c>
      <c r="T12" s="53">
        <f>IF(W12&lt;45000,"Entry",IF(W12&gt;72000,"Premium","Mainstream"))</f>
        <v/>
      </c>
      <c r="U12" s="73" t="n">
        <v>90668.74860192002</v>
      </c>
      <c r="V12" s="73" t="n"/>
      <c r="W12" s="73">
        <f>U12-V12</f>
        <v/>
      </c>
      <c r="X12" t="n">
        <v>91122.09</v>
      </c>
    </row>
    <row r="13">
      <c r="B13" s="45" t="inlineStr">
        <is>
          <t>Ideapad 5 2-in-1</t>
        </is>
      </c>
      <c r="C13" s="45" t="inlineStr">
        <is>
          <t>Convertible</t>
        </is>
      </c>
      <c r="D13" s="45" t="inlineStr">
        <is>
          <t>83KR000HIN</t>
        </is>
      </c>
      <c r="E13" s="45" t="inlineStr">
        <is>
          <t>CORE ULT5 225H</t>
        </is>
      </c>
      <c r="F13" s="45" t="inlineStr">
        <is>
          <t>AI PC</t>
        </is>
      </c>
      <c r="G13" s="45" t="inlineStr">
        <is>
          <t>16GB, 1TB SSD</t>
        </is>
      </c>
      <c r="H13" s="45" t="inlineStr">
        <is>
          <t>WINDOWS 11 HOME 64 SL</t>
        </is>
      </c>
      <c r="I13" s="45" t="inlineStr">
        <is>
          <t>OFFICE HOME 2024</t>
        </is>
      </c>
      <c r="J13" s="45" t="inlineStr">
        <is>
          <t>INTEGRATED_GRAPHICS</t>
        </is>
      </c>
      <c r="K13" s="63" t="inlineStr">
        <is>
          <t>14_WUXGA_GL_300N_MT_G</t>
        </is>
      </c>
      <c r="L13" s="63" t="inlineStr">
        <is>
          <t>LUNA_GREY</t>
        </is>
      </c>
      <c r="M13" s="45" t="inlineStr">
        <is>
          <t>1.6Kg</t>
        </is>
      </c>
      <c r="N13" s="45" t="inlineStr">
        <is>
          <t xml:space="preserve">GX40Q75210 </t>
        </is>
      </c>
      <c r="O13" s="45" t="inlineStr">
        <is>
          <t>1 Year Onsite</t>
        </is>
      </c>
      <c r="P13" s="63" t="inlineStr">
        <is>
          <t>1 Year Hard bundled Premium Care</t>
        </is>
      </c>
      <c r="Q13" s="45" t="inlineStr">
        <is>
          <t>1 Year ADP</t>
        </is>
      </c>
      <c r="R13" s="45" t="inlineStr">
        <is>
          <t>Backlit</t>
        </is>
      </c>
      <c r="S13" s="45" t="inlineStr">
        <is>
          <t>IR Camera</t>
        </is>
      </c>
      <c r="T13" s="53">
        <f>IF(W13&lt;45000,"Entry",IF(W13&gt;72000,"Premium","Mainstream"))</f>
        <v/>
      </c>
      <c r="U13" s="73" t="n">
        <v>81912.28578356</v>
      </c>
      <c r="V13" s="73" t="n"/>
      <c r="W13" s="73">
        <f>U13-V13</f>
        <v/>
      </c>
      <c r="X13" t="n">
        <v>82321.85000000001</v>
      </c>
    </row>
    <row r="14">
      <c r="B14" s="45" t="inlineStr">
        <is>
          <t>Ideapad 5 2-in-1</t>
        </is>
      </c>
      <c r="C14" s="45" t="inlineStr">
        <is>
          <t>Convertible</t>
        </is>
      </c>
      <c r="D14" s="45" t="inlineStr">
        <is>
          <t>83KX004RIN</t>
        </is>
      </c>
      <c r="E14" s="45" t="inlineStr">
        <is>
          <t>i7-13620H</t>
        </is>
      </c>
      <c r="F14" s="45" t="n"/>
      <c r="G14" s="45" t="inlineStr">
        <is>
          <t>16GB,512GB SSD</t>
        </is>
      </c>
      <c r="H14" s="45" t="inlineStr">
        <is>
          <t>WINDOWS 11 HOME 64 SL</t>
        </is>
      </c>
      <c r="I14" s="45" t="inlineStr">
        <is>
          <t>OFFICE H&amp;S 2024</t>
        </is>
      </c>
      <c r="J14" s="45" t="inlineStr">
        <is>
          <t>Integrated Intel UHD Graphics</t>
        </is>
      </c>
      <c r="K14" s="63" t="inlineStr">
        <is>
          <t>14" WUXGA (1920x1200) OLED 400nits Glossy, 100% DCI-P3, 60Hz, TÜV Low Blue Light, Glass, Touch</t>
        </is>
      </c>
      <c r="L14" s="63" t="inlineStr">
        <is>
          <t>Luna Grey</t>
        </is>
      </c>
      <c r="M14" s="45" t="inlineStr">
        <is>
          <t>1.6 kg</t>
        </is>
      </c>
      <c r="N14" s="45" t="inlineStr">
        <is>
          <t xml:space="preserve">GX40Q75210 </t>
        </is>
      </c>
      <c r="O14" s="45" t="inlineStr">
        <is>
          <t>1 Year Onsite</t>
        </is>
      </c>
      <c r="P14" s="63" t="inlineStr">
        <is>
          <t>1 Year Hard bundled Premium Care</t>
        </is>
      </c>
      <c r="Q14" s="45" t="inlineStr">
        <is>
          <t>1 Year ADP</t>
        </is>
      </c>
      <c r="R14" s="45" t="inlineStr">
        <is>
          <t xml:space="preserve">Backlit </t>
        </is>
      </c>
      <c r="S14" s="45" t="inlineStr">
        <is>
          <t>FPR Touch Style</t>
        </is>
      </c>
      <c r="T14" s="53">
        <f>IF(W14&lt;45000,"Entry",IF(W14&gt;72000,"Premium","Mainstream"))</f>
        <v/>
      </c>
      <c r="U14" s="73" t="n">
        <v>80737.34181177152</v>
      </c>
      <c r="V14" s="73" t="n"/>
      <c r="W14" s="73">
        <f>U14-V14</f>
        <v/>
      </c>
      <c r="X14" t="n">
        <v>81141.03</v>
      </c>
    </row>
    <row r="15">
      <c r="B15" s="45" t="inlineStr">
        <is>
          <t>Ideapad 5 2-in-1</t>
        </is>
      </c>
      <c r="C15" s="45" t="inlineStr">
        <is>
          <t>Convertible</t>
        </is>
      </c>
      <c r="D15" s="45" t="inlineStr">
        <is>
          <t>83DT004SIN</t>
        </is>
      </c>
      <c r="E15" s="45" t="inlineStr">
        <is>
          <t>Core 5 120U</t>
        </is>
      </c>
      <c r="F15" s="45" t="n"/>
      <c r="G15" s="45" t="inlineStr">
        <is>
          <t>16GB,512GB SSD</t>
        </is>
      </c>
      <c r="H15" s="45" t="inlineStr">
        <is>
          <t>WINDOWS 11 HOME 64 SL</t>
        </is>
      </c>
      <c r="I15" s="45" t="inlineStr">
        <is>
          <t xml:space="preserve">OFFICE H&amp;S 2021  </t>
        </is>
      </c>
      <c r="J15" s="45" t="inlineStr">
        <is>
          <t>Integrated Intel® Graphics</t>
        </is>
      </c>
      <c r="K15" s="63" t="inlineStr">
        <is>
          <t>14" WUXGA (1920x1200) IPS 300nits Glossy, 45% NTSC, 60Hz, TÜV Low Blue Light, Glass, Touch</t>
        </is>
      </c>
      <c r="L15" s="63" t="inlineStr">
        <is>
          <t>Luna Grey</t>
        </is>
      </c>
      <c r="M15" s="45" t="inlineStr">
        <is>
          <t>1.6kg</t>
        </is>
      </c>
      <c r="N15" s="45" t="inlineStr">
        <is>
          <t>GX40Q75210</t>
        </is>
      </c>
      <c r="O15" s="45" t="inlineStr">
        <is>
          <t>1 Year Onsite</t>
        </is>
      </c>
      <c r="P15" s="63" t="inlineStr">
        <is>
          <t>1 Year Hard bundled Premium Care</t>
        </is>
      </c>
      <c r="Q15" s="45" t="inlineStr">
        <is>
          <t>1 Year ADP</t>
        </is>
      </c>
      <c r="R15" s="45" t="inlineStr">
        <is>
          <t xml:space="preserve">Backlit </t>
        </is>
      </c>
      <c r="S15" s="45" t="inlineStr">
        <is>
          <t>FPR Touch Style</t>
        </is>
      </c>
      <c r="T15" s="53">
        <f>IF(W15&lt;45000,"Entry",IF(W15&gt;72000,"Premium","Mainstream"))</f>
        <v/>
      </c>
      <c r="U15" s="73" t="n">
        <v>76845.86224935659</v>
      </c>
      <c r="V15" s="73" t="n"/>
      <c r="W15" s="73">
        <f>U15-V15</f>
        <v/>
      </c>
      <c r="X15" t="n">
        <v>77230.09</v>
      </c>
    </row>
    <row r="16">
      <c r="B16" s="45" t="inlineStr">
        <is>
          <t>Ideapad 5 2-in-1</t>
        </is>
      </c>
      <c r="C16" s="45" t="inlineStr">
        <is>
          <t>Convertible</t>
        </is>
      </c>
      <c r="D16" s="45" t="inlineStr">
        <is>
          <t>83DR007DIN</t>
        </is>
      </c>
      <c r="E16" s="45" t="inlineStr">
        <is>
          <t>R7 8845HS</t>
        </is>
      </c>
      <c r="F16" s="45" t="inlineStr">
        <is>
          <t>AI PC</t>
        </is>
      </c>
      <c r="G16" s="45" t="inlineStr">
        <is>
          <t>16GB,512GB SSD</t>
        </is>
      </c>
      <c r="H16" s="45" t="inlineStr">
        <is>
          <t>WINDOWS 11 HOME 64 SL</t>
        </is>
      </c>
      <c r="I16" s="45" t="inlineStr">
        <is>
          <t>OFFICE H&amp;S 2024</t>
        </is>
      </c>
      <c r="J16" s="45" t="inlineStr">
        <is>
          <t>Integrated AMD Radeon™ 780M Graphics</t>
        </is>
      </c>
      <c r="K16" s="63" t="inlineStr">
        <is>
          <t>14" WUXGA (1920x1200) IPS 300nits Glossy, 45% NTSC, 60Hz, TÜV Low Blue Light, Glass, Touch</t>
        </is>
      </c>
      <c r="L16" s="63" t="inlineStr">
        <is>
          <t>Luna Grey</t>
        </is>
      </c>
      <c r="M16" s="45" t="inlineStr">
        <is>
          <t>1.6 kg</t>
        </is>
      </c>
      <c r="N16" s="45" t="inlineStr">
        <is>
          <t>GX40Q75210</t>
        </is>
      </c>
      <c r="O16" s="45" t="inlineStr">
        <is>
          <t>1 Year Onsite</t>
        </is>
      </c>
      <c r="P16" s="63" t="inlineStr">
        <is>
          <t>1 Year Hard bundled Premium Care</t>
        </is>
      </c>
      <c r="Q16" s="45" t="inlineStr">
        <is>
          <t>1 Year ADP</t>
        </is>
      </c>
      <c r="R16" s="45" t="inlineStr">
        <is>
          <t xml:space="preserve">Backlit </t>
        </is>
      </c>
      <c r="S16" s="45" t="inlineStr">
        <is>
          <t>FPR Touch Style</t>
        </is>
      </c>
      <c r="T16" s="53">
        <f>IF(W16&lt;45000,"Entry",IF(W16&gt;72000,"Premium","Mainstream"))</f>
        <v/>
      </c>
      <c r="U16" s="73" t="n">
        <v>74413.55131016558</v>
      </c>
      <c r="V16" s="73" t="n"/>
      <c r="W16" s="73">
        <f>U16-V16</f>
        <v/>
      </c>
      <c r="X16" t="n">
        <v>74785.62</v>
      </c>
    </row>
    <row r="17">
      <c r="B17" s="45" t="inlineStr">
        <is>
          <t>Ideapad 5 2-in-1</t>
        </is>
      </c>
      <c r="C17" s="45" t="inlineStr">
        <is>
          <t>Convertible</t>
        </is>
      </c>
      <c r="D17" s="45" t="inlineStr">
        <is>
          <t>83KT0052IN</t>
        </is>
      </c>
      <c r="E17" s="45" t="inlineStr">
        <is>
          <t>Ryzen AI 5 340</t>
        </is>
      </c>
      <c r="F17" s="45" t="inlineStr">
        <is>
          <t>Co-Pilot+ PC</t>
        </is>
      </c>
      <c r="G17" s="45" t="inlineStr">
        <is>
          <t>16GB, 512GB SSD</t>
        </is>
      </c>
      <c r="H17" s="45" t="inlineStr">
        <is>
          <t>WINDOWS 11 HOME 64 SL</t>
        </is>
      </c>
      <c r="I17" s="45" t="inlineStr">
        <is>
          <t>OFFICE HOME 2024</t>
        </is>
      </c>
      <c r="J17" s="45" t="inlineStr">
        <is>
          <t>INTEGRATED_GRAPHICS</t>
        </is>
      </c>
      <c r="K17" s="63" t="inlineStr">
        <is>
          <t>14" WUXGA (1920x1200) IPS 300nits Glossy, 45% NTSC, 60Hz, TÜV Low Blue Light, Glass, Touch</t>
        </is>
      </c>
      <c r="L17" s="63" t="inlineStr">
        <is>
          <t>LUNA_GREY</t>
        </is>
      </c>
      <c r="M17" s="45" t="inlineStr">
        <is>
          <t>1.6Kg</t>
        </is>
      </c>
      <c r="N17" s="45" t="inlineStr">
        <is>
          <t xml:space="preserve">GX40Q75210 </t>
        </is>
      </c>
      <c r="O17" s="45" t="inlineStr">
        <is>
          <t>1 Year Onsite</t>
        </is>
      </c>
      <c r="P17" s="63" t="inlineStr">
        <is>
          <t>1 Year Hard bundled Premium Care</t>
        </is>
      </c>
      <c r="Q17" s="45" t="inlineStr">
        <is>
          <t>1 Year ADP</t>
        </is>
      </c>
      <c r="R17" s="45" t="inlineStr">
        <is>
          <t>Backlit</t>
        </is>
      </c>
      <c r="S17" s="45" t="inlineStr">
        <is>
          <t>IR Camera</t>
        </is>
      </c>
      <c r="T17" s="53">
        <f>IF(W17&lt;45000,"Entry",IF(W17&gt;72000,"Premium","Mainstream"))</f>
        <v/>
      </c>
      <c r="U17" s="73" t="n">
        <v>74413.18159002953</v>
      </c>
      <c r="V17" s="73" t="n">
        <v>4999.66</v>
      </c>
      <c r="W17" s="73">
        <f>U17-V17</f>
        <v/>
      </c>
      <c r="X17" t="n">
        <v>69760.59</v>
      </c>
    </row>
    <row r="18">
      <c r="B18" s="45" t="inlineStr">
        <is>
          <t>Ideapad 5 2-in-1</t>
        </is>
      </c>
      <c r="C18" s="45" t="inlineStr">
        <is>
          <t>Convertible</t>
        </is>
      </c>
      <c r="D18" s="45" t="inlineStr">
        <is>
          <t>83KX004QIN</t>
        </is>
      </c>
      <c r="E18" s="45" t="inlineStr">
        <is>
          <t>i5 13420H</t>
        </is>
      </c>
      <c r="F18" s="45" t="n"/>
      <c r="G18" s="45" t="inlineStr">
        <is>
          <t>16GB,512GB SSD</t>
        </is>
      </c>
      <c r="H18" s="45" t="inlineStr">
        <is>
          <t>WINDOWS 11 HOME 64 SL</t>
        </is>
      </c>
      <c r="I18" s="45" t="inlineStr">
        <is>
          <t xml:space="preserve">OFFICE H&amp;S 2024  </t>
        </is>
      </c>
      <c r="J18" s="45" t="inlineStr">
        <is>
          <t>Integrated Intel UHD Graphics</t>
        </is>
      </c>
      <c r="K18" s="63" t="inlineStr">
        <is>
          <t>14" WUXGA (1920x1200) IPS 300nits Glossy, Glass, Touch</t>
        </is>
      </c>
      <c r="L18" s="63" t="inlineStr">
        <is>
          <t>Luna Grey</t>
        </is>
      </c>
      <c r="M18" s="45" t="inlineStr">
        <is>
          <t>1.6 kg</t>
        </is>
      </c>
      <c r="N18" s="45" t="inlineStr">
        <is>
          <t xml:space="preserve">GX40Q75210 </t>
        </is>
      </c>
      <c r="O18" s="45" t="inlineStr">
        <is>
          <t>1 Year Onsite</t>
        </is>
      </c>
      <c r="P18" s="63" t="inlineStr">
        <is>
          <t>1 Year Hard bundled Premium Care</t>
        </is>
      </c>
      <c r="Q18" s="45" t="inlineStr">
        <is>
          <t>1 Year ADP</t>
        </is>
      </c>
      <c r="R18" s="45" t="inlineStr">
        <is>
          <t xml:space="preserve">Backlit </t>
        </is>
      </c>
      <c r="S18" s="45" t="inlineStr">
        <is>
          <t>FPR Touch Style</t>
        </is>
      </c>
      <c r="T18" s="53">
        <f>IF(W18&lt;45000,"Entry",IF(W18&gt;72000,"Premium","Mainstream"))</f>
        <v/>
      </c>
      <c r="U18" s="73" t="n">
        <v>70463.67921076402</v>
      </c>
      <c r="V18" s="73" t="n"/>
      <c r="W18" s="73">
        <f>U18-V18</f>
        <v/>
      </c>
      <c r="X18" t="n">
        <v>70816</v>
      </c>
    </row>
    <row r="19">
      <c r="B19" s="45" t="inlineStr">
        <is>
          <t>Ideapad 5 2-in-1</t>
        </is>
      </c>
      <c r="C19" s="45" t="inlineStr">
        <is>
          <t>Convertible</t>
        </is>
      </c>
      <c r="D19" s="45" t="inlineStr">
        <is>
          <t>83DR007CIN</t>
        </is>
      </c>
      <c r="E19" s="45" t="inlineStr">
        <is>
          <t>R5 8645HS</t>
        </is>
      </c>
      <c r="F19" s="45" t="inlineStr">
        <is>
          <t>AI PC</t>
        </is>
      </c>
      <c r="G19" s="45" t="inlineStr">
        <is>
          <t>16GB,512GB SSD</t>
        </is>
      </c>
      <c r="H19" s="45" t="inlineStr">
        <is>
          <t>WINDOWS 11 HOME 64 SL</t>
        </is>
      </c>
      <c r="I19" s="45" t="inlineStr">
        <is>
          <t>OFFICE H&amp;S 2024</t>
        </is>
      </c>
      <c r="J19" s="45" t="inlineStr">
        <is>
          <t>Integrated AMD Radeon™ 760M Graphics</t>
        </is>
      </c>
      <c r="K19" s="63" t="inlineStr">
        <is>
          <t>14" WUXGA (1920x1200) IPS 300nits Glossy, 45% NTSC, 60Hz, TÜV Low Blue Light, Glass, Touch</t>
        </is>
      </c>
      <c r="L19" s="63" t="inlineStr">
        <is>
          <t>Luna Grey</t>
        </is>
      </c>
      <c r="M19" s="45" t="inlineStr">
        <is>
          <t>1.6 kg</t>
        </is>
      </c>
      <c r="N19" s="45" t="inlineStr">
        <is>
          <t>GX40Q75210</t>
        </is>
      </c>
      <c r="O19" s="45" t="inlineStr">
        <is>
          <t>1 Year Onsite</t>
        </is>
      </c>
      <c r="P19" s="63" t="inlineStr">
        <is>
          <t>1 Year Hard bundled Premium Care</t>
        </is>
      </c>
      <c r="Q19" s="45" t="inlineStr">
        <is>
          <t>1 Year ADP</t>
        </is>
      </c>
      <c r="R19" s="45" t="inlineStr">
        <is>
          <t xml:space="preserve">Backlit </t>
        </is>
      </c>
      <c r="S19" s="45" t="inlineStr">
        <is>
          <t>FPR Touch Style</t>
        </is>
      </c>
      <c r="T19" s="53">
        <f>IF(W19&lt;45000,"Entry",IF(W19&gt;72000,"Premium","Mainstream"))</f>
        <v/>
      </c>
      <c r="U19" s="73" t="n">
        <v>69547.99540196618</v>
      </c>
      <c r="V19" s="73" t="n"/>
      <c r="W19" s="73">
        <f>U19-V19</f>
        <v/>
      </c>
      <c r="X19" t="n">
        <v>69895.74000000001</v>
      </c>
    </row>
    <row r="20">
      <c r="B20" s="45" t="inlineStr">
        <is>
          <t>Ideapad Pro 5</t>
        </is>
      </c>
      <c r="C20" s="45" t="inlineStr">
        <is>
          <t>Thin &amp; Light</t>
        </is>
      </c>
      <c r="D20" s="45" t="inlineStr">
        <is>
          <t>83JK000AIN</t>
        </is>
      </c>
      <c r="E20" s="45" t="inlineStr">
        <is>
          <t>Core ULT9 285H</t>
        </is>
      </c>
      <c r="F20" s="45" t="inlineStr">
        <is>
          <t>AI PC</t>
        </is>
      </c>
      <c r="G20" s="45" t="inlineStr">
        <is>
          <t>32GB,1TB SSD</t>
        </is>
      </c>
      <c r="H20" s="45" t="inlineStr">
        <is>
          <t>WINDOWS 11 HOME 64 SL</t>
        </is>
      </c>
      <c r="I20" s="45" t="inlineStr">
        <is>
          <t>OFFICE H&amp;S 2024</t>
        </is>
      </c>
      <c r="J20" s="45" t="inlineStr">
        <is>
          <t>Integrated Intel Arc 140T GPU</t>
        </is>
      </c>
      <c r="K20" s="63" t="inlineStr">
        <is>
          <t>14" 2.8K (2880x1800) OLED 500nits (typical) / 1100nits (peak) Glossy, 100% DCI-P3, DisplayHDR™ True Black 1000, 120Hz VRR</t>
        </is>
      </c>
      <c r="L20" s="63" t="inlineStr">
        <is>
          <t>Luna Grey</t>
        </is>
      </c>
      <c r="M20" s="45" t="inlineStr">
        <is>
          <t>1.39kg</t>
        </is>
      </c>
      <c r="N20" s="45" t="inlineStr">
        <is>
          <t xml:space="preserve"> GX40Q75210 </t>
        </is>
      </c>
      <c r="O20" s="45" t="inlineStr">
        <is>
          <t>1 Year Onsite</t>
        </is>
      </c>
      <c r="P20" s="63" t="inlineStr">
        <is>
          <t>1 Year Hard bundled Premium Care</t>
        </is>
      </c>
      <c r="Q20" s="45" t="inlineStr">
        <is>
          <t>1 Year ADP</t>
        </is>
      </c>
      <c r="R20" s="45" t="inlineStr">
        <is>
          <t>Backlit</t>
        </is>
      </c>
      <c r="S20" s="45" t="inlineStr">
        <is>
          <t>IR Camera</t>
        </is>
      </c>
      <c r="T20" s="53">
        <f>IF(W20&lt;45000,"Entry",IF(W20&gt;72000,"Premium","Mainstream"))</f>
        <v/>
      </c>
      <c r="U20" s="73" t="n">
        <v>119168.7770054342</v>
      </c>
      <c r="V20" s="73" t="n"/>
      <c r="W20" s="73">
        <f>U20-V20</f>
        <v/>
      </c>
      <c r="X20" t="n">
        <v>124890</v>
      </c>
    </row>
    <row r="21">
      <c r="B21" s="45" t="inlineStr">
        <is>
          <t>Ideapad Pro 5</t>
        </is>
      </c>
      <c r="C21" s="45" t="inlineStr">
        <is>
          <t>Thin &amp; Light</t>
        </is>
      </c>
      <c r="D21" s="45" t="inlineStr">
        <is>
          <t>83D5000SIN</t>
        </is>
      </c>
      <c r="E21" s="45" t="inlineStr">
        <is>
          <t>R7 8845HS</t>
        </is>
      </c>
      <c r="F21" s="45" t="inlineStr">
        <is>
          <t>AI PC</t>
        </is>
      </c>
      <c r="G21" s="45" t="inlineStr">
        <is>
          <t>16GB, 1TB SSD</t>
        </is>
      </c>
      <c r="H21" s="45" t="inlineStr">
        <is>
          <t>WINDOWS 11 HOME 64 SL</t>
        </is>
      </c>
      <c r="I21" s="45" t="inlineStr">
        <is>
          <t xml:space="preserve">OFFICE H&amp;S 2021  </t>
        </is>
      </c>
      <c r="J21" s="45" t="inlineStr">
        <is>
          <t>NVIDIA® GeForce RTX™ 4050 6GB GDDR6</t>
        </is>
      </c>
      <c r="K21" s="63" t="inlineStr">
        <is>
          <t>16_2K_OLED_GL_400N_120_HD</t>
        </is>
      </c>
      <c r="L21" s="63" t="inlineStr">
        <is>
          <t>ARCTIC_GREY</t>
        </is>
      </c>
      <c r="M21" s="45" t="inlineStr">
        <is>
          <t>1.91Kg</t>
        </is>
      </c>
      <c r="N21" s="45" t="inlineStr">
        <is>
          <t xml:space="preserve"> GX40Q75210 </t>
        </is>
      </c>
      <c r="O21" s="45" t="inlineStr">
        <is>
          <t>1 Year Onsite</t>
        </is>
      </c>
      <c r="P21" s="63" t="inlineStr">
        <is>
          <t>1 Year Hard bundled Premium Care</t>
        </is>
      </c>
      <c r="Q21" s="45" t="inlineStr">
        <is>
          <t>1 Year ADP</t>
        </is>
      </c>
      <c r="R21" s="45" t="inlineStr">
        <is>
          <t xml:space="preserve">Backlit </t>
        </is>
      </c>
      <c r="S21" s="45" t="inlineStr">
        <is>
          <t>IR Camera</t>
        </is>
      </c>
      <c r="T21" s="53">
        <f>IF(W21&lt;45000,"Entry",IF(W21&gt;72000,"Premium","Mainstream"))</f>
        <v/>
      </c>
      <c r="U21" s="73" t="n">
        <v>126952.3588168089</v>
      </c>
      <c r="V21" s="73" t="n"/>
      <c r="W21" s="73">
        <f>U21-V21</f>
        <v/>
      </c>
      <c r="X21" t="n">
        <v>127587.12</v>
      </c>
    </row>
    <row r="22">
      <c r="B22" s="45" t="inlineStr">
        <is>
          <t>Ideapad Pro 5</t>
        </is>
      </c>
      <c r="C22" s="45" t="inlineStr">
        <is>
          <t>Thin &amp; Light</t>
        </is>
      </c>
      <c r="D22" s="45" t="inlineStr">
        <is>
          <t>83D4002NIN</t>
        </is>
      </c>
      <c r="E22" s="45" t="inlineStr">
        <is>
          <t>CORE_ULT7_155H</t>
        </is>
      </c>
      <c r="F22" s="45" t="inlineStr">
        <is>
          <t>AI PC</t>
        </is>
      </c>
      <c r="G22" s="45" t="inlineStr">
        <is>
          <t>16GB, 1TB SSD</t>
        </is>
      </c>
      <c r="H22" s="45" t="inlineStr">
        <is>
          <t>WINDOWS 11 HOME 64 SL</t>
        </is>
      </c>
      <c r="I22" s="45" t="inlineStr">
        <is>
          <t xml:space="preserve">OFFICE H&amp;S 2021  </t>
        </is>
      </c>
      <c r="J22" s="45" t="inlineStr">
        <is>
          <t>NVIDIA® GeForce RTX™ 3050 6GB GDDR6</t>
        </is>
      </c>
      <c r="K22" s="63" t="inlineStr">
        <is>
          <t>16" 2K (2048x1280) OLED 400nits Glossy, 100% DCI-P3, 120Hz</t>
        </is>
      </c>
      <c r="L22" s="63" t="inlineStr">
        <is>
          <t>ARCTIC_GREY</t>
        </is>
      </c>
      <c r="M22" s="45" t="inlineStr">
        <is>
          <t>1.94Kg</t>
        </is>
      </c>
      <c r="N22" s="45" t="inlineStr">
        <is>
          <t xml:space="preserve"> GX40Q75210 </t>
        </is>
      </c>
      <c r="O22" s="45" t="inlineStr">
        <is>
          <t>1 Year Onsite</t>
        </is>
      </c>
      <c r="P22" s="63" t="inlineStr">
        <is>
          <t>1 Year Hard bundled Premium Care</t>
        </is>
      </c>
      <c r="Q22" s="45" t="inlineStr">
        <is>
          <t>1 Year ADP</t>
        </is>
      </c>
      <c r="R22" s="45" t="inlineStr">
        <is>
          <t>Backlit</t>
        </is>
      </c>
      <c r="S22" s="45" t="inlineStr">
        <is>
          <t>IR Camera</t>
        </is>
      </c>
      <c r="T22" s="53">
        <f>IF(W22&lt;45000,"Entry",IF(W22&gt;72000,"Premium","Mainstream"))</f>
        <v/>
      </c>
      <c r="U22" s="73" t="n">
        <v>121114.6724582779</v>
      </c>
      <c r="V22" s="73" t="n"/>
      <c r="W22" s="73">
        <f>U22-V22</f>
        <v/>
      </c>
      <c r="X22" t="n">
        <v>127890</v>
      </c>
    </row>
    <row r="23">
      <c r="B23" s="45" t="inlineStr">
        <is>
          <t xml:space="preserve">IdeaPad Slim 3 </t>
        </is>
      </c>
      <c r="C23" s="45" t="inlineStr">
        <is>
          <t>Thin &amp; Light</t>
        </is>
      </c>
      <c r="D23" s="45" t="inlineStr">
        <is>
          <t>83K100RWIN</t>
        </is>
      </c>
      <c r="E23" s="45" t="inlineStr">
        <is>
          <t>i5 13420H</t>
        </is>
      </c>
      <c r="F23" s="45" t="n"/>
      <c r="G23" s="45" t="inlineStr">
        <is>
          <t>16GB 512GB SSD</t>
        </is>
      </c>
      <c r="H23" s="45" t="inlineStr">
        <is>
          <t>Windows 11</t>
        </is>
      </c>
      <c r="I23" s="45" t="inlineStr">
        <is>
          <t>M365 B + Office 2024</t>
        </is>
      </c>
      <c r="J23" s="45" t="inlineStr">
        <is>
          <t>Integrated Intel UHD Graphics</t>
        </is>
      </c>
      <c r="K23" s="63" t="inlineStr">
        <is>
          <t>15.3_WUXGA_AG_300N</t>
        </is>
      </c>
      <c r="L23" s="63" t="inlineStr">
        <is>
          <t>LUNA_GREY</t>
        </is>
      </c>
      <c r="M23" s="45" t="inlineStr">
        <is>
          <t>1.59KG</t>
        </is>
      </c>
      <c r="N23" s="45" t="inlineStr">
        <is>
          <t>GX40Q75210</t>
        </is>
      </c>
      <c r="O23" s="45" t="inlineStr">
        <is>
          <t>1 Year Onsite</t>
        </is>
      </c>
      <c r="P23" s="63" t="inlineStr">
        <is>
          <t>-</t>
        </is>
      </c>
      <c r="Q23" s="45" t="inlineStr">
        <is>
          <t>1 Year ADP</t>
        </is>
      </c>
      <c r="R23" s="45" t="inlineStr">
        <is>
          <t>Backlit</t>
        </is>
      </c>
      <c r="S23" s="45" t="n"/>
      <c r="T23" s="53">
        <f>IF(W23&lt;45000,"Entry",IF(W23&gt;72000,"Premium","Mainstream"))</f>
        <v/>
      </c>
      <c r="U23" s="73" t="n">
        <v>67236.67205223297</v>
      </c>
      <c r="V23" s="73" t="n"/>
      <c r="W23" s="73">
        <f>U23-V23</f>
        <v/>
      </c>
      <c r="X23" s="74" t="n">
        <v>68581.41</v>
      </c>
    </row>
    <row r="24">
      <c r="B24" s="45" t="inlineStr">
        <is>
          <t xml:space="preserve">IdeaPad Slim 3 </t>
        </is>
      </c>
      <c r="C24" s="45" t="inlineStr">
        <is>
          <t>Thin &amp; Light</t>
        </is>
      </c>
      <c r="D24" s="45" t="inlineStr">
        <is>
          <t>83K100C6IN</t>
        </is>
      </c>
      <c r="E24" s="45" t="inlineStr">
        <is>
          <t>i5 13420H</t>
        </is>
      </c>
      <c r="F24" s="45" t="n"/>
      <c r="G24" s="45" t="inlineStr">
        <is>
          <t>8GB 512GB SSD</t>
        </is>
      </c>
      <c r="H24" s="45" t="inlineStr">
        <is>
          <t>Windows 11</t>
        </is>
      </c>
      <c r="I24" s="45" t="inlineStr">
        <is>
          <t>OFFICE 2024</t>
        </is>
      </c>
      <c r="J24" s="45" t="inlineStr">
        <is>
          <t>Integrated Intel UHD Graphics</t>
        </is>
      </c>
      <c r="K24" s="63" t="inlineStr">
        <is>
          <t>15.3_WUXGA_AG_300N</t>
        </is>
      </c>
      <c r="L24" s="63" t="inlineStr">
        <is>
          <t>LUNA_GREY</t>
        </is>
      </c>
      <c r="M24" s="45" t="inlineStr">
        <is>
          <t>1.59KG</t>
        </is>
      </c>
      <c r="N24" s="45" t="inlineStr">
        <is>
          <t>GX40Q75210</t>
        </is>
      </c>
      <c r="O24" s="45" t="inlineStr">
        <is>
          <t>1 Year Onsite</t>
        </is>
      </c>
      <c r="P24" s="63" t="inlineStr">
        <is>
          <t>-</t>
        </is>
      </c>
      <c r="Q24" s="45" t="inlineStr">
        <is>
          <t>1 Year ADP</t>
        </is>
      </c>
      <c r="R24" s="45" t="inlineStr">
        <is>
          <t>Backlit</t>
        </is>
      </c>
      <c r="S24" s="45" t="n"/>
      <c r="T24" s="53">
        <f>IF(W24&lt;45000,"Entry",IF(W24&gt;72000,"Premium","Mainstream"))</f>
        <v/>
      </c>
      <c r="U24" s="73" t="n">
        <v>63997.00332581114</v>
      </c>
      <c r="V24" s="73" t="n">
        <v>2999.56</v>
      </c>
      <c r="W24" s="73">
        <f>U24-V24</f>
        <v/>
      </c>
      <c r="X24" s="74" t="n">
        <v>62217.39</v>
      </c>
    </row>
    <row r="25">
      <c r="B25" s="45" t="inlineStr">
        <is>
          <t xml:space="preserve">IdeaPad Slim 3 </t>
        </is>
      </c>
      <c r="C25" s="45" t="inlineStr">
        <is>
          <t>Thin &amp; Light</t>
        </is>
      </c>
      <c r="D25" s="45" t="inlineStr">
        <is>
          <t>83K100C7IN</t>
        </is>
      </c>
      <c r="E25" s="45" t="inlineStr">
        <is>
          <t>i5 13420H</t>
        </is>
      </c>
      <c r="F25" s="45" t="n"/>
      <c r="G25" s="45" t="inlineStr">
        <is>
          <t>8GB 512GB SSD</t>
        </is>
      </c>
      <c r="H25" s="45" t="inlineStr">
        <is>
          <t>Windows 11</t>
        </is>
      </c>
      <c r="I25" s="45" t="inlineStr">
        <is>
          <t>OFFICE 2024</t>
        </is>
      </c>
      <c r="J25" s="45" t="inlineStr">
        <is>
          <t>Integrated Intel UHD Graphics</t>
        </is>
      </c>
      <c r="K25" s="63" t="inlineStr">
        <is>
          <t>15.3_WUXGA_AG_300N</t>
        </is>
      </c>
      <c r="L25" s="63" t="inlineStr">
        <is>
          <t>COSMIC_BLUE</t>
        </is>
      </c>
      <c r="M25" s="45" t="inlineStr">
        <is>
          <t>1.59KG</t>
        </is>
      </c>
      <c r="N25" s="45" t="inlineStr">
        <is>
          <t>GX40Q75210</t>
        </is>
      </c>
      <c r="O25" s="45" t="inlineStr">
        <is>
          <t>1 Year Onsite</t>
        </is>
      </c>
      <c r="P25" s="63" t="inlineStr">
        <is>
          <t>-</t>
        </is>
      </c>
      <c r="Q25" s="45" t="inlineStr">
        <is>
          <t>1 Year ADP</t>
        </is>
      </c>
      <c r="R25" s="45" t="inlineStr">
        <is>
          <t>Backlit</t>
        </is>
      </c>
      <c r="S25" s="45" t="n"/>
      <c r="T25" s="53">
        <f>IF(W25&lt;45000,"Entry",IF(W25&gt;72000,"Premium","Mainstream"))</f>
        <v/>
      </c>
      <c r="U25" s="73" t="n">
        <v>64969.95105223299</v>
      </c>
      <c r="V25" s="73" t="n">
        <v>2999.56</v>
      </c>
      <c r="W25" s="73">
        <f>U25-V25</f>
        <v/>
      </c>
      <c r="X25" t="n">
        <v>62280.24</v>
      </c>
    </row>
    <row r="26">
      <c r="B26" s="45" t="inlineStr">
        <is>
          <t xml:space="preserve">IdeaPad Slim 3 </t>
        </is>
      </c>
      <c r="C26" s="45" t="inlineStr">
        <is>
          <t>Thin &amp; Light</t>
        </is>
      </c>
      <c r="D26" s="45" t="inlineStr">
        <is>
          <t>83ER00KSIN</t>
        </is>
      </c>
      <c r="E26" s="45" t="inlineStr">
        <is>
          <t>i5-12450H</t>
        </is>
      </c>
      <c r="F26" s="45" t="n"/>
      <c r="G26" s="45" t="inlineStr">
        <is>
          <t>16GB, 512GB SSD</t>
        </is>
      </c>
      <c r="H26" s="45" t="inlineStr">
        <is>
          <t>WINDOWS 11 HOME 64 SL</t>
        </is>
      </c>
      <c r="I26" s="45" t="inlineStr">
        <is>
          <t>OFFICE HOME 2024</t>
        </is>
      </c>
      <c r="J26" s="45" t="inlineStr">
        <is>
          <t>Integrated Intel® UHD Graphics</t>
        </is>
      </c>
      <c r="K26" s="63" t="inlineStr">
        <is>
          <t>15.6" FHD (1920x1080) IPS 300nits Anti-glare</t>
        </is>
      </c>
      <c r="L26" s="63" t="inlineStr">
        <is>
          <t>Arctic Grey</t>
        </is>
      </c>
      <c r="M26" s="45" t="inlineStr">
        <is>
          <t>1.62 kg</t>
        </is>
      </c>
      <c r="N26" s="45" t="inlineStr">
        <is>
          <t xml:space="preserve">GX40Q75210 </t>
        </is>
      </c>
      <c r="O26" s="45" t="inlineStr">
        <is>
          <t>1 Year Onsite</t>
        </is>
      </c>
      <c r="P26" s="63" t="n"/>
      <c r="Q26" s="45" t="inlineStr">
        <is>
          <t>1 Year ADP</t>
        </is>
      </c>
      <c r="R26" s="45" t="inlineStr">
        <is>
          <t>Backlit</t>
        </is>
      </c>
      <c r="S26" s="45" t="inlineStr">
        <is>
          <t>-</t>
        </is>
      </c>
      <c r="T26" s="53">
        <f>IF(W26&lt;45000,"Entry",IF(W26&gt;72000,"Premium","Mainstream"))</f>
        <v/>
      </c>
      <c r="U26" s="73" t="n">
        <v>55269.62101724435</v>
      </c>
      <c r="V26" s="73" t="n">
        <v>4399.04</v>
      </c>
      <c r="W26" s="73">
        <f>U26-V26</f>
        <v/>
      </c>
      <c r="X26" t="n">
        <v>51124.93</v>
      </c>
    </row>
    <row r="27">
      <c r="B27" s="45" t="inlineStr">
        <is>
          <t xml:space="preserve">IdeaPad Slim 3 </t>
        </is>
      </c>
      <c r="C27" s="45" t="inlineStr">
        <is>
          <t>Thin &amp; Light</t>
        </is>
      </c>
      <c r="D27" s="45" t="inlineStr">
        <is>
          <t>83ER00MCIN</t>
        </is>
      </c>
      <c r="E27" s="45" t="inlineStr">
        <is>
          <t>i5-12450H</t>
        </is>
      </c>
      <c r="F27" s="45" t="n"/>
      <c r="G27" s="45" t="inlineStr">
        <is>
          <t>16GB, 512GB SSD</t>
        </is>
      </c>
      <c r="H27" s="45" t="inlineStr">
        <is>
          <t>WINDOWS 11 HOME 64 SL</t>
        </is>
      </c>
      <c r="I27" s="45" t="inlineStr">
        <is>
          <t>OFFICE HOME 2024</t>
        </is>
      </c>
      <c r="J27" s="45" t="inlineStr">
        <is>
          <t>Integrated Intel® UHD Graphics</t>
        </is>
      </c>
      <c r="K27" s="63" t="inlineStr">
        <is>
          <t>15.6" FHD (1920x1080) 2500nits Anti-glare</t>
        </is>
      </c>
      <c r="L27" s="63" t="inlineStr">
        <is>
          <t>Arctic Grey</t>
        </is>
      </c>
      <c r="M27" s="45" t="inlineStr">
        <is>
          <t>1.62 kg</t>
        </is>
      </c>
      <c r="N27" s="45" t="inlineStr">
        <is>
          <t xml:space="preserve">GX40Q75210 </t>
        </is>
      </c>
      <c r="O27" s="45" t="inlineStr">
        <is>
          <t>1 Year Onsite</t>
        </is>
      </c>
      <c r="P27" s="63" t="n"/>
      <c r="Q27" s="45" t="inlineStr">
        <is>
          <t>1 Year ADP</t>
        </is>
      </c>
      <c r="R27" s="45" t="inlineStr">
        <is>
          <t>Backlit</t>
        </is>
      </c>
      <c r="S27" s="45" t="inlineStr">
        <is>
          <t>-</t>
        </is>
      </c>
      <c r="T27" s="53">
        <f>IF(W27&lt;45000,"Entry",IF(W27&gt;72000,"Premium","Mainstream"))</f>
        <v/>
      </c>
      <c r="U27" s="73" t="n">
        <v>53212</v>
      </c>
      <c r="V27" s="73" t="n">
        <v>1898.62</v>
      </c>
      <c r="W27" s="73">
        <f>U27-V27</f>
        <v/>
      </c>
      <c r="X27" t="n">
        <v>51569.95</v>
      </c>
    </row>
    <row r="28">
      <c r="B28" s="45" t="inlineStr">
        <is>
          <t xml:space="preserve">IdeaPad Slim 3 </t>
        </is>
      </c>
      <c r="C28" s="45" t="inlineStr">
        <is>
          <t>Thin &amp; Light</t>
        </is>
      </c>
      <c r="D28" s="45" t="inlineStr">
        <is>
          <t>82X700G4IN</t>
        </is>
      </c>
      <c r="E28" s="45" t="inlineStr">
        <is>
          <t>i3-1315U</t>
        </is>
      </c>
      <c r="F28" s="45" t="n"/>
      <c r="G28" s="45" t="inlineStr">
        <is>
          <t>8GB, 512GB SSD</t>
        </is>
      </c>
      <c r="H28" s="45" t="inlineStr">
        <is>
          <t>WINDOWS 11 HOME 64 SL</t>
        </is>
      </c>
      <c r="I28" s="45" t="inlineStr">
        <is>
          <t>OFFICE HOME 2024</t>
        </is>
      </c>
      <c r="J28" s="45" t="inlineStr">
        <is>
          <t>Integrated Intel UHD Graphics</t>
        </is>
      </c>
      <c r="K28" s="63" t="inlineStr">
        <is>
          <t>15.6" FHD (1920x1080) 250nits Anti-glare</t>
        </is>
      </c>
      <c r="L28" s="63" t="inlineStr">
        <is>
          <t>Arctic Grey</t>
        </is>
      </c>
      <c r="M28" s="45" t="inlineStr">
        <is>
          <t>1.62Kg</t>
        </is>
      </c>
      <c r="N28" s="45" t="inlineStr">
        <is>
          <t xml:space="preserve">GX40Q75210 </t>
        </is>
      </c>
      <c r="O28" s="45" t="inlineStr">
        <is>
          <t>1 Year Onsite</t>
        </is>
      </c>
      <c r="P28" s="63" t="n"/>
      <c r="Q28" s="45" t="inlineStr">
        <is>
          <t>1 Year ADP</t>
        </is>
      </c>
      <c r="R28" s="45" t="inlineStr">
        <is>
          <t>Backlit</t>
        </is>
      </c>
      <c r="S28" s="45" t="inlineStr">
        <is>
          <t>-</t>
        </is>
      </c>
      <c r="T28" s="53">
        <f>IF(W28&lt;45000,"Entry",IF(W28&gt;72000,"Premium","Mainstream"))</f>
        <v/>
      </c>
      <c r="U28" s="73" t="n">
        <v>43629.93934640262</v>
      </c>
      <c r="V28" s="73" t="n"/>
      <c r="W28" s="73">
        <f>U28-V28</f>
        <v/>
      </c>
      <c r="X28" t="n">
        <v>43848.09</v>
      </c>
    </row>
    <row r="29">
      <c r="B29" s="45" t="inlineStr">
        <is>
          <t xml:space="preserve">IdeaPad Slim 3 </t>
        </is>
      </c>
      <c r="C29" s="45" t="inlineStr">
        <is>
          <t>Thin &amp; Light</t>
        </is>
      </c>
      <c r="D29" s="45" t="inlineStr">
        <is>
          <t>82X700HJIN</t>
        </is>
      </c>
      <c r="E29" s="45" t="inlineStr">
        <is>
          <t>i3-1315U</t>
        </is>
      </c>
      <c r="F29" s="45" t="n"/>
      <c r="G29" s="45" t="inlineStr">
        <is>
          <t>8GB, 512GB SSD</t>
        </is>
      </c>
      <c r="H29" s="45" t="inlineStr">
        <is>
          <t>WINDOWS 11 HOME 64 SL</t>
        </is>
      </c>
      <c r="I29" s="45" t="inlineStr">
        <is>
          <t>OFFICE HOME 2024</t>
        </is>
      </c>
      <c r="J29" s="45" t="inlineStr">
        <is>
          <t>Integrated Intel UHD Graphics</t>
        </is>
      </c>
      <c r="K29" s="63" t="inlineStr">
        <is>
          <t>15.6" FHD (1920x1080) 250nits Anti-glare</t>
        </is>
      </c>
      <c r="L29" s="63" t="inlineStr">
        <is>
          <t>Arctic Grey</t>
        </is>
      </c>
      <c r="M29" s="45" t="inlineStr">
        <is>
          <t>1.62Kg</t>
        </is>
      </c>
      <c r="N29" s="45" t="inlineStr">
        <is>
          <t xml:space="preserve">GX40Q75210 </t>
        </is>
      </c>
      <c r="O29" s="45" t="inlineStr">
        <is>
          <t>1 Year Onsite</t>
        </is>
      </c>
      <c r="P29" s="63" t="n"/>
      <c r="Q29" s="45" t="inlineStr">
        <is>
          <t>1 Year ADP</t>
        </is>
      </c>
      <c r="R29" s="45" t="inlineStr">
        <is>
          <t>Backlit</t>
        </is>
      </c>
      <c r="S29" s="45" t="inlineStr">
        <is>
          <t>-</t>
        </is>
      </c>
      <c r="T29" s="53">
        <f>IF(W29&lt;45000,"Entry",IF(W29&gt;72000,"Premium","Mainstream"))</f>
        <v/>
      </c>
      <c r="U29" s="73" t="n">
        <v>42486.2879992463</v>
      </c>
      <c r="V29" s="73" t="n"/>
      <c r="W29" s="73">
        <f>U29-V29</f>
        <v/>
      </c>
      <c r="X29" t="n">
        <v>53890</v>
      </c>
    </row>
    <row r="30">
      <c r="B30" s="45" t="inlineStr">
        <is>
          <t xml:space="preserve">IdeaPad Slim 3 </t>
        </is>
      </c>
      <c r="C30" s="45" t="inlineStr">
        <is>
          <t>Thin &amp; Light</t>
        </is>
      </c>
      <c r="D30" s="45" t="inlineStr">
        <is>
          <t>83N3002QIN</t>
        </is>
      </c>
      <c r="E30" s="45" t="inlineStr">
        <is>
          <t>Snapdragon X X1-26-100</t>
        </is>
      </c>
      <c r="F30" s="45" t="inlineStr">
        <is>
          <t>Co-Pilot+ PC</t>
        </is>
      </c>
      <c r="G30" s="45" t="inlineStr">
        <is>
          <t>16GB, 512GB SSD</t>
        </is>
      </c>
      <c r="H30" s="45" t="inlineStr">
        <is>
          <t>WINDOWS 11 HOME 64 SL</t>
        </is>
      </c>
      <c r="I30" s="45" t="inlineStr">
        <is>
          <t>OFFICE HOME 2024</t>
        </is>
      </c>
      <c r="J30" s="45" t="inlineStr">
        <is>
          <t>Integrated Qualcomm Adreno GPU</t>
        </is>
      </c>
      <c r="K30" s="63" t="inlineStr">
        <is>
          <t>15.3" WUXGA (1920x1200) IPS 300nits Anti-glare</t>
        </is>
      </c>
      <c r="L30" s="63" t="inlineStr">
        <is>
          <t>Luna Grey</t>
        </is>
      </c>
      <c r="M30" s="45" t="inlineStr">
        <is>
          <t>1.55 kg</t>
        </is>
      </c>
      <c r="N30" s="45" t="inlineStr">
        <is>
          <t xml:space="preserve">GX40Q75210 </t>
        </is>
      </c>
      <c r="O30" s="45" t="inlineStr">
        <is>
          <t>1 Year Onsite</t>
        </is>
      </c>
      <c r="P30" s="63" t="n"/>
      <c r="Q30" s="45" t="inlineStr">
        <is>
          <t>1 Year ADP</t>
        </is>
      </c>
      <c r="R30" s="45" t="inlineStr">
        <is>
          <t>Backlit</t>
        </is>
      </c>
      <c r="S30" s="45" t="inlineStr">
        <is>
          <t>-</t>
        </is>
      </c>
      <c r="T30" s="53">
        <f>IF(W30&lt;45000,"Entry",IF(W30&gt;72000,"Premium","Mainstream"))</f>
        <v/>
      </c>
      <c r="U30" s="73" t="n">
        <v>62177.34387483942</v>
      </c>
      <c r="V30" s="73" t="n">
        <v>6000.299999999999</v>
      </c>
      <c r="W30" s="73">
        <f>U30-V30</f>
        <v/>
      </c>
      <c r="X30" t="n">
        <v>56457.93</v>
      </c>
    </row>
    <row r="31">
      <c r="B31" s="45" t="inlineStr">
        <is>
          <t xml:space="preserve">IdeaPad Slim 3 </t>
        </is>
      </c>
      <c r="C31" s="45" t="inlineStr">
        <is>
          <t>Thin &amp; Light</t>
        </is>
      </c>
      <c r="D31" s="45" t="inlineStr">
        <is>
          <t>83K000B8IN</t>
        </is>
      </c>
      <c r="E31" s="45" t="inlineStr">
        <is>
          <t>i5-13420H</t>
        </is>
      </c>
      <c r="F31" s="45" t="n"/>
      <c r="G31" s="45" t="inlineStr">
        <is>
          <t>16GB, 512GB SSD</t>
        </is>
      </c>
      <c r="H31" s="45" t="inlineStr">
        <is>
          <t>WINDOWS 11 HOME 64 SL</t>
        </is>
      </c>
      <c r="I31" s="45" t="inlineStr">
        <is>
          <t>OFFICE HOME 2024</t>
        </is>
      </c>
      <c r="J31" s="45" t="inlineStr">
        <is>
          <t>Integrated Intel® UHD Graphics</t>
        </is>
      </c>
      <c r="K31" s="63" t="inlineStr">
        <is>
          <t>14" WUXGA (1920x1200) IPS 300nits Anti-glare</t>
        </is>
      </c>
      <c r="L31" s="63" t="inlineStr">
        <is>
          <t>Luna Grey</t>
        </is>
      </c>
      <c r="M31" s="45" t="inlineStr">
        <is>
          <t>1.39 kg</t>
        </is>
      </c>
      <c r="N31" s="45" t="inlineStr">
        <is>
          <t xml:space="preserve">GX40Q75210 </t>
        </is>
      </c>
      <c r="O31" s="45" t="inlineStr">
        <is>
          <t>1 Year Onsite</t>
        </is>
      </c>
      <c r="P31" s="63" t="n"/>
      <c r="Q31" s="45" t="inlineStr">
        <is>
          <t>1 Year ADP</t>
        </is>
      </c>
      <c r="R31" s="45" t="inlineStr">
        <is>
          <t>Backlit</t>
        </is>
      </c>
      <c r="S31" s="45" t="inlineStr">
        <is>
          <t>-</t>
        </is>
      </c>
      <c r="T31" s="53">
        <f>IF(W31&lt;45000,"Entry",IF(W31&gt;72000,"Premium","Mainstream"))</f>
        <v/>
      </c>
      <c r="U31" s="73" t="n">
        <v>62911.06345223299</v>
      </c>
      <c r="V31" s="73" t="n">
        <v>2000.1</v>
      </c>
      <c r="W31" s="73">
        <f>U31-V31</f>
        <v/>
      </c>
      <c r="X31" t="n">
        <v>69890</v>
      </c>
    </row>
    <row r="32">
      <c r="B32" s="45" t="inlineStr">
        <is>
          <t xml:space="preserve">IdeaPad Slim 3 </t>
        </is>
      </c>
      <c r="C32" s="45" t="inlineStr">
        <is>
          <t>Thin &amp; Light</t>
        </is>
      </c>
      <c r="D32" s="45" t="inlineStr">
        <is>
          <t>83K100HSIN</t>
        </is>
      </c>
      <c r="E32" s="45" t="inlineStr">
        <is>
          <t>i5-13420H</t>
        </is>
      </c>
      <c r="F32" s="45" t="n"/>
      <c r="G32" s="45" t="inlineStr">
        <is>
          <t>16GB, 1TB SSD</t>
        </is>
      </c>
      <c r="H32" s="45" t="n"/>
      <c r="I32" s="45" t="inlineStr">
        <is>
          <t>OFFICE HOME 2024</t>
        </is>
      </c>
      <c r="J32" s="45" t="inlineStr">
        <is>
          <t>Integrated Intel® UHD Graphics</t>
        </is>
      </c>
      <c r="K32" s="63" t="inlineStr">
        <is>
          <t>15.3" WUXGA (1920x1200) IPS 300nits Anti-glare</t>
        </is>
      </c>
      <c r="L32" s="63" t="inlineStr">
        <is>
          <t>Luna Grey</t>
        </is>
      </c>
      <c r="M32" s="45" t="inlineStr">
        <is>
          <t>1.59 kg</t>
        </is>
      </c>
      <c r="N32" s="45" t="inlineStr">
        <is>
          <t xml:space="preserve">GX40Q75210 </t>
        </is>
      </c>
      <c r="O32" s="45" t="inlineStr">
        <is>
          <t>1 Year Onsite</t>
        </is>
      </c>
      <c r="P32" s="63" t="n"/>
      <c r="Q32" s="45" t="inlineStr">
        <is>
          <t>1 Year ADP</t>
        </is>
      </c>
      <c r="R32" s="45" t="inlineStr">
        <is>
          <t>Backlit</t>
        </is>
      </c>
      <c r="S32" s="45" t="inlineStr">
        <is>
          <t>-</t>
        </is>
      </c>
      <c r="T32" s="53">
        <f>IF(W32&lt;45000,"Entry",IF(W32&gt;72000,"Premium","Mainstream"))</f>
        <v/>
      </c>
      <c r="U32" s="73" t="n">
        <v>66138.07061076401</v>
      </c>
      <c r="V32" s="73" t="n">
        <v>2999.56</v>
      </c>
      <c r="W32" s="73">
        <f>U32-V32</f>
        <v/>
      </c>
      <c r="X32" t="n">
        <v>63454.2</v>
      </c>
    </row>
    <row r="33">
      <c r="B33" s="45" t="inlineStr">
        <is>
          <t>Ideapad Slim 5</t>
        </is>
      </c>
      <c r="C33" s="45" t="inlineStr">
        <is>
          <t>Thin &amp; Light</t>
        </is>
      </c>
      <c r="D33" s="45" t="inlineStr">
        <is>
          <t>83HS000XIN</t>
        </is>
      </c>
      <c r="E33" s="45" t="inlineStr">
        <is>
          <t>i5 13420H</t>
        </is>
      </c>
      <c r="F33" s="45" t="n"/>
      <c r="G33" s="45" t="inlineStr">
        <is>
          <t>16GB,1TB SSD</t>
        </is>
      </c>
      <c r="H33" s="45" t="inlineStr">
        <is>
          <t>WINDOWS 11 HOME 64 SL</t>
        </is>
      </c>
      <c r="I33" s="45" t="inlineStr">
        <is>
          <t>OFFICE H&amp;S 2024</t>
        </is>
      </c>
      <c r="J33" s="45" t="inlineStr">
        <is>
          <t>INTEGRATED_GRAPHICS</t>
        </is>
      </c>
      <c r="K33" s="63" t="inlineStr">
        <is>
          <t>16_2.8K_OLED_GL500N_120_HDR_P3</t>
        </is>
      </c>
      <c r="L33" s="63" t="inlineStr">
        <is>
          <t>Luna Grey</t>
        </is>
      </c>
      <c r="M33" s="45" t="inlineStr">
        <is>
          <t>1.69Kg</t>
        </is>
      </c>
      <c r="N33" s="45" t="inlineStr">
        <is>
          <t xml:space="preserve"> GX40Q75210 </t>
        </is>
      </c>
      <c r="O33" s="45" t="inlineStr">
        <is>
          <t>1 Year Onsite</t>
        </is>
      </c>
      <c r="P33" s="63" t="inlineStr">
        <is>
          <t>1 Year Hard bundled Premium Care</t>
        </is>
      </c>
      <c r="Q33" s="45" t="inlineStr">
        <is>
          <t>1 Year ADP</t>
        </is>
      </c>
      <c r="R33" s="45" t="inlineStr">
        <is>
          <t>Backlit</t>
        </is>
      </c>
      <c r="S33" s="45" t="inlineStr">
        <is>
          <t>IR Camera</t>
        </is>
      </c>
      <c r="T33" s="53">
        <f>IF(W33&lt;45000,"Entry",IF(W33&gt;72000,"Premium","Mainstream"))</f>
        <v/>
      </c>
      <c r="U33" s="73" t="n">
        <v>70520.38071944</v>
      </c>
      <c r="V33" s="73" t="n"/>
      <c r="W33" s="73">
        <f>U33-V33</f>
        <v/>
      </c>
      <c r="X33" t="n">
        <v>70872.98</v>
      </c>
    </row>
    <row r="34">
      <c r="B34" s="45" t="inlineStr">
        <is>
          <t>Ideapad Slim 5</t>
        </is>
      </c>
      <c r="C34" s="45" t="inlineStr">
        <is>
          <t>Thin &amp; Light</t>
        </is>
      </c>
      <c r="D34" s="45" t="inlineStr">
        <is>
          <t>83HR000YIN</t>
        </is>
      </c>
      <c r="E34" s="45" t="inlineStr">
        <is>
          <t>i5 13420H</t>
        </is>
      </c>
      <c r="F34" s="45" t="n"/>
      <c r="G34" s="45" t="inlineStr">
        <is>
          <t>16GB,1TB SSD</t>
        </is>
      </c>
      <c r="H34" s="45" t="inlineStr">
        <is>
          <t>WINDOWS 11 HOME 64 SL</t>
        </is>
      </c>
      <c r="I34" s="45" t="inlineStr">
        <is>
          <t>OFFICE H&amp;S 2024</t>
        </is>
      </c>
      <c r="J34" s="45" t="inlineStr">
        <is>
          <t>INTEGRATED_GRAPHICS</t>
        </is>
      </c>
      <c r="K34" s="63" t="inlineStr">
        <is>
          <t>14" WUXGA (1920x1200) OLED 400nits Glossy, 100% DCI-P3, DisplayHDR™ True Black 500</t>
        </is>
      </c>
      <c r="L34" s="63" t="inlineStr">
        <is>
          <t>Luna Grey</t>
        </is>
      </c>
      <c r="M34" s="45" t="inlineStr">
        <is>
          <t>1.39kg</t>
        </is>
      </c>
      <c r="N34" s="45" t="inlineStr">
        <is>
          <t>-</t>
        </is>
      </c>
      <c r="O34" s="45" t="inlineStr">
        <is>
          <t>1 Year Onsite</t>
        </is>
      </c>
      <c r="P34" s="63" t="inlineStr">
        <is>
          <t>1 Year Hard bundled Premium Care</t>
        </is>
      </c>
      <c r="Q34" s="45" t="inlineStr">
        <is>
          <t>1 Year ADP</t>
        </is>
      </c>
      <c r="R34" s="45" t="inlineStr">
        <is>
          <t>Backlit</t>
        </is>
      </c>
      <c r="S34" s="45" t="inlineStr">
        <is>
          <t>IR Camera</t>
        </is>
      </c>
      <c r="T34" s="53">
        <f>IF(W34&lt;45000,"Entry",IF(W34&gt;72000,"Premium","Mainstream"))</f>
        <v/>
      </c>
      <c r="U34" s="73" t="n">
        <v>71442.35693079562</v>
      </c>
      <c r="V34" s="73" t="n">
        <v>5871.679999999999</v>
      </c>
      <c r="W34" s="73">
        <f>U34-V34</f>
        <v/>
      </c>
      <c r="X34" t="n">
        <v>79790</v>
      </c>
    </row>
    <row r="35">
      <c r="B35" s="45" t="inlineStr">
        <is>
          <t>Ideapad Slim 5</t>
        </is>
      </c>
      <c r="C35" s="45" t="inlineStr">
        <is>
          <t>Thin &amp; Light</t>
        </is>
      </c>
      <c r="D35" s="45" t="inlineStr">
        <is>
          <t>83DC00ACIN</t>
        </is>
      </c>
      <c r="E35" s="45" t="inlineStr">
        <is>
          <t>Core Ultra 5 125H</t>
        </is>
      </c>
      <c r="F35" s="45" t="inlineStr">
        <is>
          <t>AI PC</t>
        </is>
      </c>
      <c r="G35" s="45" t="inlineStr">
        <is>
          <t>16GB, 512GB SSD</t>
        </is>
      </c>
      <c r="H35" s="45" t="inlineStr">
        <is>
          <t>WINDOWS 11 HOME 64 SL</t>
        </is>
      </c>
      <c r="I35" s="45" t="inlineStr">
        <is>
          <t>M365+OFFICE H&amp;S 2024</t>
        </is>
      </c>
      <c r="J35" s="45" t="inlineStr">
        <is>
          <t>INTEGRATED_GRAPHICS</t>
        </is>
      </c>
      <c r="K35" s="63" t="inlineStr">
        <is>
          <t>16" WUXGA (1920x1200) IPS 300nits Anti-glare, 100% sRGB, 60Hz</t>
        </is>
      </c>
      <c r="L35" s="63" t="inlineStr">
        <is>
          <t>CLOUD_GREY</t>
        </is>
      </c>
      <c r="M35" s="45" t="inlineStr">
        <is>
          <t>1.89kg</t>
        </is>
      </c>
      <c r="N35" s="45" t="inlineStr">
        <is>
          <t xml:space="preserve"> GX40Q75210 </t>
        </is>
      </c>
      <c r="O35" s="45" t="inlineStr">
        <is>
          <t>1 Year Onsite</t>
        </is>
      </c>
      <c r="P35" s="63" t="inlineStr">
        <is>
          <t>1 Year Hard bundled Premium Care</t>
        </is>
      </c>
      <c r="Q35" s="45" t="inlineStr">
        <is>
          <t>1 Year ADP</t>
        </is>
      </c>
      <c r="R35" s="45" t="inlineStr">
        <is>
          <t>Non-Backlit</t>
        </is>
      </c>
      <c r="S35" s="45" t="inlineStr">
        <is>
          <t>IR Camera</t>
        </is>
      </c>
      <c r="T35" s="53">
        <f>IF(W35&lt;45000,"Entry",IF(W35&gt;72000,"Premium","Mainstream"))</f>
        <v/>
      </c>
      <c r="U35" s="73" t="n">
        <v>66206.01285223298</v>
      </c>
      <c r="V35" s="73" t="n"/>
      <c r="W35" s="73">
        <f>U35-V35</f>
        <v/>
      </c>
      <c r="X35" t="n">
        <v>66537.03999999999</v>
      </c>
    </row>
    <row r="36">
      <c r="B36" s="45" t="inlineStr">
        <is>
          <t>Ideapad Slim 5</t>
        </is>
      </c>
      <c r="C36" s="45" t="inlineStr">
        <is>
          <t>Thin &amp; Light</t>
        </is>
      </c>
      <c r="D36" s="45" t="inlineStr">
        <is>
          <t>83J10067IN</t>
        </is>
      </c>
      <c r="E36" s="45" t="inlineStr">
        <is>
          <t>Core 5 210H</t>
        </is>
      </c>
      <c r="F36" s="45" t="n"/>
      <c r="G36" s="45" t="inlineStr">
        <is>
          <t>16GB, 512GB SSD</t>
        </is>
      </c>
      <c r="H36" s="45" t="inlineStr">
        <is>
          <t>WINDOWS 11 HOME 64 SL</t>
        </is>
      </c>
      <c r="I36" s="45" t="inlineStr">
        <is>
          <t>M365+OFFICE H&amp;S 2024</t>
        </is>
      </c>
      <c r="J36" s="45" t="inlineStr">
        <is>
          <t>INTEGRATED_GRAPHICS</t>
        </is>
      </c>
      <c r="K36" s="63" t="inlineStr">
        <is>
          <t>16" WUXGA (1920x1200) IPS 300nits Anti-glare, 100% sRGB, 60Hz</t>
        </is>
      </c>
      <c r="L36" s="63" t="inlineStr">
        <is>
          <t>Luna Grey</t>
        </is>
      </c>
      <c r="M36" s="45" t="inlineStr">
        <is>
          <t>1.85kg</t>
        </is>
      </c>
      <c r="N36" s="45" t="inlineStr">
        <is>
          <t xml:space="preserve"> GX40Q75210 </t>
        </is>
      </c>
      <c r="O36" s="45" t="inlineStr">
        <is>
          <t>1 Year Onsite</t>
        </is>
      </c>
      <c r="P36" s="63" t="inlineStr">
        <is>
          <t>1 Year Hard bundled Premium Care</t>
        </is>
      </c>
      <c r="Q36" s="45" t="inlineStr">
        <is>
          <t>1 Year ADP</t>
        </is>
      </c>
      <c r="R36" s="45" t="inlineStr">
        <is>
          <t>Backlit</t>
        </is>
      </c>
      <c r="S36" s="45" t="inlineStr">
        <is>
          <t>IR Camera</t>
        </is>
      </c>
      <c r="T36" s="53">
        <f>IF(W36&lt;45000,"Entry",IF(W36&gt;72000,"Premium","Mainstream"))</f>
        <v/>
      </c>
      <c r="U36" s="73" t="n">
        <v>61398.98569370194</v>
      </c>
      <c r="V36" s="73" t="n"/>
      <c r="W36" s="73">
        <f>U36-V36</f>
        <v/>
      </c>
      <c r="X36" t="n">
        <v>61705.98</v>
      </c>
    </row>
    <row r="37">
      <c r="B37" s="45" t="inlineStr">
        <is>
          <t>Ideapad Slim 5</t>
        </is>
      </c>
      <c r="C37" s="45" t="inlineStr">
        <is>
          <t>Thin &amp; Light</t>
        </is>
      </c>
      <c r="D37" s="45" t="inlineStr">
        <is>
          <t>83DC0042IN</t>
        </is>
      </c>
      <c r="E37" s="45" t="inlineStr">
        <is>
          <t>Core Ultra 5 125H</t>
        </is>
      </c>
      <c r="F37" s="45" t="inlineStr">
        <is>
          <t>AI PC</t>
        </is>
      </c>
      <c r="G37" s="45" t="inlineStr">
        <is>
          <t>16GB, 1TB SSD</t>
        </is>
      </c>
      <c r="H37" s="45" t="inlineStr">
        <is>
          <t>WINDOWS 11 HOME 64 SL</t>
        </is>
      </c>
      <c r="I37" s="45" t="inlineStr">
        <is>
          <t>OFFICE H&amp;S 2021</t>
        </is>
      </c>
      <c r="J37" s="45" t="inlineStr">
        <is>
          <t>INTEGRATED_GRAPHICS</t>
        </is>
      </c>
      <c r="K37" s="63" t="inlineStr">
        <is>
          <t>16" WUXGA (1920x1200) IPS 300nits Anti-glare, 100% sRGB, 60Hz</t>
        </is>
      </c>
      <c r="L37" s="63" t="inlineStr">
        <is>
          <t>Cloud Grey</t>
        </is>
      </c>
      <c r="M37" s="45" t="inlineStr">
        <is>
          <t>1.82kg</t>
        </is>
      </c>
      <c r="N37" s="45" t="n"/>
      <c r="O37" s="45" t="inlineStr">
        <is>
          <t>1 Year Onsite</t>
        </is>
      </c>
      <c r="P37" s="63" t="inlineStr">
        <is>
          <t>1 Year Hard bundled Premium Care</t>
        </is>
      </c>
      <c r="Q37" s="45" t="inlineStr">
        <is>
          <t>1 Year ADP</t>
        </is>
      </c>
      <c r="R37" s="45" t="inlineStr">
        <is>
          <t>Backlit</t>
        </is>
      </c>
      <c r="S37" s="45" t="inlineStr">
        <is>
          <t>IR Camera</t>
        </is>
      </c>
      <c r="T37" s="53">
        <f>IF(W37&lt;45000,"Entry",IF(W37&gt;72000,"Premium","Mainstream"))</f>
        <v/>
      </c>
      <c r="U37" s="73" t="n">
        <v>74919.46970302259</v>
      </c>
      <c r="V37" s="73" t="n">
        <v>2835.54</v>
      </c>
      <c r="W37" s="73">
        <f>U37-V37</f>
        <v/>
      </c>
      <c r="X37" t="n">
        <v>72444.35000000001</v>
      </c>
    </row>
    <row r="38">
      <c r="B38" s="45" t="inlineStr">
        <is>
          <t>Ideapad Slim 5</t>
        </is>
      </c>
      <c r="C38" s="45" t="inlineStr">
        <is>
          <t>Thin &amp; Light</t>
        </is>
      </c>
      <c r="D38" s="45" t="inlineStr">
        <is>
          <t>83DC0094IN</t>
        </is>
      </c>
      <c r="E38" s="45" t="inlineStr">
        <is>
          <t>Core Ultra 7 155H</t>
        </is>
      </c>
      <c r="F38" s="45" t="inlineStr">
        <is>
          <t>AI PC</t>
        </is>
      </c>
      <c r="G38" s="45" t="inlineStr">
        <is>
          <t>16GB, 1TB SSD</t>
        </is>
      </c>
      <c r="H38" s="45" t="inlineStr">
        <is>
          <t>WINDOWS 11 HOME 64 SL</t>
        </is>
      </c>
      <c r="I38" s="45" t="inlineStr">
        <is>
          <t>OFFICE H&amp;S 2024</t>
        </is>
      </c>
      <c r="J38" s="45" t="inlineStr">
        <is>
          <t>INTEGRATED_GRAPHICS</t>
        </is>
      </c>
      <c r="K38" s="63" t="inlineStr">
        <is>
          <t>16" WUXGA (1920x1200) IPS 300nits Anti-glare, 100% sRGB, 60Hz</t>
        </is>
      </c>
      <c r="L38" s="63" t="inlineStr">
        <is>
          <t>Cloud Grey</t>
        </is>
      </c>
      <c r="M38" s="45" t="inlineStr">
        <is>
          <t>1.89kg</t>
        </is>
      </c>
      <c r="N38" s="45" t="inlineStr">
        <is>
          <t xml:space="preserve"> GX40Q75210 </t>
        </is>
      </c>
      <c r="O38" s="45" t="inlineStr">
        <is>
          <t>1 Year Onsite</t>
        </is>
      </c>
      <c r="P38" s="63" t="inlineStr">
        <is>
          <t>1 Year Hard bundled Premium Care</t>
        </is>
      </c>
      <c r="Q38" s="45" t="inlineStr">
        <is>
          <t>1 Year ADP</t>
        </is>
      </c>
      <c r="R38" s="45" t="inlineStr">
        <is>
          <t>Backlit</t>
        </is>
      </c>
      <c r="S38" s="45" t="inlineStr">
        <is>
          <t>IR Camera</t>
        </is>
      </c>
      <c r="T38" s="53">
        <f>IF(W38&lt;45000,"Entry",IF(W38&gt;72000,"Premium","Mainstream"))</f>
        <v/>
      </c>
      <c r="U38" s="73" t="n">
        <v>85115.60658066979</v>
      </c>
      <c r="V38" s="73" t="n"/>
      <c r="W38" s="73">
        <f>U38-V38</f>
        <v/>
      </c>
      <c r="X38" t="n">
        <v>85541.17999999999</v>
      </c>
    </row>
    <row r="39">
      <c r="B39" s="45" t="inlineStr">
        <is>
          <t>Ideapad Slim 5</t>
        </is>
      </c>
      <c r="C39" s="45" t="inlineStr">
        <is>
          <t>Thin &amp; Light</t>
        </is>
      </c>
      <c r="D39" s="45" t="inlineStr">
        <is>
          <t>83HX001NIN</t>
        </is>
      </c>
      <c r="E39" s="45" t="inlineStr">
        <is>
          <t>Ryzen AI 7 350</t>
        </is>
      </c>
      <c r="F39" s="45" t="inlineStr">
        <is>
          <t>Co-Pilot+ PC</t>
        </is>
      </c>
      <c r="G39" s="45" t="inlineStr">
        <is>
          <t>24GB, 1TB SSD</t>
        </is>
      </c>
      <c r="H39" s="45" t="inlineStr">
        <is>
          <t>WINDOWS 11 HOME 64 SL</t>
        </is>
      </c>
      <c r="I39" s="45" t="inlineStr">
        <is>
          <t>OFFICE H&amp;S 2024</t>
        </is>
      </c>
      <c r="J39" s="45" t="inlineStr">
        <is>
          <t>Integrated AMD Radeon™ 860M Graphics</t>
        </is>
      </c>
      <c r="K39" s="63" t="inlineStr">
        <is>
          <t>14" WUXGA (1920x1200) OLED 400nits Glossy, 100% DCI-P3, DisplayHDR™ True Black 500</t>
        </is>
      </c>
      <c r="L39" s="63" t="inlineStr">
        <is>
          <t>Luna Grey</t>
        </is>
      </c>
      <c r="M39" s="45" t="inlineStr">
        <is>
          <t>1.39kg</t>
        </is>
      </c>
      <c r="N39" s="45" t="inlineStr">
        <is>
          <t xml:space="preserve"> GX40Q75210 </t>
        </is>
      </c>
      <c r="O39" s="45" t="inlineStr">
        <is>
          <t>1 Year Onsite</t>
        </is>
      </c>
      <c r="P39" s="63" t="inlineStr">
        <is>
          <t>1 Year Hard bundled Premium Care</t>
        </is>
      </c>
      <c r="Q39" s="45" t="inlineStr">
        <is>
          <t>1 Year ADP</t>
        </is>
      </c>
      <c r="R39" s="45" t="inlineStr">
        <is>
          <t>Backlit</t>
        </is>
      </c>
      <c r="S39" s="45" t="inlineStr">
        <is>
          <t>FHD 1080p + IR with Privacy Shutter, ToF Sensor</t>
        </is>
      </c>
      <c r="T39" s="53">
        <f>IF(W39&lt;45000,"Entry",IF(W39&gt;72000,"Premium","Mainstream"))</f>
        <v/>
      </c>
      <c r="U39" s="73" t="n">
        <v>83111.99965424796</v>
      </c>
      <c r="V39" s="73" t="n">
        <v>4000.2</v>
      </c>
      <c r="W39" s="73">
        <f>U39-V39</f>
        <v/>
      </c>
      <c r="X39" t="n">
        <v>79507.36</v>
      </c>
    </row>
    <row r="40">
      <c r="B40" s="45" t="inlineStr">
        <is>
          <t>Ideapad Slim 5</t>
        </is>
      </c>
      <c r="C40" s="45" t="inlineStr">
        <is>
          <t>Thin &amp; Light</t>
        </is>
      </c>
      <c r="D40" s="45" t="inlineStr">
        <is>
          <t>83HX00A5IN</t>
        </is>
      </c>
      <c r="E40" s="45" t="inlineStr">
        <is>
          <t>Ryzen AI 7 350</t>
        </is>
      </c>
      <c r="F40" s="45" t="inlineStr">
        <is>
          <t>Co-Pilot+ PC</t>
        </is>
      </c>
      <c r="G40" s="45" t="inlineStr">
        <is>
          <t>24GB, 1TB SSD</t>
        </is>
      </c>
      <c r="H40" s="45" t="inlineStr">
        <is>
          <t>WINDOWS 11 HOME 64 SL</t>
        </is>
      </c>
      <c r="I40" s="45" t="inlineStr">
        <is>
          <t>M365 Basic+OFFICE H&amp;S 2024</t>
        </is>
      </c>
      <c r="J40" s="45" t="inlineStr">
        <is>
          <t>Integrated AMD Radeon™ 860M Graphics</t>
        </is>
      </c>
      <c r="K40" s="63" t="inlineStr">
        <is>
          <t>14" WUXGA (1920x1200) OLED 400nits Glossy, 100% DCI-P3, DisplayHDR™ True Black 500</t>
        </is>
      </c>
      <c r="L40" s="63" t="inlineStr">
        <is>
          <t>Luna Grey</t>
        </is>
      </c>
      <c r="M40" s="45" t="inlineStr">
        <is>
          <t>1.39kg</t>
        </is>
      </c>
      <c r="N40" s="45" t="inlineStr">
        <is>
          <t xml:space="preserve"> GX40Q75210 </t>
        </is>
      </c>
      <c r="O40" s="45" t="inlineStr">
        <is>
          <t>1 Year Onsite</t>
        </is>
      </c>
      <c r="P40" s="63" t="inlineStr">
        <is>
          <t>1 Year Hard bundled Premium Care</t>
        </is>
      </c>
      <c r="Q40" s="45" t="inlineStr">
        <is>
          <t>1 Year ADP</t>
        </is>
      </c>
      <c r="R40" s="45" t="inlineStr">
        <is>
          <t>Backlit</t>
        </is>
      </c>
      <c r="S40" s="45" t="inlineStr">
        <is>
          <t>FHD 1080p + IR with Privacy Shutter, ToF Sensor</t>
        </is>
      </c>
      <c r="T40" s="53">
        <f>IF(W40&lt;45000,"Entry",IF(W40&gt;72000,"Premium","Mainstream"))</f>
        <v/>
      </c>
      <c r="U40" s="73" t="n">
        <v>83111.99965424796</v>
      </c>
      <c r="V40" s="73" t="n">
        <v>4000.2</v>
      </c>
      <c r="W40" s="73">
        <f>U40-V40</f>
        <v/>
      </c>
      <c r="X40" t="n">
        <v>79507.36</v>
      </c>
    </row>
    <row r="41">
      <c r="B41" s="45" t="inlineStr">
        <is>
          <t>Ideapad Slim 5</t>
        </is>
      </c>
      <c r="C41" s="45" t="inlineStr">
        <is>
          <t>Thin &amp; Light</t>
        </is>
      </c>
      <c r="D41" s="45" t="inlineStr">
        <is>
          <t>83HX0096IN</t>
        </is>
      </c>
      <c r="E41" s="45" t="inlineStr">
        <is>
          <t>Ryzen AI 5 330</t>
        </is>
      </c>
      <c r="F41" s="45" t="inlineStr">
        <is>
          <t>Co-Pilot+ PC</t>
        </is>
      </c>
      <c r="G41" s="45" t="inlineStr">
        <is>
          <t>16GB, 512GB SSD</t>
        </is>
      </c>
      <c r="H41" s="45" t="inlineStr">
        <is>
          <t>WINDOWS 11 HOME 64 SL</t>
        </is>
      </c>
      <c r="I41" s="45" t="inlineStr">
        <is>
          <t>M365 Basic+OFFICE H&amp;S 2024</t>
        </is>
      </c>
      <c r="J41" s="45" t="inlineStr">
        <is>
          <t>Integrated AMD Radeon™ 820M Graphics</t>
        </is>
      </c>
      <c r="K41" s="63" t="inlineStr">
        <is>
          <t>14" WUXGA (1920x1200) OLED 400nits Glossy, 100% DCI-P3, DisplayHDR™ True Black 500</t>
        </is>
      </c>
      <c r="L41" s="63" t="inlineStr">
        <is>
          <t>Luna Grey</t>
        </is>
      </c>
      <c r="M41" s="45" t="inlineStr">
        <is>
          <t>1.39kg</t>
        </is>
      </c>
      <c r="N41" s="45" t="inlineStr">
        <is>
          <t xml:space="preserve"> GX40Q75210 </t>
        </is>
      </c>
      <c r="O41" s="45" t="inlineStr">
        <is>
          <t>1 Year Onsite</t>
        </is>
      </c>
      <c r="P41" s="63" t="inlineStr">
        <is>
          <t>1 Year Hard bundled Premium Care</t>
        </is>
      </c>
      <c r="Q41" s="45" t="inlineStr">
        <is>
          <t>1 Year ADP</t>
        </is>
      </c>
      <c r="R41" s="45" t="inlineStr">
        <is>
          <t>Backlit</t>
        </is>
      </c>
      <c r="S41" s="45" t="inlineStr">
        <is>
          <t>FHD 1080p + IR with Privacy Shutter, ToF Sensor</t>
        </is>
      </c>
      <c r="T41" s="53">
        <f>IF(W41&lt;45000,"Entry",IF(W41&gt;72000,"Premium","Mainstream"))</f>
        <v/>
      </c>
      <c r="U41" s="73" t="n">
        <v>70463.67921076402</v>
      </c>
      <c r="V41" s="73" t="n"/>
      <c r="W41" s="73">
        <f>U41-V41</f>
        <v/>
      </c>
      <c r="X41" t="n">
        <v>70816</v>
      </c>
    </row>
    <row r="42">
      <c r="B42" s="45" t="inlineStr">
        <is>
          <t>Ideapad Slim 5</t>
        </is>
      </c>
      <c r="C42" s="45" t="inlineStr">
        <is>
          <t>Thin &amp; Light</t>
        </is>
      </c>
      <c r="D42" s="45" t="inlineStr">
        <is>
          <t>83HL003NIN</t>
        </is>
      </c>
      <c r="E42" s="45" t="inlineStr">
        <is>
          <t>Snapdragon® X Plus X1P-42-100, 8C</t>
        </is>
      </c>
      <c r="F42" s="45" t="inlineStr">
        <is>
          <t>Co-Pilot+ PC</t>
        </is>
      </c>
      <c r="G42" s="45" t="inlineStr">
        <is>
          <t>16GB, 1TB SSD</t>
        </is>
      </c>
      <c r="H42" s="45" t="inlineStr">
        <is>
          <t>WINDOWS 11 HOME 64 SL</t>
        </is>
      </c>
      <c r="I42" s="45" t="inlineStr">
        <is>
          <t>OFFICE H&amp;S 2024</t>
        </is>
      </c>
      <c r="J42" s="45" t="inlineStr">
        <is>
          <t>INTEGRATED_GRAPHICS</t>
        </is>
      </c>
      <c r="K42" s="63" t="inlineStr">
        <is>
          <t>14" WUXGA (1920x1200) IPS 300nits Anti-glare, 100% sRGB</t>
        </is>
      </c>
      <c r="L42" s="63" t="inlineStr">
        <is>
          <t>Cloud Grey</t>
        </is>
      </c>
      <c r="M42" s="45" t="inlineStr">
        <is>
          <t>1.48kg</t>
        </is>
      </c>
      <c r="N42" s="45" t="inlineStr">
        <is>
          <t xml:space="preserve"> GX40Q75210 </t>
        </is>
      </c>
      <c r="O42" s="45" t="inlineStr">
        <is>
          <t>1 Year Onsite</t>
        </is>
      </c>
      <c r="P42" s="63" t="inlineStr">
        <is>
          <t>1 Year Hard bundled Premium Care</t>
        </is>
      </c>
      <c r="Q42" s="45" t="inlineStr">
        <is>
          <t>1 Year ADP</t>
        </is>
      </c>
      <c r="R42" s="45" t="inlineStr">
        <is>
          <t>Backlit</t>
        </is>
      </c>
      <c r="S42" s="45" t="inlineStr">
        <is>
          <t>IR Camera</t>
        </is>
      </c>
      <c r="T42" s="53">
        <f>IF(W42&lt;45000,"Entry",IF(W42&gt;72000,"Premium","Mainstream"))</f>
        <v/>
      </c>
      <c r="U42" s="73" t="n">
        <v>74815.09158066977</v>
      </c>
      <c r="V42" s="73" t="n">
        <v>6999.759999999999</v>
      </c>
      <c r="W42" s="73">
        <f>U42-V42</f>
        <v/>
      </c>
      <c r="X42" t="n">
        <v>68154.41</v>
      </c>
    </row>
    <row r="43">
      <c r="B43" s="45" t="inlineStr">
        <is>
          <t>Legion 5</t>
        </is>
      </c>
      <c r="C43" s="45" t="inlineStr">
        <is>
          <t>Gaming</t>
        </is>
      </c>
      <c r="D43" s="45" t="inlineStr">
        <is>
          <t>83DG004SIN</t>
        </is>
      </c>
      <c r="E43" s="45" t="inlineStr">
        <is>
          <t>i7 14650HX</t>
        </is>
      </c>
      <c r="F43" s="45" t="n"/>
      <c r="G43" s="45" t="inlineStr">
        <is>
          <t>16GB, 1TB SSD</t>
        </is>
      </c>
      <c r="H43" s="45" t="inlineStr">
        <is>
          <t>WINDOWS 11 HOME 64 SL</t>
        </is>
      </c>
      <c r="I43" s="45" t="inlineStr">
        <is>
          <t xml:space="preserve">OFFICE H&amp;S 2021  </t>
        </is>
      </c>
      <c r="J43" s="45" t="inlineStr">
        <is>
          <t>RTX 4060 8GB</t>
        </is>
      </c>
      <c r="K43" s="63" t="inlineStr">
        <is>
          <t>16_WQXGA_AG_350N_165_SRGB</t>
        </is>
      </c>
      <c r="L43" s="63" t="inlineStr">
        <is>
          <t>LUNA_GREY</t>
        </is>
      </c>
      <c r="M43" s="45" t="inlineStr">
        <is>
          <t>2.36kg</t>
        </is>
      </c>
      <c r="N43" s="45" t="inlineStr">
        <is>
          <t>GX41C86982</t>
        </is>
      </c>
      <c r="O43" s="45" t="inlineStr">
        <is>
          <t>1 Year Onsite</t>
        </is>
      </c>
      <c r="P43" s="63" t="inlineStr">
        <is>
          <t>1 year LUS</t>
        </is>
      </c>
      <c r="Q43" s="45" t="inlineStr">
        <is>
          <t>1 Year ADP</t>
        </is>
      </c>
      <c r="R43" s="45" t="inlineStr">
        <is>
          <t>4 Zone RGB</t>
        </is>
      </c>
      <c r="S43" s="45" t="inlineStr">
        <is>
          <t>-</t>
        </is>
      </c>
      <c r="T43" s="53">
        <f>IF(W43&lt;45000,"Entry",IF(W43&gt;72000,"Premium","Mainstream"))</f>
        <v/>
      </c>
      <c r="U43" s="73" t="n">
        <v>143129.2924375352</v>
      </c>
      <c r="V43" s="73" t="n"/>
      <c r="W43" s="73">
        <f>U43-V43</f>
        <v/>
      </c>
      <c r="X43" t="n">
        <v>143844.94</v>
      </c>
    </row>
    <row r="44">
      <c r="B44" s="45" t="inlineStr">
        <is>
          <t>Legion 5</t>
        </is>
      </c>
      <c r="C44" s="45" t="inlineStr">
        <is>
          <t>Gaming</t>
        </is>
      </c>
      <c r="D44" s="45" t="inlineStr">
        <is>
          <t>83DG009DIN</t>
        </is>
      </c>
      <c r="E44" s="45" t="inlineStr">
        <is>
          <t>i7 14650HX</t>
        </is>
      </c>
      <c r="F44" s="45" t="n"/>
      <c r="G44" s="45" t="inlineStr">
        <is>
          <t>16GB, 1TB SSD</t>
        </is>
      </c>
      <c r="H44" s="45" t="inlineStr">
        <is>
          <t>WINDOWS 11 HOME 64 SL</t>
        </is>
      </c>
      <c r="I44" s="45" t="inlineStr">
        <is>
          <t xml:space="preserve">OFFICE H&amp;S 2021  </t>
        </is>
      </c>
      <c r="J44" s="45" t="inlineStr">
        <is>
          <t>RTX 4070 8GB</t>
        </is>
      </c>
      <c r="K44" s="63" t="inlineStr">
        <is>
          <t>16_WQXGA_AG_350N_165_SRGB</t>
        </is>
      </c>
      <c r="L44" s="63" t="inlineStr">
        <is>
          <t>LUNA_GREY</t>
        </is>
      </c>
      <c r="M44" s="45" t="inlineStr">
        <is>
          <t>2.36kg</t>
        </is>
      </c>
      <c r="N44" s="45" t="inlineStr">
        <is>
          <t>GX41C86982</t>
        </is>
      </c>
      <c r="O44" s="45" t="inlineStr">
        <is>
          <t>1 Year Onsite</t>
        </is>
      </c>
      <c r="P44" s="63" t="inlineStr">
        <is>
          <t>1 year LUS</t>
        </is>
      </c>
      <c r="Q44" s="45" t="inlineStr">
        <is>
          <t>1 Year ADP</t>
        </is>
      </c>
      <c r="R44" s="45" t="inlineStr">
        <is>
          <t>4 Zone RGB</t>
        </is>
      </c>
      <c r="S44" s="45" t="inlineStr">
        <is>
          <t>-</t>
        </is>
      </c>
      <c r="T44" s="53">
        <f>IF(W44&lt;45000,"Entry",IF(W44&gt;72000,"Premium","Mainstream"))</f>
        <v/>
      </c>
      <c r="U44" s="73" t="n">
        <v>165507.1290631465</v>
      </c>
      <c r="V44" s="73" t="n"/>
      <c r="W44" s="73">
        <f>U44-V44</f>
        <v/>
      </c>
      <c r="X44" t="n">
        <v>166334.66</v>
      </c>
    </row>
    <row r="45">
      <c r="B45" s="45" t="inlineStr">
        <is>
          <t>Legion 5</t>
        </is>
      </c>
      <c r="C45" s="45" t="inlineStr">
        <is>
          <t>Gaming</t>
        </is>
      </c>
      <c r="D45" s="45" t="inlineStr">
        <is>
          <t>83DG00LEIN</t>
        </is>
      </c>
      <c r="E45" s="45" t="inlineStr">
        <is>
          <t>i7 14650HX</t>
        </is>
      </c>
      <c r="F45" s="45" t="n"/>
      <c r="G45" s="45" t="inlineStr">
        <is>
          <t>16GB, 1TB SSD</t>
        </is>
      </c>
      <c r="H45" s="45" t="inlineStr">
        <is>
          <t>Windows 11</t>
        </is>
      </c>
      <c r="I45" s="45" t="inlineStr">
        <is>
          <t>Office 2024</t>
        </is>
      </c>
      <c r="J45" s="45" t="inlineStr">
        <is>
          <t>RTX 4050 6GB</t>
        </is>
      </c>
      <c r="K45" s="63" t="inlineStr">
        <is>
          <t>16_WQXGA_AG_350N_165_SRGB</t>
        </is>
      </c>
      <c r="L45" s="63" t="inlineStr">
        <is>
          <t>Storm Grey</t>
        </is>
      </c>
      <c r="M45" s="45" t="inlineStr">
        <is>
          <t>2.36kg</t>
        </is>
      </c>
      <c r="N45" s="45" t="inlineStr">
        <is>
          <t>GX41C86982</t>
        </is>
      </c>
      <c r="O45" s="45" t="inlineStr">
        <is>
          <t>1 year onsite</t>
        </is>
      </c>
      <c r="P45" s="63" t="inlineStr">
        <is>
          <t>1 Year LUS</t>
        </is>
      </c>
      <c r="Q45" s="45" t="inlineStr">
        <is>
          <t>1 Year ADP</t>
        </is>
      </c>
      <c r="R45" s="45" t="inlineStr">
        <is>
          <t>4 Zone RGB</t>
        </is>
      </c>
      <c r="S45" s="45" t="n"/>
      <c r="T45" s="53">
        <f>IF(W45&lt;45000,"Entry",IF(W45&gt;72000,"Premium","Mainstream"))</f>
        <v/>
      </c>
      <c r="U45" s="73" t="n">
        <v>126589.4924316365</v>
      </c>
      <c r="V45" s="73" t="n"/>
      <c r="W45" s="73">
        <f>U45-V45</f>
        <v/>
      </c>
      <c r="X45" t="n">
        <v>127222.44</v>
      </c>
    </row>
    <row r="46">
      <c r="B46" s="45" t="inlineStr">
        <is>
          <t>Legion 5</t>
        </is>
      </c>
      <c r="C46" s="45" t="inlineStr">
        <is>
          <t>Gaming</t>
        </is>
      </c>
      <c r="D46" s="45" t="inlineStr">
        <is>
          <t>83DG00LFIN</t>
        </is>
      </c>
      <c r="E46" s="45" t="inlineStr">
        <is>
          <t>i7 14650HX</t>
        </is>
      </c>
      <c r="F46" s="45" t="n"/>
      <c r="G46" s="45" t="inlineStr">
        <is>
          <t>16GB, 1TB SSD</t>
        </is>
      </c>
      <c r="H46" s="45" t="inlineStr">
        <is>
          <t>Windows 11</t>
        </is>
      </c>
      <c r="I46" s="45" t="inlineStr">
        <is>
          <t>Office 2024</t>
        </is>
      </c>
      <c r="J46" s="45" t="inlineStr">
        <is>
          <t>RTX 4060 8GB</t>
        </is>
      </c>
      <c r="K46" s="63" t="inlineStr">
        <is>
          <t>16_WQXGA_AG_350N_165_SRGB</t>
        </is>
      </c>
      <c r="L46" s="63" t="inlineStr">
        <is>
          <t>Storm Grey</t>
        </is>
      </c>
      <c r="M46" s="45" t="inlineStr">
        <is>
          <t>2.36kg</t>
        </is>
      </c>
      <c r="N46" s="45" t="inlineStr">
        <is>
          <t>GX41C86982</t>
        </is>
      </c>
      <c r="O46" s="45" t="inlineStr">
        <is>
          <t>1 year onsite</t>
        </is>
      </c>
      <c r="P46" s="63" t="inlineStr">
        <is>
          <t>1 Year LUS</t>
        </is>
      </c>
      <c r="Q46" s="45" t="inlineStr">
        <is>
          <t>1 Year ADP</t>
        </is>
      </c>
      <c r="R46" s="45" t="inlineStr">
        <is>
          <t>4 Zone RGB</t>
        </is>
      </c>
      <c r="S46" s="45" t="n"/>
      <c r="T46" s="53">
        <f>IF(W46&lt;45000,"Entry",IF(W46&gt;72000,"Premium","Mainstream"))</f>
        <v/>
      </c>
      <c r="U46" s="73" t="n">
        <v>143616.0776440184</v>
      </c>
      <c r="V46" s="73" t="n"/>
      <c r="W46" s="73">
        <f>U46-V46</f>
        <v/>
      </c>
      <c r="X46" t="n">
        <v>144334.16</v>
      </c>
    </row>
    <row r="47">
      <c r="B47" s="45" t="inlineStr">
        <is>
          <t>Legion 5</t>
        </is>
      </c>
      <c r="C47" s="45" t="inlineStr">
        <is>
          <t>Gaming</t>
        </is>
      </c>
      <c r="D47" s="45" t="inlineStr">
        <is>
          <t>83JJ000DIN</t>
        </is>
      </c>
      <c r="E47" s="45" t="inlineStr">
        <is>
          <t>i7 13650HX</t>
        </is>
      </c>
      <c r="F47" s="45" t="n"/>
      <c r="G47" s="45" t="inlineStr">
        <is>
          <t>24GB, 512GB SSD</t>
        </is>
      </c>
      <c r="H47" s="45" t="inlineStr">
        <is>
          <t>Windows 11</t>
        </is>
      </c>
      <c r="I47" s="45" t="inlineStr">
        <is>
          <t xml:space="preserve">OFFICE H&amp;S 2021  </t>
        </is>
      </c>
      <c r="J47" s="45" t="inlineStr">
        <is>
          <t>RTX 4060 8GB</t>
        </is>
      </c>
      <c r="K47" s="63" t="inlineStr">
        <is>
          <t>15.6_FHD_AG_300N_144_SRGB</t>
        </is>
      </c>
      <c r="L47" s="63" t="inlineStr">
        <is>
          <t>Storm Grey</t>
        </is>
      </c>
      <c r="M47" s="45" t="inlineStr">
        <is>
          <t>2.32kg</t>
        </is>
      </c>
      <c r="N47" s="45" t="inlineStr">
        <is>
          <t>GX41C86982</t>
        </is>
      </c>
      <c r="O47" s="45" t="inlineStr">
        <is>
          <t>1 Year Onsite</t>
        </is>
      </c>
      <c r="P47" s="63" t="inlineStr">
        <is>
          <t>1 Year Hard bundled Legion Ultimate Support</t>
        </is>
      </c>
      <c r="Q47" s="45" t="inlineStr">
        <is>
          <t>1 Year ADP</t>
        </is>
      </c>
      <c r="R47" s="45" t="inlineStr">
        <is>
          <t>White Backlit</t>
        </is>
      </c>
      <c r="S47" s="45" t="inlineStr">
        <is>
          <t>-</t>
        </is>
      </c>
      <c r="T47" s="53">
        <f>IF(W47&lt;45000,"Entry",IF(W47&gt;72000,"Premium","Mainstream"))</f>
        <v/>
      </c>
      <c r="U47" s="73" t="n">
        <v>119292.0731402001</v>
      </c>
      <c r="V47" s="73" t="n"/>
      <c r="W47" s="73">
        <f>U47-V47</f>
        <v/>
      </c>
      <c r="X47" t="n">
        <v>119888.53</v>
      </c>
    </row>
    <row r="48">
      <c r="B48" s="45" t="inlineStr">
        <is>
          <t>Legion 5</t>
        </is>
      </c>
      <c r="C48" s="45" t="inlineStr">
        <is>
          <t>Gaming</t>
        </is>
      </c>
      <c r="D48" s="45" t="inlineStr">
        <is>
          <t>83JJ0010IN</t>
        </is>
      </c>
      <c r="E48" s="45" t="inlineStr">
        <is>
          <t>i7 13650HX</t>
        </is>
      </c>
      <c r="F48" s="45" t="n"/>
      <c r="G48" s="45" t="inlineStr">
        <is>
          <t>24GB, 512GB SSD</t>
        </is>
      </c>
      <c r="H48" s="45" t="inlineStr">
        <is>
          <t>Windows 11</t>
        </is>
      </c>
      <c r="I48" s="45" t="inlineStr">
        <is>
          <t>OFFICE H&amp;S 2024</t>
        </is>
      </c>
      <c r="J48" s="45" t="inlineStr">
        <is>
          <t>RTX 4060 8GB</t>
        </is>
      </c>
      <c r="K48" s="63" t="inlineStr">
        <is>
          <t>15.6_FHD_AG_300N_144_SRGB</t>
        </is>
      </c>
      <c r="L48" s="63" t="inlineStr">
        <is>
          <t>Storm Grey</t>
        </is>
      </c>
      <c r="M48" s="45" t="inlineStr">
        <is>
          <t>2.32kg</t>
        </is>
      </c>
      <c r="N48" s="45" t="inlineStr">
        <is>
          <t>GX41C86982</t>
        </is>
      </c>
      <c r="O48" s="45" t="inlineStr">
        <is>
          <t>1 Year Onsite</t>
        </is>
      </c>
      <c r="P48" s="63" t="inlineStr">
        <is>
          <t>1 Year Hard bundled Legion Ultimate Support</t>
        </is>
      </c>
      <c r="Q48" s="45" t="inlineStr">
        <is>
          <t>1 Year ADP</t>
        </is>
      </c>
      <c r="R48" s="45" t="inlineStr">
        <is>
          <t>White Backlit</t>
        </is>
      </c>
      <c r="S48" s="45" t="inlineStr">
        <is>
          <t>-</t>
        </is>
      </c>
      <c r="T48" s="53">
        <f>IF(W48&lt;45000,"Entry",IF(W48&gt;72000,"Premium","Mainstream"))</f>
        <v/>
      </c>
      <c r="U48" s="73" t="n">
        <v>119778.547003411</v>
      </c>
      <c r="V48" s="73" t="n"/>
      <c r="W48" s="73">
        <f>U48-V48</f>
        <v/>
      </c>
      <c r="X48" t="n">
        <v>129890</v>
      </c>
    </row>
    <row r="49">
      <c r="B49" s="1" t="inlineStr">
        <is>
          <t>Legion 5</t>
        </is>
      </c>
      <c r="C49" s="1" t="inlineStr">
        <is>
          <t>Gaming</t>
        </is>
      </c>
      <c r="D49" s="1" t="inlineStr">
        <is>
          <t>83M00073IN</t>
        </is>
      </c>
      <c r="E49" s="1" t="inlineStr">
        <is>
          <t>R7 260</t>
        </is>
      </c>
      <c r="F49" s="1" t="n"/>
      <c r="G49" s="1" t="inlineStr">
        <is>
          <t>16GB, 1TB SSD</t>
        </is>
      </c>
      <c r="H49" s="1" t="inlineStr">
        <is>
          <t>Legion5 15AHP10</t>
        </is>
      </c>
      <c r="I49" s="45" t="inlineStr">
        <is>
          <t>Office 2024</t>
        </is>
      </c>
      <c r="J49" s="1" t="inlineStr">
        <is>
          <t>RTX 5050 8GB</t>
        </is>
      </c>
      <c r="K49" s="1" t="inlineStr">
        <is>
          <t>15.3" WUXGA IPS 300nits 165Hz 100% sRGB</t>
        </is>
      </c>
      <c r="L49" s="63" t="inlineStr">
        <is>
          <t>LENOVO_BLACK</t>
        </is>
      </c>
      <c r="M49" s="45" t="inlineStr">
        <is>
          <t>2.1kg</t>
        </is>
      </c>
      <c r="N49" s="1" t="inlineStr">
        <is>
          <t>GX41C86982</t>
        </is>
      </c>
      <c r="O49" s="45" t="inlineStr">
        <is>
          <t>1 Year Onsite</t>
        </is>
      </c>
      <c r="P49" s="63" t="inlineStr">
        <is>
          <t>1 year LUS</t>
        </is>
      </c>
      <c r="Q49" s="45" t="inlineStr">
        <is>
          <t>1 Year ADP</t>
        </is>
      </c>
      <c r="R49" s="45" t="inlineStr">
        <is>
          <t>White Backlit</t>
        </is>
      </c>
      <c r="S49" s="4" t="n"/>
      <c r="T49" s="53">
        <f>IF(W49&lt;45000,"Entry",IF(W49&gt;72000,"Premium","Mainstream"))</f>
        <v/>
      </c>
      <c r="U49" s="73" t="n">
        <v>135976.0357111133</v>
      </c>
      <c r="V49" s="73" t="n"/>
      <c r="W49" s="73">
        <f>U49-V49</f>
        <v/>
      </c>
      <c r="X49" t="n">
        <v>136655.92</v>
      </c>
    </row>
    <row r="50">
      <c r="B50" s="1" t="inlineStr">
        <is>
          <t>Legion 5</t>
        </is>
      </c>
      <c r="C50" s="1" t="inlineStr">
        <is>
          <t>Gaming</t>
        </is>
      </c>
      <c r="D50" s="1" t="inlineStr">
        <is>
          <t>83M00074IN</t>
        </is>
      </c>
      <c r="E50" s="1" t="inlineStr">
        <is>
          <t>R7 260</t>
        </is>
      </c>
      <c r="F50" s="1" t="n"/>
      <c r="G50" s="1" t="inlineStr">
        <is>
          <t>16GB, 1TB SSD</t>
        </is>
      </c>
      <c r="H50" s="1" t="inlineStr">
        <is>
          <t>Legion5 15AHP10</t>
        </is>
      </c>
      <c r="I50" s="45" t="inlineStr">
        <is>
          <t>Office 2024</t>
        </is>
      </c>
      <c r="J50" s="1" t="inlineStr">
        <is>
          <t>RTX 5060 8GB</t>
        </is>
      </c>
      <c r="K50" s="1" t="inlineStr">
        <is>
          <t>15.3" WUXGA IPS 300nits 165Hz 100% sRGB</t>
        </is>
      </c>
      <c r="L50" s="63" t="inlineStr">
        <is>
          <t>LENOVO_BLACK</t>
        </is>
      </c>
      <c r="M50" s="45" t="inlineStr">
        <is>
          <t>2.1kg</t>
        </is>
      </c>
      <c r="N50" s="1" t="inlineStr">
        <is>
          <t>GX41C86982</t>
        </is>
      </c>
      <c r="O50" s="45" t="inlineStr">
        <is>
          <t>1 Year Onsite</t>
        </is>
      </c>
      <c r="P50" s="63" t="inlineStr">
        <is>
          <t>1 year LUS</t>
        </is>
      </c>
      <c r="Q50" s="45" t="inlineStr">
        <is>
          <t>1 Year ADP</t>
        </is>
      </c>
      <c r="R50" s="45" t="inlineStr">
        <is>
          <t>White Backlit</t>
        </is>
      </c>
      <c r="S50" s="4" t="n"/>
      <c r="T50" s="53">
        <f>IF(W50&lt;45000,"Entry",IF(W50&gt;72000,"Premium","Mainstream"))</f>
        <v/>
      </c>
      <c r="U50" s="73" t="n">
        <v>145705.5129753317</v>
      </c>
      <c r="V50" s="73" t="n"/>
      <c r="W50" s="73">
        <f>U50-V50</f>
        <v/>
      </c>
      <c r="X50" t="n">
        <v>146434.04</v>
      </c>
    </row>
    <row r="51">
      <c r="B51" s="1" t="inlineStr">
        <is>
          <t>Legion 5</t>
        </is>
      </c>
      <c r="C51" s="1" t="inlineStr">
        <is>
          <t>Gaming</t>
        </is>
      </c>
      <c r="D51" s="1" t="inlineStr">
        <is>
          <t>83F0005VIN</t>
        </is>
      </c>
      <c r="E51" s="1" t="inlineStr">
        <is>
          <t>U9 275HX</t>
        </is>
      </c>
      <c r="F51" s="1" t="n"/>
      <c r="G51" s="1" t="inlineStr">
        <is>
          <t>32GB, 1TB SSD</t>
        </is>
      </c>
      <c r="H51" s="1" t="inlineStr">
        <is>
          <t>Legion5 15IAX10</t>
        </is>
      </c>
      <c r="I51" s="45" t="inlineStr">
        <is>
          <t>Office 2024</t>
        </is>
      </c>
      <c r="J51" s="1" t="inlineStr">
        <is>
          <t>RTX 5070 8GB</t>
        </is>
      </c>
      <c r="K51" s="1" t="inlineStr">
        <is>
          <t>15.1WQXGA_OLED_GL500N_165HDRP3</t>
        </is>
      </c>
      <c r="L51" s="63" t="inlineStr">
        <is>
          <t>LENOVO_BLACK</t>
        </is>
      </c>
      <c r="M51" s="45" t="inlineStr">
        <is>
          <t>1.9kg</t>
        </is>
      </c>
      <c r="N51" s="1" t="inlineStr">
        <is>
          <t>GX41T08941</t>
        </is>
      </c>
      <c r="O51" s="45" t="inlineStr">
        <is>
          <t>1 Year Onsite</t>
        </is>
      </c>
      <c r="P51" s="63" t="inlineStr">
        <is>
          <t>1 year LUS</t>
        </is>
      </c>
      <c r="Q51" s="45" t="inlineStr">
        <is>
          <t>1 Year ADP</t>
        </is>
      </c>
      <c r="R51" s="45" t="inlineStr">
        <is>
          <t>24 Zone RGB</t>
        </is>
      </c>
      <c r="S51" s="4" t="n"/>
      <c r="T51" s="53">
        <f>IF(W51&lt;45000,"Entry",IF(W51&gt;72000,"Premium","Mainstream"))</f>
        <v/>
      </c>
      <c r="U51" s="73" t="n">
        <v>207914.9577597357</v>
      </c>
      <c r="V51" s="73" t="n">
        <v>8499.539999999999</v>
      </c>
      <c r="W51" s="73">
        <f>U51-V51</f>
        <v/>
      </c>
      <c r="X51" t="n">
        <v>200412.49</v>
      </c>
    </row>
    <row r="52">
      <c r="B52" s="1" t="inlineStr">
        <is>
          <t>Legion 5</t>
        </is>
      </c>
      <c r="C52" s="1" t="inlineStr">
        <is>
          <t>Gaming</t>
        </is>
      </c>
      <c r="D52" s="1" t="inlineStr">
        <is>
          <t>83F0005WIN</t>
        </is>
      </c>
      <c r="E52" s="1" t="inlineStr">
        <is>
          <t>U7 255HX</t>
        </is>
      </c>
      <c r="F52" s="1" t="n"/>
      <c r="G52" s="1" t="inlineStr">
        <is>
          <t>32GB, 1TB SSD</t>
        </is>
      </c>
      <c r="H52" s="1" t="inlineStr">
        <is>
          <t>Legion5 15IAX10</t>
        </is>
      </c>
      <c r="I52" s="45" t="inlineStr">
        <is>
          <t>Office 2024</t>
        </is>
      </c>
      <c r="J52" s="1" t="inlineStr">
        <is>
          <t>RTX 5060 8GB</t>
        </is>
      </c>
      <c r="K52" s="1" t="inlineStr">
        <is>
          <t>15.1WQXGA_OLED_GL500N_165HDRP3</t>
        </is>
      </c>
      <c r="L52" s="63" t="inlineStr">
        <is>
          <t>LENOVO_BLACK</t>
        </is>
      </c>
      <c r="M52" s="45" t="inlineStr">
        <is>
          <t>1.9kg</t>
        </is>
      </c>
      <c r="N52" s="1" t="inlineStr">
        <is>
          <t>GX41T08941</t>
        </is>
      </c>
      <c r="O52" s="45" t="inlineStr">
        <is>
          <t>1 Year Onsite</t>
        </is>
      </c>
      <c r="P52" s="63" t="inlineStr">
        <is>
          <t>1 year LUS</t>
        </is>
      </c>
      <c r="Q52" s="45" t="inlineStr">
        <is>
          <t>1 Year ADP</t>
        </is>
      </c>
      <c r="R52" s="45" t="inlineStr">
        <is>
          <t>24 Zone RGB</t>
        </is>
      </c>
      <c r="S52" s="4" t="n"/>
      <c r="T52" s="53">
        <f>IF(W52&lt;45000,"Entry",IF(W52&gt;72000,"Premium","Mainstream"))</f>
        <v/>
      </c>
      <c r="U52" s="73" t="n">
        <v>169969.996429284</v>
      </c>
      <c r="V52" s="73" t="n"/>
      <c r="W52" s="73">
        <f>U52-V52</f>
        <v/>
      </c>
      <c r="X52" t="n">
        <v>170819.85</v>
      </c>
    </row>
    <row r="53">
      <c r="B53" s="45" t="inlineStr">
        <is>
          <t>Legion 5 Pro</t>
        </is>
      </c>
      <c r="C53" s="45" t="inlineStr">
        <is>
          <t>Gaming</t>
        </is>
      </c>
      <c r="D53" s="45" t="inlineStr">
        <is>
          <t>82WM00FEIN</t>
        </is>
      </c>
      <c r="E53" s="45" t="inlineStr">
        <is>
          <t>R9 7945HX</t>
        </is>
      </c>
      <c r="F53" s="45" t="n"/>
      <c r="G53" s="45" t="inlineStr">
        <is>
          <t>16GB, 1TB SSD</t>
        </is>
      </c>
      <c r="H53" s="45" t="inlineStr">
        <is>
          <t>Windows 11</t>
        </is>
      </c>
      <c r="I53" s="45" t="inlineStr">
        <is>
          <t>Office 2021</t>
        </is>
      </c>
      <c r="J53" s="45" t="inlineStr">
        <is>
          <t>RTX 4060 8GB</t>
        </is>
      </c>
      <c r="K53" s="63" t="inlineStr">
        <is>
          <t>16_WQXGA_AG_500N_240_P3</t>
        </is>
      </c>
      <c r="L53" s="63" t="inlineStr">
        <is>
          <t>ONYX_GREY</t>
        </is>
      </c>
      <c r="M53" s="45" t="inlineStr">
        <is>
          <t>2.5Kg</t>
        </is>
      </c>
      <c r="N53" s="45" t="inlineStr">
        <is>
          <t>GX41C86982</t>
        </is>
      </c>
      <c r="O53" s="45" t="inlineStr">
        <is>
          <t>1 Year Onsite</t>
        </is>
      </c>
      <c r="P53" s="63" t="inlineStr">
        <is>
          <t>1 Year LUS</t>
        </is>
      </c>
      <c r="Q53" s="45" t="inlineStr">
        <is>
          <t>1 Year ADP</t>
        </is>
      </c>
      <c r="R53" s="45" t="inlineStr">
        <is>
          <t>4 Zone RGB</t>
        </is>
      </c>
      <c r="S53" s="45" t="inlineStr">
        <is>
          <t>-</t>
        </is>
      </c>
      <c r="T53" s="53">
        <f>IF(W53&lt;45000,"Entry",IF(W53&gt;72000,"Premium","Mainstream"))</f>
        <v/>
      </c>
      <c r="U53" s="73" t="n">
        <v>171344.7765037685</v>
      </c>
      <c r="V53" s="73" t="n">
        <v>19999.82</v>
      </c>
      <c r="W53" s="73">
        <f>U53-V53</f>
        <v/>
      </c>
      <c r="X53" t="n">
        <v>152101.68</v>
      </c>
    </row>
    <row r="54">
      <c r="B54" s="45" t="inlineStr">
        <is>
          <t>Legion 5 Pro</t>
        </is>
      </c>
      <c r="C54" s="45" t="inlineStr">
        <is>
          <t>Gaming</t>
        </is>
      </c>
      <c r="D54" s="45" t="inlineStr">
        <is>
          <t>82WM00FFIN</t>
        </is>
      </c>
      <c r="E54" s="45" t="inlineStr">
        <is>
          <t>R9 7945HX</t>
        </is>
      </c>
      <c r="F54" s="45" t="n"/>
      <c r="G54" s="45" t="inlineStr">
        <is>
          <t>32GB, 1TB SSD</t>
        </is>
      </c>
      <c r="H54" s="45" t="inlineStr">
        <is>
          <t>Windows 11</t>
        </is>
      </c>
      <c r="I54" s="45" t="inlineStr">
        <is>
          <t>Office 2021</t>
        </is>
      </c>
      <c r="J54" s="45" t="inlineStr">
        <is>
          <t>RTX 4070 8GB</t>
        </is>
      </c>
      <c r="K54" s="63" t="inlineStr">
        <is>
          <t>16_WQXGA_AG_500N_240_P3</t>
        </is>
      </c>
      <c r="L54" s="63" t="inlineStr">
        <is>
          <t>ONYX_GREY</t>
        </is>
      </c>
      <c r="M54" s="45" t="inlineStr">
        <is>
          <t>2.5Kg</t>
        </is>
      </c>
      <c r="N54" s="45" t="inlineStr">
        <is>
          <t>GX41C86982</t>
        </is>
      </c>
      <c r="O54" s="45" t="inlineStr">
        <is>
          <t>1 Year Onsite</t>
        </is>
      </c>
      <c r="P54" s="63" t="inlineStr">
        <is>
          <t>1 Year LUS</t>
        </is>
      </c>
      <c r="Q54" s="45" t="inlineStr">
        <is>
          <t>1 Year ADP</t>
        </is>
      </c>
      <c r="R54" s="45" t="inlineStr">
        <is>
          <t>4 Zone RGB</t>
        </is>
      </c>
      <c r="S54" s="45" t="inlineStr">
        <is>
          <t>-</t>
        </is>
      </c>
      <c r="T54" s="53">
        <f>IF(W54&lt;45000,"Entry",IF(W54&gt;72000,"Premium","Mainstream"))</f>
        <v/>
      </c>
      <c r="U54" s="73" t="n">
        <v>193236.1003482599</v>
      </c>
      <c r="V54" s="73" t="n"/>
      <c r="W54" s="73">
        <f>U54-V54</f>
        <v/>
      </c>
      <c r="X54" t="n">
        <v>194202.28</v>
      </c>
    </row>
    <row r="55">
      <c r="B55" s="45" t="inlineStr">
        <is>
          <t>Legion 5 Pro</t>
        </is>
      </c>
      <c r="C55" s="45" t="inlineStr">
        <is>
          <t>Gaming</t>
        </is>
      </c>
      <c r="D55" s="45" t="inlineStr">
        <is>
          <t>83DF00JBIN</t>
        </is>
      </c>
      <c r="E55" s="45" t="inlineStr">
        <is>
          <t>i7 14650HX</t>
        </is>
      </c>
      <c r="F55" s="45" t="n"/>
      <c r="G55" s="45" t="inlineStr">
        <is>
          <t>16GB, 1TB SSD</t>
        </is>
      </c>
      <c r="H55" s="45" t="inlineStr">
        <is>
          <t>Windows 11</t>
        </is>
      </c>
      <c r="I55" s="45" t="inlineStr">
        <is>
          <t>Office 2024</t>
        </is>
      </c>
      <c r="J55" s="45" t="inlineStr">
        <is>
          <t>RTX 4060 8GB</t>
        </is>
      </c>
      <c r="K55" s="63" t="inlineStr">
        <is>
          <t>16_WQXGA_AG_500N_240_HDR_P3</t>
        </is>
      </c>
      <c r="L55" s="63" t="inlineStr">
        <is>
          <t>ONYX_GREY</t>
        </is>
      </c>
      <c r="M55" s="45" t="n"/>
      <c r="N55" s="45" t="inlineStr">
        <is>
          <t>GX41C86982</t>
        </is>
      </c>
      <c r="O55" s="45" t="inlineStr">
        <is>
          <t>1 year onsite</t>
        </is>
      </c>
      <c r="P55" s="63" t="inlineStr">
        <is>
          <t>1 Year LUS</t>
        </is>
      </c>
      <c r="Q55" s="45" t="inlineStr">
        <is>
          <t>1 Year ADP</t>
        </is>
      </c>
      <c r="R55" s="45" t="inlineStr">
        <is>
          <t>4 Zone RGB</t>
        </is>
      </c>
      <c r="S55" s="45" t="n"/>
      <c r="T55" s="53">
        <f>IF(W55&lt;45000,"Entry",IF(W55&gt;72000,"Premium","Mainstream"))</f>
        <v/>
      </c>
      <c r="U55" s="73" t="n">
        <v>153345.5549082374</v>
      </c>
      <c r="V55" s="73" t="n"/>
      <c r="W55" s="73">
        <f>U55-V55</f>
        <v/>
      </c>
      <c r="X55" t="n">
        <v>154112.28</v>
      </c>
    </row>
    <row r="56">
      <c r="B56" s="45" t="inlineStr">
        <is>
          <t>Legion 7i</t>
        </is>
      </c>
      <c r="C56" s="45" t="inlineStr">
        <is>
          <t>Gaming</t>
        </is>
      </c>
      <c r="D56" s="45" t="inlineStr">
        <is>
          <t>83FD000XIN</t>
        </is>
      </c>
      <c r="E56" s="45" t="inlineStr">
        <is>
          <t>i9 14900HX</t>
        </is>
      </c>
      <c r="F56" s="45" t="n"/>
      <c r="G56" s="45" t="inlineStr">
        <is>
          <t>32GB, 1TB SSD</t>
        </is>
      </c>
      <c r="H56" s="45" t="inlineStr">
        <is>
          <t>WINDOWS 11 HOME 64 SL</t>
        </is>
      </c>
      <c r="I56" s="45" t="inlineStr">
        <is>
          <t xml:space="preserve">OFFICE H&amp;S 2021  </t>
        </is>
      </c>
      <c r="J56" s="45" t="inlineStr">
        <is>
          <t>RTX 4070 8GB</t>
        </is>
      </c>
      <c r="K56" s="63" t="inlineStr">
        <is>
          <t>16_3.2K_AG_430N_165_P3</t>
        </is>
      </c>
      <c r="L56" s="63" t="inlineStr">
        <is>
          <t>ECLIPSE_BLACK</t>
        </is>
      </c>
      <c r="M56" s="45" t="inlineStr">
        <is>
          <t>2.24Kg</t>
        </is>
      </c>
      <c r="N56" s="45" t="inlineStr">
        <is>
          <t>GX41C86982</t>
        </is>
      </c>
      <c r="O56" s="45" t="inlineStr">
        <is>
          <t>1 Year Onsite</t>
        </is>
      </c>
      <c r="P56" s="63" t="inlineStr">
        <is>
          <t>1 year LUS</t>
        </is>
      </c>
      <c r="Q56" s="45" t="inlineStr">
        <is>
          <t>1 Year ADP</t>
        </is>
      </c>
      <c r="R56" s="45" t="inlineStr">
        <is>
          <t>Per Key RGB</t>
        </is>
      </c>
      <c r="S56" s="45" t="inlineStr">
        <is>
          <t>-</t>
        </is>
      </c>
      <c r="T56" s="53">
        <f>IF(W56&lt;45000,"Entry",IF(W56&gt;72000,"Premium","Mainstream"))</f>
        <v/>
      </c>
      <c r="U56" s="73" t="n">
        <v>203938.5253389002</v>
      </c>
      <c r="V56" s="73" t="n"/>
      <c r="W56" s="73">
        <f>U56-V56</f>
        <v/>
      </c>
      <c r="X56" t="n">
        <v>204958.22</v>
      </c>
    </row>
    <row r="57">
      <c r="B57" s="45" t="inlineStr">
        <is>
          <t>Legion 7i</t>
        </is>
      </c>
      <c r="C57" s="45" t="inlineStr">
        <is>
          <t>Gaming</t>
        </is>
      </c>
      <c r="D57" s="45" t="inlineStr">
        <is>
          <t>83FD000YIN</t>
        </is>
      </c>
      <c r="E57" s="45" t="inlineStr">
        <is>
          <t>i9 14900HX</t>
        </is>
      </c>
      <c r="F57" s="45" t="n"/>
      <c r="G57" s="45" t="inlineStr">
        <is>
          <t>16GB, 1TB SSD</t>
        </is>
      </c>
      <c r="H57" s="45" t="inlineStr">
        <is>
          <t>WINDOWS 11 HOME 64 SL</t>
        </is>
      </c>
      <c r="I57" s="45" t="inlineStr">
        <is>
          <t xml:space="preserve">OFFICE H&amp;S 2021  </t>
        </is>
      </c>
      <c r="J57" s="45" t="inlineStr">
        <is>
          <t>RTX 4060 8GB</t>
        </is>
      </c>
      <c r="K57" s="63" t="inlineStr">
        <is>
          <t>16_3.2K_AG_430N_165_P3</t>
        </is>
      </c>
      <c r="L57" s="63" t="inlineStr">
        <is>
          <t>ECLIPSE_BLACK</t>
        </is>
      </c>
      <c r="M57" s="45" t="inlineStr">
        <is>
          <t>2.24Kg</t>
        </is>
      </c>
      <c r="N57" s="45" t="inlineStr">
        <is>
          <t>GX41C86982</t>
        </is>
      </c>
      <c r="O57" s="45" t="inlineStr">
        <is>
          <t>1 Year Onsite</t>
        </is>
      </c>
      <c r="P57" s="63" t="inlineStr">
        <is>
          <t>1 year LUS</t>
        </is>
      </c>
      <c r="Q57" s="45" t="inlineStr">
        <is>
          <t>1 Year ADP</t>
        </is>
      </c>
      <c r="R57" s="45" t="inlineStr">
        <is>
          <t>Per Key RGB</t>
        </is>
      </c>
      <c r="S57" s="45" t="inlineStr">
        <is>
          <t>-</t>
        </is>
      </c>
      <c r="T57" s="53">
        <f>IF(W57&lt;45000,"Entry",IF(W57&gt;72000,"Premium","Mainstream"))</f>
        <v/>
      </c>
      <c r="U57" s="73" t="n">
        <v>172317.5296406451</v>
      </c>
      <c r="V57" s="73" t="n"/>
      <c r="W57" s="73">
        <f>U57-V57</f>
        <v/>
      </c>
      <c r="X57" t="n">
        <v>198890</v>
      </c>
    </row>
    <row r="58">
      <c r="B58" s="45" t="inlineStr">
        <is>
          <t>Legion 7i</t>
        </is>
      </c>
      <c r="C58" s="45" t="inlineStr">
        <is>
          <t>Gaming</t>
        </is>
      </c>
      <c r="D58" s="45" t="inlineStr">
        <is>
          <t>83FD0010IN</t>
        </is>
      </c>
      <c r="E58" s="45" t="inlineStr">
        <is>
          <t>i7 14700HX</t>
        </is>
      </c>
      <c r="F58" s="45" t="n"/>
      <c r="G58" s="45" t="inlineStr">
        <is>
          <t>32GB, 1TB SSD</t>
        </is>
      </c>
      <c r="H58" s="45" t="inlineStr">
        <is>
          <t>WINDOWS 11 HOME 64 SL</t>
        </is>
      </c>
      <c r="I58" s="45" t="inlineStr">
        <is>
          <t xml:space="preserve">OFFICE H&amp;S 2021  </t>
        </is>
      </c>
      <c r="J58" s="45" t="inlineStr">
        <is>
          <t>RTX 4070 8GB</t>
        </is>
      </c>
      <c r="K58" s="63" t="inlineStr">
        <is>
          <t>16_3.2K_AG_430N_165_P3</t>
        </is>
      </c>
      <c r="L58" s="63" t="inlineStr">
        <is>
          <t>ECLIPSE_BLACK</t>
        </is>
      </c>
      <c r="M58" s="45" t="inlineStr">
        <is>
          <t>2.24Kg</t>
        </is>
      </c>
      <c r="N58" s="45" t="inlineStr">
        <is>
          <t>GX41C86982</t>
        </is>
      </c>
      <c r="O58" s="45" t="inlineStr">
        <is>
          <t>1 Year Onsite</t>
        </is>
      </c>
      <c r="P58" s="63" t="inlineStr">
        <is>
          <t>1 year LUS</t>
        </is>
      </c>
      <c r="Q58" s="45" t="inlineStr">
        <is>
          <t>1 Year ADP</t>
        </is>
      </c>
      <c r="R58" s="45" t="inlineStr">
        <is>
          <t>Per Key RGB</t>
        </is>
      </c>
      <c r="S58" s="45" t="inlineStr">
        <is>
          <t>-</t>
        </is>
      </c>
      <c r="T58" s="53">
        <f>IF(W58&lt;45000,"Entry",IF(W58&gt;72000,"Premium","Mainstream"))</f>
        <v/>
      </c>
      <c r="U58" s="73" t="n">
        <v>194209.0869925908</v>
      </c>
      <c r="V58" s="73" t="n">
        <v>19499.5</v>
      </c>
      <c r="W58" s="73">
        <f>U58-V58</f>
        <v/>
      </c>
      <c r="X58" t="n">
        <v>175583.13</v>
      </c>
    </row>
    <row r="59">
      <c r="B59" s="45" t="inlineStr">
        <is>
          <t>Legion GO</t>
        </is>
      </c>
      <c r="C59" s="45" t="inlineStr">
        <is>
          <t>Gaming</t>
        </is>
      </c>
      <c r="D59" s="45" t="inlineStr">
        <is>
          <t>83E1004MIN</t>
        </is>
      </c>
      <c r="E59" s="45" t="inlineStr">
        <is>
          <t>Z1 Extreme</t>
        </is>
      </c>
      <c r="F59" s="45" t="n"/>
      <c r="G59" s="45" t="inlineStr">
        <is>
          <t>16GB,512GB SSD</t>
        </is>
      </c>
      <c r="H59" s="45" t="inlineStr">
        <is>
          <t>WINDOWS 11 HOME 64 SL</t>
        </is>
      </c>
      <c r="I59" s="45" t="inlineStr">
        <is>
          <t>OFFICE TRIAL</t>
        </is>
      </c>
      <c r="J59" s="45" t="inlineStr">
        <is>
          <t>Integrated AMD Radeon™ Graphics</t>
        </is>
      </c>
      <c r="K59" s="63" t="inlineStr">
        <is>
          <t>8.8_WQXGA_500N_144_ 97% DCI-P3</t>
        </is>
      </c>
      <c r="L59" s="63" t="inlineStr">
        <is>
          <t>Shadow Black</t>
        </is>
      </c>
      <c r="M59" s="45" t="inlineStr">
        <is>
          <t>0.854 Kg</t>
        </is>
      </c>
      <c r="N59" s="45" t="inlineStr">
        <is>
          <t>-</t>
        </is>
      </c>
      <c r="O59" s="45" t="inlineStr">
        <is>
          <t>1 Year Onsite</t>
        </is>
      </c>
      <c r="P59" s="63" t="n"/>
      <c r="Q59" s="45" t="inlineStr">
        <is>
          <t>1 Year ADP</t>
        </is>
      </c>
      <c r="R59" s="45" t="inlineStr">
        <is>
          <t>NA</t>
        </is>
      </c>
      <c r="S59" s="45" t="inlineStr">
        <is>
          <t>-</t>
        </is>
      </c>
      <c r="T59" s="53">
        <f>IF(W59&lt;45000,"Entry",IF(W59&gt;72000,"Premium","Mainstream"))</f>
        <v/>
      </c>
      <c r="U59" s="73" t="n">
        <v>64464.18130070138</v>
      </c>
      <c r="V59" s="73" t="n"/>
      <c r="W59" s="73">
        <f>U59-V59</f>
        <v/>
      </c>
      <c r="X59" t="n">
        <v>73890</v>
      </c>
    </row>
    <row r="60">
      <c r="B60" s="45" t="inlineStr">
        <is>
          <t>Legion Pro5</t>
        </is>
      </c>
      <c r="C60" s="45" t="inlineStr">
        <is>
          <t>Gaming</t>
        </is>
      </c>
      <c r="D60" s="45" t="inlineStr">
        <is>
          <t>83DF003NIN</t>
        </is>
      </c>
      <c r="E60" s="45" t="inlineStr">
        <is>
          <t>i7 14650HX</t>
        </is>
      </c>
      <c r="F60" s="45" t="n"/>
      <c r="G60" s="45" t="inlineStr">
        <is>
          <t>16GB, 1TB SSD</t>
        </is>
      </c>
      <c r="H60" s="45" t="inlineStr">
        <is>
          <t>WINDOWS 11 HOME 64 SL</t>
        </is>
      </c>
      <c r="I60" s="45" t="inlineStr">
        <is>
          <t xml:space="preserve">OFFICE H&amp;S 2021  </t>
        </is>
      </c>
      <c r="J60" s="45" t="inlineStr">
        <is>
          <t>RTX 4060 8GB</t>
        </is>
      </c>
      <c r="K60" s="63" t="inlineStr">
        <is>
          <t>16_WQXGA_AG_500N_240_HDR_P3</t>
        </is>
      </c>
      <c r="L60" s="63" t="inlineStr">
        <is>
          <t>ONYX_GREY</t>
        </is>
      </c>
      <c r="M60" s="45" t="inlineStr">
        <is>
          <t>2.5kg</t>
        </is>
      </c>
      <c r="N60" s="45" t="inlineStr">
        <is>
          <t>GX41C86982</t>
        </is>
      </c>
      <c r="O60" s="45" t="inlineStr">
        <is>
          <t>1 Year Onsite</t>
        </is>
      </c>
      <c r="P60" s="63" t="inlineStr">
        <is>
          <t>1 year LUS</t>
        </is>
      </c>
      <c r="Q60" s="45" t="inlineStr">
        <is>
          <t>1 Year ADP</t>
        </is>
      </c>
      <c r="R60" s="45" t="inlineStr">
        <is>
          <t>4 Zone RGB</t>
        </is>
      </c>
      <c r="S60" s="45" t="inlineStr">
        <is>
          <t>-</t>
        </is>
      </c>
      <c r="T60" s="53">
        <f>IF(W60&lt;45000,"Entry",IF(W60&gt;72000,"Premium","Mainstream"))</f>
        <v/>
      </c>
      <c r="U60" s="73" t="n">
        <v>152858.750242799</v>
      </c>
      <c r="V60" s="73" t="n"/>
      <c r="W60" s="73">
        <f>U60-V60</f>
        <v/>
      </c>
      <c r="X60" t="n">
        <v>265790</v>
      </c>
    </row>
    <row r="61">
      <c r="B61" s="45" t="inlineStr">
        <is>
          <t>Legion Pro5</t>
        </is>
      </c>
      <c r="C61" s="45" t="inlineStr">
        <is>
          <t>Gaming</t>
        </is>
      </c>
      <c r="D61" s="45" t="inlineStr">
        <is>
          <t>83DF003PIN</t>
        </is>
      </c>
      <c r="E61" s="45" t="inlineStr">
        <is>
          <t>i9 14900HX</t>
        </is>
      </c>
      <c r="F61" s="45" t="n"/>
      <c r="G61" s="45" t="inlineStr">
        <is>
          <t>32GB, 1TB SSD</t>
        </is>
      </c>
      <c r="H61" s="45" t="inlineStr">
        <is>
          <t>WINDOWS 11 HOME 64 SL</t>
        </is>
      </c>
      <c r="I61" s="45" t="inlineStr">
        <is>
          <t xml:space="preserve">OFFICE H&amp;S 2021  </t>
        </is>
      </c>
      <c r="J61" s="45" t="inlineStr">
        <is>
          <t>RTX 4070 8GB</t>
        </is>
      </c>
      <c r="K61" s="63" t="inlineStr">
        <is>
          <t>16_WQXGA_AG_500N_240_HDR_P3</t>
        </is>
      </c>
      <c r="L61" s="63" t="inlineStr">
        <is>
          <t>ONYX_GREY</t>
        </is>
      </c>
      <c r="M61" s="45" t="inlineStr">
        <is>
          <t>2.5kg</t>
        </is>
      </c>
      <c r="N61" s="45" t="inlineStr">
        <is>
          <t>GX41C86982</t>
        </is>
      </c>
      <c r="O61" s="45" t="inlineStr">
        <is>
          <t>1 Year Onsite</t>
        </is>
      </c>
      <c r="P61" s="63" t="inlineStr">
        <is>
          <t>1 year LUS</t>
        </is>
      </c>
      <c r="Q61" s="45" t="inlineStr">
        <is>
          <t>1 Year ADP</t>
        </is>
      </c>
      <c r="R61" s="45" t="inlineStr">
        <is>
          <t>4 Zone RGB</t>
        </is>
      </c>
      <c r="S61" s="45" t="inlineStr">
        <is>
          <t>-</t>
        </is>
      </c>
      <c r="T61" s="53">
        <f>IF(W61&lt;45000,"Entry",IF(W61&gt;72000,"Premium","Mainstream"))</f>
        <v/>
      </c>
      <c r="U61" s="73" t="n">
        <v>194209.0869925908</v>
      </c>
      <c r="V61" s="73" t="n"/>
      <c r="W61" s="73">
        <f>U61-V61</f>
        <v/>
      </c>
      <c r="X61" t="n">
        <v>195180.13</v>
      </c>
    </row>
    <row r="62">
      <c r="B62" s="1" t="inlineStr">
        <is>
          <t>Legion Pro5</t>
        </is>
      </c>
      <c r="C62" s="1" t="inlineStr">
        <is>
          <t>Gaming</t>
        </is>
      </c>
      <c r="D62" s="1" t="inlineStr">
        <is>
          <t>83F3007CIN</t>
        </is>
      </c>
      <c r="E62" s="1" t="inlineStr">
        <is>
          <t>U7 255HX</t>
        </is>
      </c>
      <c r="F62" s="1" t="n"/>
      <c r="G62" s="45" t="inlineStr">
        <is>
          <t>32GB, 1TB SSD</t>
        </is>
      </c>
      <c r="H62" s="1" t="inlineStr">
        <is>
          <t>Legion Pro5 16IAX10</t>
        </is>
      </c>
      <c r="I62" s="45" t="inlineStr">
        <is>
          <t>Office 2024</t>
        </is>
      </c>
      <c r="J62" s="1" t="inlineStr">
        <is>
          <t>RTX 5060 8GB</t>
        </is>
      </c>
      <c r="K62" s="1" t="inlineStr">
        <is>
          <t>16_WQXGA_OLED_GL500N_165_HDRP3</t>
        </is>
      </c>
      <c r="L62" s="63" t="inlineStr">
        <is>
          <t>LENOVO_BLACK</t>
        </is>
      </c>
      <c r="M62" s="45" t="inlineStr">
        <is>
          <t>2.43kg</t>
        </is>
      </c>
      <c r="N62" s="1" t="inlineStr">
        <is>
          <t>GX41T08941</t>
        </is>
      </c>
      <c r="O62" s="45" t="inlineStr">
        <is>
          <t>1 Year Onsite</t>
        </is>
      </c>
      <c r="P62" s="63" t="inlineStr">
        <is>
          <t>1 year LUS</t>
        </is>
      </c>
      <c r="Q62" s="45" t="inlineStr">
        <is>
          <t>1 Year ADP</t>
        </is>
      </c>
      <c r="R62" s="45" t="inlineStr">
        <is>
          <t>24 Zone RGB</t>
        </is>
      </c>
      <c r="S62" s="4" t="n"/>
      <c r="T62" s="53">
        <f>IF(W62&lt;45000,"Entry",IF(W62&gt;72000,"Premium","Mainstream"))</f>
        <v/>
      </c>
      <c r="U62" s="73" t="n">
        <v>186855.5216955173</v>
      </c>
      <c r="V62" s="73" t="n"/>
      <c r="W62" s="73">
        <f>U62-V62</f>
        <v/>
      </c>
      <c r="X62" t="n">
        <v>265790</v>
      </c>
    </row>
    <row r="63">
      <c r="B63" s="1" t="inlineStr">
        <is>
          <t>Legion Pro5</t>
        </is>
      </c>
      <c r="C63" s="1" t="inlineStr">
        <is>
          <t>Gaming</t>
        </is>
      </c>
      <c r="D63" s="1" t="inlineStr">
        <is>
          <t>83F20037IN</t>
        </is>
      </c>
      <c r="E63" s="1" t="inlineStr">
        <is>
          <t>R9 9955HX</t>
        </is>
      </c>
      <c r="F63" s="1" t="n"/>
      <c r="G63" s="45" t="inlineStr">
        <is>
          <t>32GB, 1TB SSD</t>
        </is>
      </c>
      <c r="H63" s="1" t="inlineStr">
        <is>
          <t>Legion Pro5 16AFR10</t>
        </is>
      </c>
      <c r="I63" s="45" t="inlineStr">
        <is>
          <t>Office 2024</t>
        </is>
      </c>
      <c r="J63" s="1" t="inlineStr">
        <is>
          <t>RTX 5060 8GB</t>
        </is>
      </c>
      <c r="K63" s="1" t="inlineStr">
        <is>
          <t>16_WQXGA_OLED_GL500N_165_HDRP3</t>
        </is>
      </c>
      <c r="L63" s="63" t="inlineStr">
        <is>
          <t>LENOVO_BLACK</t>
        </is>
      </c>
      <c r="M63" s="45" t="inlineStr">
        <is>
          <t>2.43kg</t>
        </is>
      </c>
      <c r="N63" s="1" t="inlineStr">
        <is>
          <t>GX41T08941</t>
        </is>
      </c>
      <c r="O63" s="45" t="inlineStr">
        <is>
          <t>1 Year Onsite</t>
        </is>
      </c>
      <c r="P63" s="63" t="inlineStr">
        <is>
          <t>1 year LUS</t>
        </is>
      </c>
      <c r="Q63" s="45" t="inlineStr">
        <is>
          <t>1 Year ADP</t>
        </is>
      </c>
      <c r="R63" s="45" t="inlineStr">
        <is>
          <t>24 Zone RGB</t>
        </is>
      </c>
      <c r="S63" s="4" t="n"/>
      <c r="T63" s="53">
        <f>IF(W63&lt;45000,"Entry",IF(W63&gt;72000,"Premium","Mainstream"))</f>
        <v/>
      </c>
      <c r="U63" s="73" t="n">
        <v>189430.9542955173</v>
      </c>
      <c r="V63" s="73" t="n"/>
      <c r="W63" s="73">
        <f>U63-V63</f>
        <v/>
      </c>
      <c r="X63" t="n">
        <v>194890</v>
      </c>
    </row>
    <row r="64">
      <c r="B64" s="1" t="inlineStr">
        <is>
          <t>Legion Pro5</t>
        </is>
      </c>
      <c r="C64" s="1" t="inlineStr">
        <is>
          <t>Gaming</t>
        </is>
      </c>
      <c r="D64" s="1" t="inlineStr">
        <is>
          <t>83F20036IN</t>
        </is>
      </c>
      <c r="E64" s="1" t="inlineStr">
        <is>
          <t>R9 9955HX</t>
        </is>
      </c>
      <c r="F64" s="1" t="n"/>
      <c r="G64" s="45" t="inlineStr">
        <is>
          <t>32GB, 1TB SSD</t>
        </is>
      </c>
      <c r="H64" s="1" t="inlineStr">
        <is>
          <t>Legion Pro5 16AFR10</t>
        </is>
      </c>
      <c r="I64" s="45" t="inlineStr">
        <is>
          <t>Office 2024</t>
        </is>
      </c>
      <c r="J64" s="1" t="inlineStr">
        <is>
          <t>RTX 5070 8GB</t>
        </is>
      </c>
      <c r="K64" s="1" t="inlineStr">
        <is>
          <t>16_WQXGA_OLED_GL500N_165_HDRP3</t>
        </is>
      </c>
      <c r="L64" s="63" t="inlineStr">
        <is>
          <t>LENOVO_BLACK</t>
        </is>
      </c>
      <c r="M64" s="45" t="inlineStr">
        <is>
          <t>2.43kg</t>
        </is>
      </c>
      <c r="N64" s="1" t="inlineStr">
        <is>
          <t>GX41T08941</t>
        </is>
      </c>
      <c r="O64" s="45" t="inlineStr">
        <is>
          <t>1 Year Onsite</t>
        </is>
      </c>
      <c r="P64" s="63" t="inlineStr">
        <is>
          <t>1 year LUS</t>
        </is>
      </c>
      <c r="Q64" s="45" t="inlineStr">
        <is>
          <t>1 Year ADP</t>
        </is>
      </c>
      <c r="R64" s="45" t="inlineStr">
        <is>
          <t>24 Zone RGB</t>
        </is>
      </c>
      <c r="S64" s="4" t="n"/>
      <c r="T64" s="53">
        <f>IF(W64&lt;45000,"Entry",IF(W64&gt;72000,"Premium","Mainstream"))</f>
        <v/>
      </c>
      <c r="U64" s="73" t="n">
        <v>208889.9088239541</v>
      </c>
      <c r="V64" s="73" t="n"/>
      <c r="W64" s="73">
        <f>U64-V64</f>
        <v/>
      </c>
      <c r="X64" t="n">
        <v>209934.36</v>
      </c>
    </row>
    <row r="65">
      <c r="B65" s="1" t="inlineStr">
        <is>
          <t>Legion Pro5</t>
        </is>
      </c>
      <c r="C65" s="1" t="inlineStr">
        <is>
          <t>Gaming</t>
        </is>
      </c>
      <c r="D65" s="1" t="inlineStr">
        <is>
          <t>83F3007BIN</t>
        </is>
      </c>
      <c r="E65" s="1" t="inlineStr">
        <is>
          <t>U9 275HX</t>
        </is>
      </c>
      <c r="F65" s="1" t="n"/>
      <c r="G65" s="45" t="inlineStr">
        <is>
          <t>32GB, 1TB SSD</t>
        </is>
      </c>
      <c r="H65" s="1" t="inlineStr">
        <is>
          <t>Legion Pro5 16IAX10</t>
        </is>
      </c>
      <c r="I65" s="45" t="inlineStr">
        <is>
          <t>Office 2024</t>
        </is>
      </c>
      <c r="J65" s="1" t="inlineStr">
        <is>
          <t>RTX 5070 8GB</t>
        </is>
      </c>
      <c r="K65" s="1" t="inlineStr">
        <is>
          <t>16_WQXGA_OLED_GL500N_165_HDRP3</t>
        </is>
      </c>
      <c r="L65" s="63" t="inlineStr">
        <is>
          <t>LENOVO_BLACK</t>
        </is>
      </c>
      <c r="M65" s="45" t="inlineStr">
        <is>
          <t>2.43kg</t>
        </is>
      </c>
      <c r="N65" s="1" t="inlineStr">
        <is>
          <t>GX41T08941</t>
        </is>
      </c>
      <c r="O65" s="45" t="inlineStr">
        <is>
          <t>1 Year Onsite</t>
        </is>
      </c>
      <c r="P65" s="63" t="inlineStr">
        <is>
          <t>1 year LUS</t>
        </is>
      </c>
      <c r="Q65" s="45" t="inlineStr">
        <is>
          <t>1 Year ADP</t>
        </is>
      </c>
      <c r="R65" s="45" t="inlineStr">
        <is>
          <t>24 Zone RGB</t>
        </is>
      </c>
      <c r="S65" s="4" t="n"/>
      <c r="T65" s="53">
        <f>IF(W65&lt;45000,"Entry",IF(W65&gt;72000,"Premium","Mainstream"))</f>
        <v/>
      </c>
      <c r="U65" s="73" t="n">
        <v>208889.9088239541</v>
      </c>
      <c r="V65" s="73" t="n"/>
      <c r="W65" s="73">
        <f>U65-V65</f>
        <v/>
      </c>
      <c r="X65" t="n">
        <v>209934.36</v>
      </c>
    </row>
    <row r="66">
      <c r="B66" s="45" t="inlineStr">
        <is>
          <t>Legion Pro7</t>
        </is>
      </c>
      <c r="C66" s="45" t="inlineStr">
        <is>
          <t>Gaming</t>
        </is>
      </c>
      <c r="D66" s="45" t="inlineStr">
        <is>
          <t>83DE001HIN</t>
        </is>
      </c>
      <c r="E66" s="45" t="inlineStr">
        <is>
          <t>i9 14900HX</t>
        </is>
      </c>
      <c r="F66" s="45" t="n"/>
      <c r="G66" s="45" t="inlineStr">
        <is>
          <t>32GB, 1TB SSD</t>
        </is>
      </c>
      <c r="H66" s="45" t="inlineStr">
        <is>
          <t>WINDOWS 11 HOME 64 SL</t>
        </is>
      </c>
      <c r="I66" s="45" t="inlineStr">
        <is>
          <t xml:space="preserve">OFFICE H&amp;S 2021  </t>
        </is>
      </c>
      <c r="J66" s="45" t="inlineStr">
        <is>
          <t>RTX 4080 12GB</t>
        </is>
      </c>
      <c r="K66" s="63" t="inlineStr">
        <is>
          <t>16_WQXGA_AG_500N_240_HDR_P3</t>
        </is>
      </c>
      <c r="L66" s="63" t="inlineStr">
        <is>
          <t>LENOVO_BLACK</t>
        </is>
      </c>
      <c r="M66" s="45" t="inlineStr">
        <is>
          <t>2.62Kg</t>
        </is>
      </c>
      <c r="N66" s="45" t="inlineStr">
        <is>
          <t>GX41C86982</t>
        </is>
      </c>
      <c r="O66" s="45" t="inlineStr">
        <is>
          <t>1 Year Onsite</t>
        </is>
      </c>
      <c r="P66" s="63" t="inlineStr">
        <is>
          <t>1 year LUS</t>
        </is>
      </c>
      <c r="Q66" s="45" t="inlineStr">
        <is>
          <t>1 Year ADP</t>
        </is>
      </c>
      <c r="R66" s="45" t="inlineStr">
        <is>
          <t>Per Key RGB</t>
        </is>
      </c>
      <c r="S66" s="45" t="inlineStr">
        <is>
          <t>-</t>
        </is>
      </c>
      <c r="T66" s="53">
        <f>IF(W66&lt;45000,"Entry",IF(W66&gt;72000,"Premium","Mainstream"))</f>
        <v/>
      </c>
      <c r="U66" s="73" t="n">
        <v>280292.6694878665</v>
      </c>
      <c r="V66" s="73" t="n">
        <v>19999.82</v>
      </c>
      <c r="W66" s="73">
        <f>U66-V66</f>
        <v/>
      </c>
      <c r="X66" t="n">
        <v>261594.31</v>
      </c>
    </row>
    <row r="67">
      <c r="B67" s="45" t="inlineStr">
        <is>
          <t>Legion Pro7</t>
        </is>
      </c>
      <c r="C67" s="45" t="inlineStr">
        <is>
          <t>Gaming</t>
        </is>
      </c>
      <c r="D67" s="45" t="inlineStr">
        <is>
          <t>83DE001JIN</t>
        </is>
      </c>
      <c r="E67" s="45" t="inlineStr">
        <is>
          <t>i9 14900HX</t>
        </is>
      </c>
      <c r="F67" s="45" t="n"/>
      <c r="G67" s="45" t="inlineStr">
        <is>
          <t>32GB, 1TB SSD</t>
        </is>
      </c>
      <c r="H67" s="45" t="inlineStr">
        <is>
          <t>WINDOWS 11 HOME 64 SL</t>
        </is>
      </c>
      <c r="I67" s="45" t="inlineStr">
        <is>
          <t xml:space="preserve">OFFICE H&amp;S 2021  </t>
        </is>
      </c>
      <c r="J67" s="45" t="inlineStr">
        <is>
          <t>RTX 4090 16GB</t>
        </is>
      </c>
      <c r="K67" s="63" t="inlineStr">
        <is>
          <t>16_WQXGA_AG_500N_240_HDR_P3</t>
        </is>
      </c>
      <c r="L67" s="63" t="inlineStr">
        <is>
          <t>LENOVO_BLACK</t>
        </is>
      </c>
      <c r="M67" s="45" t="inlineStr">
        <is>
          <t>2.62Kg</t>
        </is>
      </c>
      <c r="N67" s="45" t="inlineStr">
        <is>
          <t>GX41C86982</t>
        </is>
      </c>
      <c r="O67" s="45" t="inlineStr">
        <is>
          <t>1 Year Onsite</t>
        </is>
      </c>
      <c r="P67" s="63" t="inlineStr">
        <is>
          <t>1 year LUS</t>
        </is>
      </c>
      <c r="Q67" s="45" t="inlineStr">
        <is>
          <t>1 Year ADP</t>
        </is>
      </c>
      <c r="R67" s="45" t="inlineStr">
        <is>
          <t>Per Key RGB</t>
        </is>
      </c>
      <c r="S67" s="45" t="inlineStr">
        <is>
          <t>-</t>
        </is>
      </c>
      <c r="T67" s="53">
        <f>IF(W67&lt;45000,"Entry",IF(W67&gt;72000,"Premium","Mainstream"))</f>
        <v/>
      </c>
      <c r="U67" s="73" t="n">
        <v>328940.1920216402</v>
      </c>
      <c r="V67" s="73" t="n">
        <v>19999.82</v>
      </c>
      <c r="W67" s="73">
        <f>U67-V67</f>
        <v/>
      </c>
      <c r="X67" t="n">
        <v>310485.07</v>
      </c>
    </row>
    <row r="68">
      <c r="B68" s="45" t="inlineStr">
        <is>
          <t>Legion Pro7</t>
        </is>
      </c>
      <c r="C68" s="45" t="inlineStr">
        <is>
          <t>Gaming</t>
        </is>
      </c>
      <c r="D68" s="45" t="inlineStr">
        <is>
          <t>83F500D7IN</t>
        </is>
      </c>
      <c r="E68" s="45" t="inlineStr">
        <is>
          <t>CORE ULT9 275HX</t>
        </is>
      </c>
      <c r="F68" s="45" t="n"/>
      <c r="G68" s="45" t="inlineStr">
        <is>
          <t>32GB, 1TB SSD</t>
        </is>
      </c>
      <c r="H68" s="45" t="inlineStr">
        <is>
          <t>WINDOWS 11 HOME 64 SL</t>
        </is>
      </c>
      <c r="I68" s="45" t="inlineStr">
        <is>
          <t>Office 2024</t>
        </is>
      </c>
      <c r="J68" s="45" t="inlineStr">
        <is>
          <t>RTX 5070 Ti 12GB</t>
        </is>
      </c>
      <c r="K68" s="63" t="inlineStr">
        <is>
          <t>16_WQXGA_OLED_GL500N_240_HDRP3</t>
        </is>
      </c>
      <c r="L68" s="63" t="inlineStr">
        <is>
          <t>LENOVO_BLACK</t>
        </is>
      </c>
      <c r="M68" s="45" t="inlineStr">
        <is>
          <t>2.57kg</t>
        </is>
      </c>
      <c r="N68" s="45" t="inlineStr">
        <is>
          <t>GX41T08941</t>
        </is>
      </c>
      <c r="O68" s="45" t="inlineStr">
        <is>
          <t>1 Year Onsite</t>
        </is>
      </c>
      <c r="P68" s="63" t="inlineStr">
        <is>
          <t>1 year LUS</t>
        </is>
      </c>
      <c r="Q68" s="45" t="inlineStr">
        <is>
          <t>1 Year ADP</t>
        </is>
      </c>
      <c r="R68" s="45" t="inlineStr">
        <is>
          <t>Per Key RGB</t>
        </is>
      </c>
      <c r="S68" s="45" t="inlineStr">
        <is>
          <t>-</t>
        </is>
      </c>
      <c r="T68" s="53">
        <f>IF(W68&lt;45000,"Entry",IF(W68&gt;72000,"Premium","Mainstream"))</f>
        <v/>
      </c>
      <c r="U68" s="73" t="n">
        <v>252672.5565129369</v>
      </c>
      <c r="V68" s="73" t="n"/>
      <c r="W68" s="73">
        <f>U68-V68</f>
        <v/>
      </c>
      <c r="X68" t="n">
        <v>253935.92</v>
      </c>
    </row>
    <row r="69">
      <c r="B69" s="45" t="inlineStr">
        <is>
          <t>Legion Pro7</t>
        </is>
      </c>
      <c r="C69" s="45" t="inlineStr">
        <is>
          <t>Gaming</t>
        </is>
      </c>
      <c r="D69" s="45" t="inlineStr">
        <is>
          <t>83F500D9IN</t>
        </is>
      </c>
      <c r="E69" s="45" t="inlineStr">
        <is>
          <t>CORE ULT9 275HX</t>
        </is>
      </c>
      <c r="F69" s="45" t="n"/>
      <c r="G69" s="45" t="inlineStr">
        <is>
          <t>32GB, 1TB SSD</t>
        </is>
      </c>
      <c r="H69" s="45" t="inlineStr">
        <is>
          <t>WINDOWS 11 HOME 64 SL</t>
        </is>
      </c>
      <c r="I69" s="45" t="inlineStr">
        <is>
          <t>Office 2024</t>
        </is>
      </c>
      <c r="J69" s="45" t="inlineStr">
        <is>
          <t>RTX 5080 16GB</t>
        </is>
      </c>
      <c r="K69" s="63" t="inlineStr">
        <is>
          <t>16_WQXGA_OLED_GL500N_240_HDRP3</t>
        </is>
      </c>
      <c r="L69" s="63" t="inlineStr">
        <is>
          <t>LENOVO_BLACK</t>
        </is>
      </c>
      <c r="M69" s="45" t="inlineStr">
        <is>
          <t>2.57kg</t>
        </is>
      </c>
      <c r="N69" s="45" t="inlineStr">
        <is>
          <t>GX41T08941</t>
        </is>
      </c>
      <c r="O69" s="45" t="inlineStr">
        <is>
          <t>1 Year Onsite</t>
        </is>
      </c>
      <c r="P69" s="63" t="inlineStr">
        <is>
          <t>1 year LUS</t>
        </is>
      </c>
      <c r="Q69" s="45" t="inlineStr">
        <is>
          <t>1 Year ADP</t>
        </is>
      </c>
      <c r="R69" s="45" t="inlineStr">
        <is>
          <t>Per Key RGB</t>
        </is>
      </c>
      <c r="S69" s="45" t="inlineStr">
        <is>
          <t>-</t>
        </is>
      </c>
      <c r="T69" s="53">
        <f>IF(W69&lt;45000,"Entry",IF(W69&gt;72000,"Premium","Mainstream"))</f>
        <v/>
      </c>
      <c r="U69" s="73" t="n">
        <v>320776.8940246691</v>
      </c>
      <c r="V69" s="73" t="n"/>
      <c r="W69" s="73">
        <f>U69-V69</f>
        <v/>
      </c>
      <c r="X69" t="n">
        <v>322380.78</v>
      </c>
    </row>
    <row r="70">
      <c r="B70" s="45" t="inlineStr">
        <is>
          <t>Legion Pro7</t>
        </is>
      </c>
      <c r="C70" s="45" t="inlineStr">
        <is>
          <t>Gaming</t>
        </is>
      </c>
      <c r="D70" s="45" t="inlineStr">
        <is>
          <t>83F500D8IN</t>
        </is>
      </c>
      <c r="E70" s="45" t="inlineStr">
        <is>
          <t>CORE ULT9 275HX</t>
        </is>
      </c>
      <c r="F70" s="45" t="n"/>
      <c r="G70" s="45" t="inlineStr">
        <is>
          <t>64GB, 1TB SSD</t>
        </is>
      </c>
      <c r="H70" s="45" t="inlineStr">
        <is>
          <t>WINDOWS 11 HOME 64 SL</t>
        </is>
      </c>
      <c r="I70" s="45" t="inlineStr">
        <is>
          <t>Office 2024</t>
        </is>
      </c>
      <c r="J70" s="45" t="inlineStr">
        <is>
          <t>RTX 5090 24GB</t>
        </is>
      </c>
      <c r="K70" s="63" t="inlineStr">
        <is>
          <t>16_WQXGA_OLED_GL500N_240_HDRP3</t>
        </is>
      </c>
      <c r="L70" s="63" t="inlineStr">
        <is>
          <t>LENOVO_BLACK</t>
        </is>
      </c>
      <c r="M70" s="45" t="inlineStr">
        <is>
          <t>2.57kg</t>
        </is>
      </c>
      <c r="N70" s="45" t="inlineStr">
        <is>
          <t>GX41T08941</t>
        </is>
      </c>
      <c r="O70" s="45" t="inlineStr">
        <is>
          <t>1 Year Onsite</t>
        </is>
      </c>
      <c r="P70" s="63" t="inlineStr">
        <is>
          <t>1 year LUS</t>
        </is>
      </c>
      <c r="Q70" s="45" t="inlineStr">
        <is>
          <t>1 Year ADP</t>
        </is>
      </c>
      <c r="R70" s="45" t="inlineStr">
        <is>
          <t>Per Key RGB</t>
        </is>
      </c>
      <c r="S70" s="45" t="inlineStr">
        <is>
          <t>-</t>
        </is>
      </c>
      <c r="T70" s="53">
        <f>IF(W70&lt;45000,"Entry",IF(W70&gt;72000,"Premium","Mainstream"))</f>
        <v/>
      </c>
      <c r="U70" s="73" t="n">
        <v>386937.3394213542</v>
      </c>
      <c r="V70" s="73" t="n"/>
      <c r="W70" s="73">
        <f>U70-V70</f>
        <v/>
      </c>
      <c r="X70" t="n">
        <v>388872.03</v>
      </c>
    </row>
    <row r="71">
      <c r="B71" s="45" t="inlineStr">
        <is>
          <t>LOQ</t>
        </is>
      </c>
      <c r="C71" s="45" t="inlineStr">
        <is>
          <t>Gaming</t>
        </is>
      </c>
      <c r="D71" s="45" t="inlineStr">
        <is>
          <t>83DV00XFIN</t>
        </is>
      </c>
      <c r="E71" s="45" t="inlineStr">
        <is>
          <t>i7 13650HX</t>
        </is>
      </c>
      <c r="F71" s="45" t="n"/>
      <c r="G71" s="45" t="inlineStr">
        <is>
          <t>24GB, 512GB SSD</t>
        </is>
      </c>
      <c r="H71" s="45" t="inlineStr">
        <is>
          <t>Windows 11</t>
        </is>
      </c>
      <c r="I71" s="45" t="inlineStr">
        <is>
          <t>OFFICE 2024</t>
        </is>
      </c>
      <c r="J71" s="45" t="inlineStr">
        <is>
          <t>RTX 4050 6GB</t>
        </is>
      </c>
      <c r="K71" s="63" t="inlineStr">
        <is>
          <t>15.6_FHD_AG_300N_144_SRGB</t>
        </is>
      </c>
      <c r="L71" s="63" t="inlineStr">
        <is>
          <t>LUNA_GREY</t>
        </is>
      </c>
      <c r="M71" s="45" t="inlineStr">
        <is>
          <t>2.38kg</t>
        </is>
      </c>
      <c r="N71" s="71" t="inlineStr">
        <is>
          <t>GX41T87387</t>
        </is>
      </c>
      <c r="O71" s="45" t="inlineStr">
        <is>
          <t>1 year onsite</t>
        </is>
      </c>
      <c r="P71" s="63" t="n"/>
      <c r="Q71" s="45" t="inlineStr">
        <is>
          <t>1 Year ADP</t>
        </is>
      </c>
      <c r="R71" s="45" t="inlineStr">
        <is>
          <t>4 Zone RGB</t>
        </is>
      </c>
      <c r="S71" s="45" t="inlineStr">
        <is>
          <t>-</t>
        </is>
      </c>
      <c r="T71" s="53">
        <f>IF(W71&lt;45000,"Entry",IF(W71&gt;72000,"Premium","Mainstream"))</f>
        <v/>
      </c>
      <c r="U71" s="73" t="n">
        <v>94483.93170233618</v>
      </c>
      <c r="V71" s="73" t="n">
        <v>582.92</v>
      </c>
      <c r="W71" s="73">
        <f>U71-V71</f>
        <v/>
      </c>
      <c r="X71" t="n">
        <v>94370.52</v>
      </c>
    </row>
    <row r="72">
      <c r="B72" s="1" t="inlineStr">
        <is>
          <t>LOQ</t>
        </is>
      </c>
      <c r="C72" s="1" t="inlineStr">
        <is>
          <t>Gaming</t>
        </is>
      </c>
      <c r="D72" s="45" t="inlineStr">
        <is>
          <t>83DV01A5IN</t>
        </is>
      </c>
      <c r="E72" s="43" t="inlineStr">
        <is>
          <t>i7 13650HX</t>
        </is>
      </c>
      <c r="F72" s="43" t="n"/>
      <c r="G72" s="1" t="inlineStr">
        <is>
          <t>16GB, 512GB SSD</t>
        </is>
      </c>
      <c r="H72" s="66" t="inlineStr">
        <is>
          <t>Windows 11</t>
        </is>
      </c>
      <c r="I72" s="66" t="inlineStr">
        <is>
          <t>Office 2024</t>
        </is>
      </c>
      <c r="J72" s="43" t="inlineStr">
        <is>
          <t>RTX 4050 6GB</t>
        </is>
      </c>
      <c r="K72" s="67" t="inlineStr">
        <is>
          <t>15.6_FHD_AG_300N_144_SRGB</t>
        </is>
      </c>
      <c r="L72" s="43" t="inlineStr">
        <is>
          <t>LUNA_GREY</t>
        </is>
      </c>
      <c r="M72" s="43" t="inlineStr">
        <is>
          <t>2.38 Kg</t>
        </is>
      </c>
      <c r="N72" s="71" t="inlineStr">
        <is>
          <t>GX41T87387</t>
        </is>
      </c>
      <c r="O72" s="66" t="inlineStr">
        <is>
          <t>1 Year Onsite</t>
        </is>
      </c>
      <c r="P72" s="1" t="n"/>
      <c r="Q72" s="1" t="inlineStr">
        <is>
          <t>1 Year ADP</t>
        </is>
      </c>
      <c r="R72" s="43" t="inlineStr">
        <is>
          <t>4 Zone RGB</t>
        </is>
      </c>
      <c r="S72" s="1" t="n"/>
      <c r="T72" s="66">
        <f>IF(W72&lt;45000,"Entry",IF(W72&gt;72000,"Premium","Mainstream"))</f>
        <v/>
      </c>
      <c r="U72" s="73" t="n">
        <v>94661.16071606554</v>
      </c>
      <c r="V72" s="73" t="n"/>
      <c r="W72" s="73">
        <f>U72-V72</f>
        <v/>
      </c>
      <c r="X72" t="n">
        <v>99400</v>
      </c>
    </row>
    <row r="73">
      <c r="B73" s="45" t="inlineStr">
        <is>
          <t>LOQ</t>
        </is>
      </c>
      <c r="C73" s="45" t="inlineStr">
        <is>
          <t>Gaming</t>
        </is>
      </c>
      <c r="D73" s="45" t="inlineStr">
        <is>
          <t>83DV00BCIN</t>
        </is>
      </c>
      <c r="E73" s="45" t="inlineStr">
        <is>
          <t>i7 13650HX</t>
        </is>
      </c>
      <c r="F73" s="45" t="n"/>
      <c r="G73" s="45" t="inlineStr">
        <is>
          <t>16GB, 512GB SSD</t>
        </is>
      </c>
      <c r="H73" s="45" t="inlineStr">
        <is>
          <t>Windows 11</t>
        </is>
      </c>
      <c r="I73" s="45" t="inlineStr">
        <is>
          <t>Office 2021</t>
        </is>
      </c>
      <c r="J73" s="45" t="inlineStr">
        <is>
          <t>RTX 3050 6GB</t>
        </is>
      </c>
      <c r="K73" s="63" t="inlineStr">
        <is>
          <t>15.6_FHD_AG_300N_144_SRGB</t>
        </is>
      </c>
      <c r="L73" s="63" t="inlineStr">
        <is>
          <t>LUNA_GREY</t>
        </is>
      </c>
      <c r="M73" s="45" t="inlineStr">
        <is>
          <t>2.38kg</t>
        </is>
      </c>
      <c r="N73" s="71" t="inlineStr">
        <is>
          <t>GX41T87387</t>
        </is>
      </c>
      <c r="O73" s="45" t="inlineStr">
        <is>
          <t>1 year onsite</t>
        </is>
      </c>
      <c r="P73" s="63" t="n"/>
      <c r="Q73" s="45" t="inlineStr">
        <is>
          <t>1 Year ADP</t>
        </is>
      </c>
      <c r="R73" s="45" t="inlineStr">
        <is>
          <t>4 Zone RGB</t>
        </is>
      </c>
      <c r="S73" s="45" t="inlineStr">
        <is>
          <t>-</t>
        </is>
      </c>
      <c r="T73" s="53">
        <f>IF(W73&lt;45000,"Entry",IF(W73&gt;72000,"Premium","Mainstream"))</f>
        <v/>
      </c>
      <c r="U73" s="73" t="n">
        <v>87599.44101225011</v>
      </c>
      <c r="V73" s="73" t="n"/>
      <c r="W73" s="73">
        <f>U73-V73</f>
        <v/>
      </c>
      <c r="X73" t="n">
        <v>107790</v>
      </c>
    </row>
    <row r="74">
      <c r="B74" s="45" t="inlineStr">
        <is>
          <t>LoQ</t>
        </is>
      </c>
      <c r="C74" s="45" t="inlineStr">
        <is>
          <t>Gaming</t>
        </is>
      </c>
      <c r="D74" s="45" t="inlineStr">
        <is>
          <t>83JE00U4IN</t>
        </is>
      </c>
      <c r="E74" s="45" t="inlineStr">
        <is>
          <t>i7 13700HX</t>
        </is>
      </c>
      <c r="F74" s="45" t="n"/>
      <c r="G74" s="45" t="inlineStr">
        <is>
          <t>16GB, 1TB SSD</t>
        </is>
      </c>
      <c r="H74" s="45" t="inlineStr">
        <is>
          <t>Windows 11</t>
        </is>
      </c>
      <c r="I74" s="45" t="inlineStr">
        <is>
          <t>Office 2024</t>
        </is>
      </c>
      <c r="J74" s="45" t="inlineStr">
        <is>
          <t>RTX 5060 8GB</t>
        </is>
      </c>
      <c r="K74" s="63" t="inlineStr">
        <is>
          <t>15.6_FHD_AG_300N_144_SRGB</t>
        </is>
      </c>
      <c r="L74" s="63" t="inlineStr">
        <is>
          <t>LUNA_GREY</t>
        </is>
      </c>
      <c r="M74" s="45" t="inlineStr">
        <is>
          <t>2.38kg</t>
        </is>
      </c>
      <c r="N74" s="71" t="inlineStr">
        <is>
          <t>GX41T87387</t>
        </is>
      </c>
      <c r="O74" s="45" t="inlineStr">
        <is>
          <t>1 year onsite</t>
        </is>
      </c>
      <c r="P74" s="63" t="n"/>
      <c r="Q74" s="45" t="inlineStr">
        <is>
          <t>1 Year ADP</t>
        </is>
      </c>
      <c r="R74" s="45" t="inlineStr">
        <is>
          <t>24 Zone RGB</t>
        </is>
      </c>
      <c r="S74" s="45" t="n"/>
      <c r="T74" s="53">
        <f>IF(W74&lt;45000,"Entry",IF(W74&gt;72000,"Premium","Mainstream"))</f>
        <v/>
      </c>
      <c r="U74" s="73" t="n">
        <v>123389.5435822989</v>
      </c>
      <c r="V74" s="73" t="n">
        <v>497.96</v>
      </c>
      <c r="W74" s="73">
        <f>U74-V74</f>
        <v/>
      </c>
      <c r="X74" t="n">
        <v>123506.04</v>
      </c>
    </row>
    <row r="75">
      <c r="B75" s="45" t="inlineStr">
        <is>
          <t>LoQ</t>
        </is>
      </c>
      <c r="C75" s="45" t="inlineStr">
        <is>
          <t>Gaming</t>
        </is>
      </c>
      <c r="D75" s="45" t="inlineStr">
        <is>
          <t>83JE00U5IN</t>
        </is>
      </c>
      <c r="E75" s="45" t="inlineStr">
        <is>
          <t>i7 14700HX</t>
        </is>
      </c>
      <c r="F75" s="45" t="n"/>
      <c r="G75" s="45" t="inlineStr">
        <is>
          <t>16GB, 1TB SSD</t>
        </is>
      </c>
      <c r="H75" s="45" t="inlineStr">
        <is>
          <t>Windows 11</t>
        </is>
      </c>
      <c r="I75" s="45" t="inlineStr">
        <is>
          <t>Office 2024</t>
        </is>
      </c>
      <c r="J75" s="45" t="inlineStr">
        <is>
          <t>RTX 5060 8GB</t>
        </is>
      </c>
      <c r="K75" s="63" t="inlineStr">
        <is>
          <t>15.6_FHD_AG_300N_144_SRGB</t>
        </is>
      </c>
      <c r="L75" s="63" t="inlineStr">
        <is>
          <t>LUNA_GREY</t>
        </is>
      </c>
      <c r="M75" s="45" t="inlineStr">
        <is>
          <t>2.38kg</t>
        </is>
      </c>
      <c r="N75" s="71" t="inlineStr">
        <is>
          <t>GX41T87387</t>
        </is>
      </c>
      <c r="O75" s="45" t="inlineStr">
        <is>
          <t>1 year onsite</t>
        </is>
      </c>
      <c r="P75" s="63" t="n"/>
      <c r="Q75" s="45" t="inlineStr">
        <is>
          <t>1 Year ADP</t>
        </is>
      </c>
      <c r="R75" s="45" t="inlineStr">
        <is>
          <t>24 Zone RGB</t>
        </is>
      </c>
      <c r="S75" s="45" t="n"/>
      <c r="T75" s="53">
        <f>IF(W75&lt;45000,"Entry",IF(W75&gt;72000,"Premium","Mainstream"))</f>
        <v/>
      </c>
      <c r="U75" s="73" t="n">
        <v>133119.0208465173</v>
      </c>
      <c r="V75" s="73" t="n">
        <v>497.96</v>
      </c>
      <c r="W75" s="73">
        <f>U75-V75</f>
        <v/>
      </c>
      <c r="X75" t="n">
        <v>133284.17</v>
      </c>
    </row>
    <row r="76">
      <c r="B76" s="45" t="inlineStr">
        <is>
          <t>LoQ</t>
        </is>
      </c>
      <c r="C76" s="45" t="inlineStr">
        <is>
          <t>Gaming</t>
        </is>
      </c>
      <c r="D76" s="45" t="inlineStr">
        <is>
          <t>83JE00U6IN</t>
        </is>
      </c>
      <c r="E76" s="45" t="inlineStr">
        <is>
          <t>i7 14700HX</t>
        </is>
      </c>
      <c r="F76" s="45" t="n"/>
      <c r="G76" s="45" t="inlineStr">
        <is>
          <t>16GB, 1TB SSD</t>
        </is>
      </c>
      <c r="H76" s="45" t="inlineStr">
        <is>
          <t>Windows 11</t>
        </is>
      </c>
      <c r="I76" s="45" t="inlineStr">
        <is>
          <t>Office 2024</t>
        </is>
      </c>
      <c r="J76" s="45" t="inlineStr">
        <is>
          <t>RTX 5050 8GB</t>
        </is>
      </c>
      <c r="K76" s="63" t="inlineStr">
        <is>
          <t>15.6_FHD_AG_300N_144_SRGB</t>
        </is>
      </c>
      <c r="L76" s="63" t="inlineStr">
        <is>
          <t>LUNA_GREY</t>
        </is>
      </c>
      <c r="M76" s="45" t="inlineStr">
        <is>
          <t>2.38kg</t>
        </is>
      </c>
      <c r="N76" s="71" t="inlineStr">
        <is>
          <t>GX41T87387</t>
        </is>
      </c>
      <c r="O76" s="45" t="inlineStr">
        <is>
          <t>1 year onsite</t>
        </is>
      </c>
      <c r="P76" s="63" t="n"/>
      <c r="Q76" s="45" t="inlineStr">
        <is>
          <t>1 Year ADP</t>
        </is>
      </c>
      <c r="R76" s="45" t="inlineStr">
        <is>
          <t>24 Zone RGB</t>
        </is>
      </c>
      <c r="S76" s="45" t="n"/>
      <c r="T76" s="53">
        <f>IF(W76&lt;45000,"Entry",IF(W76&gt;72000,"Premium","Mainstream"))</f>
        <v/>
      </c>
      <c r="U76" s="73" t="n">
        <v>120930.7493294552</v>
      </c>
      <c r="V76" s="73" t="n"/>
      <c r="W76" s="73">
        <f>U76-V76</f>
        <v/>
      </c>
      <c r="X76" t="n">
        <v>121535.4</v>
      </c>
    </row>
    <row r="77">
      <c r="B77" s="45" t="inlineStr">
        <is>
          <t>LoQ</t>
        </is>
      </c>
      <c r="C77" s="45" t="inlineStr">
        <is>
          <t>Gaming</t>
        </is>
      </c>
      <c r="D77" s="45" t="inlineStr">
        <is>
          <t>83JE00U7IN</t>
        </is>
      </c>
      <c r="E77" s="45" t="inlineStr">
        <is>
          <t>i7 13700HX</t>
        </is>
      </c>
      <c r="F77" s="45" t="n"/>
      <c r="G77" s="45" t="inlineStr">
        <is>
          <t>16GB, 1TB SSD</t>
        </is>
      </c>
      <c r="H77" s="45" t="inlineStr">
        <is>
          <t>Windows 11</t>
        </is>
      </c>
      <c r="I77" s="45" t="inlineStr">
        <is>
          <t>Office 2024</t>
        </is>
      </c>
      <c r="J77" s="45" t="inlineStr">
        <is>
          <t>RTX 5050 8GB</t>
        </is>
      </c>
      <c r="K77" s="63" t="inlineStr">
        <is>
          <t>15.6_FHD_AG_300N_144_SRGB</t>
        </is>
      </c>
      <c r="L77" s="63" t="inlineStr">
        <is>
          <t>LUNA_GREY</t>
        </is>
      </c>
      <c r="M77" s="45" t="inlineStr">
        <is>
          <t>2.38kg</t>
        </is>
      </c>
      <c r="N77" s="71" t="inlineStr">
        <is>
          <t>GX41T87387</t>
        </is>
      </c>
      <c r="O77" s="45" t="inlineStr">
        <is>
          <t>1 year onsite</t>
        </is>
      </c>
      <c r="P77" s="63" t="n"/>
      <c r="Q77" s="45" t="inlineStr">
        <is>
          <t>1 Year ADP</t>
        </is>
      </c>
      <c r="R77" s="45" t="inlineStr">
        <is>
          <t>24 Zone RGB</t>
        </is>
      </c>
      <c r="S77" s="45" t="n"/>
      <c r="T77" s="53">
        <f>IF(W77&lt;45000,"Entry",IF(W77&gt;72000,"Premium","Mainstream"))</f>
        <v/>
      </c>
      <c r="U77" s="73" t="n">
        <v>114585.6134445024</v>
      </c>
      <c r="V77" s="73" t="n">
        <v>451.94</v>
      </c>
      <c r="W77" s="73">
        <f>U77-V77</f>
        <v/>
      </c>
      <c r="X77" t="n">
        <v>117790</v>
      </c>
    </row>
    <row r="78">
      <c r="B78" s="45" t="inlineStr">
        <is>
          <t>LoQ</t>
        </is>
      </c>
      <c r="C78" s="45" t="inlineStr">
        <is>
          <t>Gaming</t>
        </is>
      </c>
      <c r="D78" s="45" t="inlineStr">
        <is>
          <t>83JE00U3IN</t>
        </is>
      </c>
      <c r="E78" s="45" t="inlineStr">
        <is>
          <t>i7 14700HX</t>
        </is>
      </c>
      <c r="F78" s="45" t="n"/>
      <c r="G78" s="45" t="inlineStr">
        <is>
          <t>32GB, 1TB SSD</t>
        </is>
      </c>
      <c r="H78" s="45" t="inlineStr">
        <is>
          <t>Windows 11</t>
        </is>
      </c>
      <c r="I78" s="45" t="inlineStr">
        <is>
          <t>Office 2024</t>
        </is>
      </c>
      <c r="J78" s="45" t="inlineStr">
        <is>
          <t>RTX 5060 8GB</t>
        </is>
      </c>
      <c r="K78" s="63" t="inlineStr">
        <is>
          <t>15.6_FHD_AG_300N_144_SRGB</t>
        </is>
      </c>
      <c r="L78" s="63" t="inlineStr">
        <is>
          <t>LUNA_GREY</t>
        </is>
      </c>
      <c r="M78" s="45" t="inlineStr">
        <is>
          <t>2.38kg</t>
        </is>
      </c>
      <c r="N78" s="71" t="inlineStr">
        <is>
          <t>GX41T87387</t>
        </is>
      </c>
      <c r="O78" s="45" t="inlineStr">
        <is>
          <t>1 year onsite</t>
        </is>
      </c>
      <c r="P78" s="63" t="n"/>
      <c r="Q78" s="45" t="inlineStr">
        <is>
          <t>1 Year ADP</t>
        </is>
      </c>
      <c r="R78" s="45" t="inlineStr">
        <is>
          <t>24 Zone RGB</t>
        </is>
      </c>
      <c r="S78" s="45" t="n"/>
      <c r="T78" s="53">
        <f>IF(W78&lt;45000,"Entry",IF(W78&gt;72000,"Premium","Mainstream"))</f>
        <v/>
      </c>
      <c r="U78" s="73" t="n">
        <v>138956.7072050484</v>
      </c>
      <c r="V78" s="73" t="n">
        <v>497.96</v>
      </c>
      <c r="W78" s="73">
        <f>U78-V78</f>
        <v/>
      </c>
      <c r="X78" t="n">
        <v>139151.04</v>
      </c>
    </row>
    <row r="79">
      <c r="B79" s="45" t="inlineStr">
        <is>
          <t>LoQ</t>
        </is>
      </c>
      <c r="C79" s="45" t="inlineStr">
        <is>
          <t>Gaming</t>
        </is>
      </c>
      <c r="D79" s="45" t="inlineStr">
        <is>
          <t>83JC00JXIN</t>
        </is>
      </c>
      <c r="E79" s="45" t="inlineStr">
        <is>
          <t>R5 7235HS</t>
        </is>
      </c>
      <c r="F79" s="45" t="n"/>
      <c r="G79" s="45" t="inlineStr">
        <is>
          <t>12GB, 512GB SSD</t>
        </is>
      </c>
      <c r="H79" s="45" t="inlineStr">
        <is>
          <t>Windows 11</t>
        </is>
      </c>
      <c r="I79" s="45" t="inlineStr">
        <is>
          <t>Office 2024</t>
        </is>
      </c>
      <c r="J79" s="45" t="inlineStr">
        <is>
          <t>RTX 3050A 4GB</t>
        </is>
      </c>
      <c r="K79" s="63" t="inlineStr">
        <is>
          <t>15.6_FHD_AG_300N_144_SRGB</t>
        </is>
      </c>
      <c r="L79" s="63" t="inlineStr">
        <is>
          <t>LUNA_GREY</t>
        </is>
      </c>
      <c r="M79" s="45" t="inlineStr">
        <is>
          <t>2.38kg</t>
        </is>
      </c>
      <c r="N79" s="71" t="inlineStr">
        <is>
          <t>GX41T87387</t>
        </is>
      </c>
      <c r="O79" s="45" t="inlineStr">
        <is>
          <t>1 year onsite</t>
        </is>
      </c>
      <c r="P79" s="63" t="n"/>
      <c r="Q79" s="45" t="inlineStr">
        <is>
          <t>1 Year ADP</t>
        </is>
      </c>
      <c r="R79" s="45" t="inlineStr">
        <is>
          <t>White Backlit</t>
        </is>
      </c>
      <c r="S79" s="45" t="n"/>
      <c r="T79" s="53">
        <f>IF(W79&lt;45000,"Entry",IF(W79&gt;72000,"Premium","Mainstream"))</f>
        <v/>
      </c>
      <c r="U79" s="73" t="n">
        <v>63046.75047056667</v>
      </c>
      <c r="V79" s="73" t="n">
        <v>2000.1</v>
      </c>
      <c r="W79" s="73">
        <f>U79-V79</f>
        <v/>
      </c>
      <c r="X79" t="n">
        <v>107790</v>
      </c>
    </row>
    <row r="80">
      <c r="B80" s="45" t="inlineStr">
        <is>
          <t>Yoga 6</t>
        </is>
      </c>
      <c r="C80" s="45" t="inlineStr">
        <is>
          <t>Convertible</t>
        </is>
      </c>
      <c r="D80" s="45" t="inlineStr">
        <is>
          <t>83B2007TIN</t>
        </is>
      </c>
      <c r="E80" s="45" t="inlineStr">
        <is>
          <t>RYZEN 7 7730U</t>
        </is>
      </c>
      <c r="F80" s="45" t="n"/>
      <c r="G80" s="45" t="inlineStr">
        <is>
          <t>16GB, 1TB SSD</t>
        </is>
      </c>
      <c r="H80" s="45" t="inlineStr">
        <is>
          <t>WINDOWS 11 HOME 64 SL</t>
        </is>
      </c>
      <c r="I80" s="45" t="inlineStr">
        <is>
          <t xml:space="preserve">OFFICE H&amp;S 2021  </t>
        </is>
      </c>
      <c r="J80" s="45" t="inlineStr">
        <is>
          <t>Integrated AMD Radeon™ Graphics</t>
        </is>
      </c>
      <c r="K80" s="63" t="inlineStr">
        <is>
          <t>13.3" WUXGA (1920x1200) IPS 300nits Glossy, 100% sRGB, Dolby® Vision™, TÜV Low Blue Light, Touch</t>
        </is>
      </c>
      <c r="L80" s="63" t="inlineStr">
        <is>
          <t>Dark Teal</t>
        </is>
      </c>
      <c r="M80" s="45" t="inlineStr">
        <is>
          <t>1.37kg</t>
        </is>
      </c>
      <c r="N80" s="45" t="inlineStr">
        <is>
          <t>GX41A41186</t>
        </is>
      </c>
      <c r="O80" s="45" t="inlineStr">
        <is>
          <t>1 Year Onsite</t>
        </is>
      </c>
      <c r="P80" s="63" t="inlineStr">
        <is>
          <t>1 Year Hard bundled Premium Care</t>
        </is>
      </c>
      <c r="Q80" s="45" t="inlineStr">
        <is>
          <t>1 Year ADP</t>
        </is>
      </c>
      <c r="R80" s="45" t="inlineStr">
        <is>
          <t xml:space="preserve">Backlit </t>
        </is>
      </c>
      <c r="S80" s="45" t="inlineStr">
        <is>
          <t>FPR Touch Style/ IR Camera</t>
        </is>
      </c>
      <c r="T80" s="53">
        <f>IF(W80&lt;45000,"Entry",IF(W80&gt;72000,"Premium","Mainstream"))</f>
        <v/>
      </c>
      <c r="U80" s="73" t="n">
        <v>84420.16342544752</v>
      </c>
      <c r="V80" s="73" t="n"/>
      <c r="W80" s="73">
        <f>U80-V80</f>
        <v/>
      </c>
      <c r="X80" t="n">
        <v>84842.25999999999</v>
      </c>
    </row>
    <row r="81">
      <c r="B81" s="45" t="inlineStr">
        <is>
          <t>Yoga 7 2-in-1</t>
        </is>
      </c>
      <c r="C81" s="45" t="inlineStr">
        <is>
          <t>Convertible</t>
        </is>
      </c>
      <c r="D81" s="45" t="inlineStr">
        <is>
          <t>83JQ000NIN</t>
        </is>
      </c>
      <c r="E81" s="45" t="inlineStr">
        <is>
          <t>CORE ULT7 258V</t>
        </is>
      </c>
      <c r="F81" s="45" t="inlineStr">
        <is>
          <t>Co-Pilot+ PC</t>
        </is>
      </c>
      <c r="G81" s="45" t="inlineStr">
        <is>
          <t>32GB,1TB SSD</t>
        </is>
      </c>
      <c r="H81" s="45" t="inlineStr">
        <is>
          <t>WINDOWS 11 HOME 64 SL</t>
        </is>
      </c>
      <c r="I81" s="45" t="inlineStr">
        <is>
          <t>OFFICE H&amp;S 2024</t>
        </is>
      </c>
      <c r="J81" s="45" t="inlineStr">
        <is>
          <t>INTEGRATED_GRAPHICS</t>
        </is>
      </c>
      <c r="K81" s="63" t="inlineStr">
        <is>
          <t>14_2.8K_OLED_GL500N_120MT_P3_G</t>
        </is>
      </c>
      <c r="L81" s="63" t="inlineStr">
        <is>
          <t>Seashell</t>
        </is>
      </c>
      <c r="M81" s="45" t="inlineStr">
        <is>
          <t>1.38Kg</t>
        </is>
      </c>
      <c r="N81" s="45" t="inlineStr">
        <is>
          <t>GX41A41186</t>
        </is>
      </c>
      <c r="O81" s="45" t="inlineStr">
        <is>
          <t>1 Year Onsite</t>
        </is>
      </c>
      <c r="P81" s="63" t="inlineStr">
        <is>
          <t>1 Year Hard bundled Premium Care</t>
        </is>
      </c>
      <c r="Q81" s="45" t="inlineStr">
        <is>
          <t>1 Year ADP</t>
        </is>
      </c>
      <c r="R81" s="45" t="inlineStr">
        <is>
          <t xml:space="preserve">Backlit </t>
        </is>
      </c>
      <c r="S81" s="45" t="inlineStr">
        <is>
          <t>IR Camera</t>
        </is>
      </c>
      <c r="T81" s="53">
        <f>IF(W81&lt;45000,"Entry",IF(W81&gt;72000,"Premium","Mainstream"))</f>
        <v/>
      </c>
      <c r="U81" s="73" t="n">
        <v>138652.3123996631</v>
      </c>
      <c r="V81" s="73" t="n">
        <v>2000.1</v>
      </c>
      <c r="W81" s="73">
        <f>U81-V81</f>
        <v/>
      </c>
      <c r="X81" t="n">
        <v>137335.47</v>
      </c>
    </row>
    <row r="82">
      <c r="B82" s="45" t="inlineStr">
        <is>
          <t>Yoga 7 2-in-1</t>
        </is>
      </c>
      <c r="C82" s="45" t="inlineStr">
        <is>
          <t>Convertible</t>
        </is>
      </c>
      <c r="D82" s="45" t="inlineStr">
        <is>
          <t>83DJ008WIN</t>
        </is>
      </c>
      <c r="E82" s="45" t="inlineStr">
        <is>
          <t>Core Ultra 7 155H</t>
        </is>
      </c>
      <c r="F82" s="45" t="inlineStr">
        <is>
          <t>AI PC</t>
        </is>
      </c>
      <c r="G82" s="45" t="inlineStr">
        <is>
          <t>32GB, 1TB SSD</t>
        </is>
      </c>
      <c r="H82" s="45" t="inlineStr">
        <is>
          <t>WINDOWS 11 HOME 64 SL</t>
        </is>
      </c>
      <c r="I82" s="45" t="inlineStr">
        <is>
          <t xml:space="preserve">OFFICE H&amp;S 2021  </t>
        </is>
      </c>
      <c r="J82" s="45" t="inlineStr">
        <is>
          <t>Integrated Intel® Arc™ Graphics</t>
        </is>
      </c>
      <c r="K82" s="63" t="inlineStr">
        <is>
          <t>14" 2.8K (2880x1800) OLED 400nits Glossy / Anti-fingerprint, 100% DCI-P3, 120Hz, Dolby Vision®, DisplayHDR™ True Black 500, TÜV Low Blue Light, Glass, Touch</t>
        </is>
      </c>
      <c r="L82" s="63" t="inlineStr">
        <is>
          <t>Tidal Teal</t>
        </is>
      </c>
      <c r="M82" s="45" t="inlineStr">
        <is>
          <t>1.49Kg</t>
        </is>
      </c>
      <c r="N82" s="45" t="inlineStr">
        <is>
          <t>GX41A41186</t>
        </is>
      </c>
      <c r="O82" s="45" t="inlineStr">
        <is>
          <t>1 Year Onsite</t>
        </is>
      </c>
      <c r="P82" s="63" t="inlineStr">
        <is>
          <t>1 Year Hard bundled Premium Care</t>
        </is>
      </c>
      <c r="Q82" s="45" t="inlineStr">
        <is>
          <t>1 Year ADP</t>
        </is>
      </c>
      <c r="R82" s="45" t="inlineStr">
        <is>
          <t>Backlit</t>
        </is>
      </c>
      <c r="S82" s="45" t="inlineStr">
        <is>
          <t>IR Camera</t>
        </is>
      </c>
      <c r="T82" s="53">
        <f>IF(W82&lt;45000,"Entry",IF(W82&gt;72000,"Premium","Mainstream"))</f>
        <v/>
      </c>
      <c r="U82" s="73" t="n">
        <v>128007.7740131918</v>
      </c>
      <c r="V82" s="73" t="n"/>
      <c r="W82" s="73">
        <f>U82-V82</f>
        <v/>
      </c>
      <c r="X82" t="n">
        <v>128647.81</v>
      </c>
    </row>
    <row r="83">
      <c r="B83" s="45" t="inlineStr">
        <is>
          <t>Yoga 7 2-in-1</t>
        </is>
      </c>
      <c r="C83" s="45" t="inlineStr">
        <is>
          <t>Convertible</t>
        </is>
      </c>
      <c r="D83" s="45" t="inlineStr">
        <is>
          <t>83JQ000VIN</t>
        </is>
      </c>
      <c r="E83" s="45" t="inlineStr">
        <is>
          <t>CORE ULT7 256V</t>
        </is>
      </c>
      <c r="F83" s="45" t="inlineStr">
        <is>
          <t>Co-Pilot+ PC</t>
        </is>
      </c>
      <c r="G83" s="45" t="inlineStr">
        <is>
          <t>16GB,1TB SSD</t>
        </is>
      </c>
      <c r="H83" s="45" t="inlineStr">
        <is>
          <t>WINDOWS 11 HOME 64 SL</t>
        </is>
      </c>
      <c r="I83" s="45" t="inlineStr">
        <is>
          <t>OFFICE H&amp;S 2024</t>
        </is>
      </c>
      <c r="J83" s="45" t="inlineStr">
        <is>
          <t>INTEGRATED_GRAPHICS</t>
        </is>
      </c>
      <c r="K83" s="63" t="inlineStr">
        <is>
          <t>14_WUXGA_OLED_GL_400N_HDR_P3</t>
        </is>
      </c>
      <c r="L83" s="63" t="inlineStr">
        <is>
          <t>Seashell</t>
        </is>
      </c>
      <c r="M83" s="45" t="inlineStr">
        <is>
          <t>1.38Kg</t>
        </is>
      </c>
      <c r="N83" s="45" t="inlineStr">
        <is>
          <t>GX41A41186</t>
        </is>
      </c>
      <c r="O83" s="45" t="inlineStr">
        <is>
          <t>1 Year Onsite</t>
        </is>
      </c>
      <c r="P83" s="63" t="inlineStr">
        <is>
          <t>1 Year Hard bundled Premium Care</t>
        </is>
      </c>
      <c r="Q83" s="45" t="inlineStr">
        <is>
          <t>1 Year ADP</t>
        </is>
      </c>
      <c r="R83" s="45" t="inlineStr">
        <is>
          <t xml:space="preserve">Backlit </t>
        </is>
      </c>
      <c r="S83" s="45" t="inlineStr">
        <is>
          <t>IR Camera</t>
        </is>
      </c>
      <c r="T83" s="53">
        <f>IF(W83&lt;45000,"Entry",IF(W83&gt;72000,"Premium","Mainstream"))</f>
        <v/>
      </c>
      <c r="U83" s="73" t="n">
        <v>121139.25332407</v>
      </c>
      <c r="V83" s="73" t="n">
        <v>2000.1</v>
      </c>
      <c r="W83" s="73">
        <f>U83-V83</f>
        <v/>
      </c>
      <c r="X83" t="n">
        <v>125790</v>
      </c>
    </row>
    <row r="84">
      <c r="B84" s="45" t="inlineStr">
        <is>
          <t>Yoga 7 2-in-1</t>
        </is>
      </c>
      <c r="C84" s="45" t="inlineStr">
        <is>
          <t>Convertible</t>
        </is>
      </c>
      <c r="D84" s="45" t="inlineStr">
        <is>
          <t>83DJ006YIN</t>
        </is>
      </c>
      <c r="E84" s="45" t="inlineStr">
        <is>
          <t>Core Ultra 7 155H</t>
        </is>
      </c>
      <c r="F84" s="45" t="inlineStr">
        <is>
          <t>AI PC</t>
        </is>
      </c>
      <c r="G84" s="45" t="inlineStr">
        <is>
          <t>16GB, 1TB SSD</t>
        </is>
      </c>
      <c r="H84" s="45" t="inlineStr">
        <is>
          <t>WINDOWS 11 HOME 64 SL</t>
        </is>
      </c>
      <c r="I84" s="45" t="inlineStr">
        <is>
          <t xml:space="preserve">OFFICE H&amp;S 2021  </t>
        </is>
      </c>
      <c r="J84" s="45" t="inlineStr">
        <is>
          <t>Integrated Intel® Arc™ Graphics</t>
        </is>
      </c>
      <c r="K84" s="63" t="inlineStr">
        <is>
          <t>14" WUXGA (1920x1200) OLED 400nits Glossy / Anti-fingerprint, 100% DCI-P3, 60Hz, Dolby® Vision®, DisplayHDR™ True Black 500, TÜV Low Blue Light, Glass, Touch</t>
        </is>
      </c>
      <c r="L84" s="63" t="inlineStr">
        <is>
          <t>Tidal Teal</t>
        </is>
      </c>
      <c r="M84" s="45" t="inlineStr">
        <is>
          <t>1.49Kg</t>
        </is>
      </c>
      <c r="N84" s="45" t="inlineStr">
        <is>
          <t>GX41A41186</t>
        </is>
      </c>
      <c r="O84" s="45" t="inlineStr">
        <is>
          <t>1 Year Onsite</t>
        </is>
      </c>
      <c r="P84" s="63" t="inlineStr">
        <is>
          <t>1 Year Hard bundled Premium Care</t>
        </is>
      </c>
      <c r="Q84" s="45" t="inlineStr">
        <is>
          <t>1 Year ADP</t>
        </is>
      </c>
      <c r="R84" s="45" t="inlineStr">
        <is>
          <t>Backlit</t>
        </is>
      </c>
      <c r="S84" s="45" t="inlineStr">
        <is>
          <t>IR Camera</t>
        </is>
      </c>
      <c r="T84" s="53">
        <f>IF(W84&lt;45000,"Entry",IF(W84&gt;72000,"Premium","Mainstream"))</f>
        <v/>
      </c>
      <c r="U84" s="73" t="n">
        <v>118277.8102751102</v>
      </c>
      <c r="V84" s="73" t="n">
        <v>13999.52</v>
      </c>
      <c r="W84" s="73">
        <f>U84-V84</f>
        <v/>
      </c>
      <c r="X84" t="n">
        <v>125790</v>
      </c>
    </row>
    <row r="85">
      <c r="B85" s="45" t="inlineStr">
        <is>
          <t>Yoga 7 2-in-1</t>
        </is>
      </c>
      <c r="C85" s="45" t="inlineStr">
        <is>
          <t>Convertible</t>
        </is>
      </c>
      <c r="D85" s="45" t="inlineStr">
        <is>
          <t>83DJ00DFIN</t>
        </is>
      </c>
      <c r="E85" s="45" t="inlineStr">
        <is>
          <t>Core Ultra 7 155H</t>
        </is>
      </c>
      <c r="F85" s="45" t="inlineStr">
        <is>
          <t>AI PC</t>
        </is>
      </c>
      <c r="G85" s="45" t="inlineStr">
        <is>
          <t>16GB, 1TB SSD</t>
        </is>
      </c>
      <c r="H85" s="45" t="inlineStr">
        <is>
          <t>WINDOWS 11 HOME 64 SL</t>
        </is>
      </c>
      <c r="I85" s="45" t="inlineStr">
        <is>
          <t>OFFICE H&amp;S 2024</t>
        </is>
      </c>
      <c r="J85" s="45" t="inlineStr">
        <is>
          <t>Integrated Intel® Arc™ Graphics</t>
        </is>
      </c>
      <c r="K85" s="63" t="inlineStr">
        <is>
          <t>14" WUXGA (1920x1200) OLED 400nits Glossy / Anti-fingerprint, 100% DCI-P3, 60Hz, Dolby® Vision®, DisplayHDR™ True Black 500, TÜV Low Blue Light, Glass, Touch</t>
        </is>
      </c>
      <c r="L85" s="63" t="inlineStr">
        <is>
          <t>Tidal Teal</t>
        </is>
      </c>
      <c r="M85" s="45" t="inlineStr">
        <is>
          <t>1.49Kg</t>
        </is>
      </c>
      <c r="N85" s="45" t="inlineStr">
        <is>
          <t>GX41A41186</t>
        </is>
      </c>
      <c r="O85" s="45" t="inlineStr">
        <is>
          <t>1 Year Onsite</t>
        </is>
      </c>
      <c r="P85" s="63" t="inlineStr">
        <is>
          <t>1 Year Hard bundled Premium Care</t>
        </is>
      </c>
      <c r="Q85" s="45" t="inlineStr">
        <is>
          <t>1 Year ADP</t>
        </is>
      </c>
      <c r="R85" s="45" t="inlineStr">
        <is>
          <t>Backlit</t>
        </is>
      </c>
      <c r="S85" s="45" t="inlineStr">
        <is>
          <t>IR Camera</t>
        </is>
      </c>
      <c r="T85" s="53">
        <f>IF(W85&lt;45000,"Entry",IF(W85&gt;72000,"Premium","Mainstream"))</f>
        <v/>
      </c>
      <c r="U85" s="73" t="n">
        <v>118277.7920183826</v>
      </c>
      <c r="V85" s="73" t="n">
        <v>13999.52</v>
      </c>
      <c r="W85" s="73">
        <f>U85-V85</f>
        <v/>
      </c>
      <c r="X85" t="n">
        <v>112890</v>
      </c>
    </row>
    <row r="86">
      <c r="B86" s="45" t="inlineStr">
        <is>
          <t>Yoga 7 2-in-1</t>
        </is>
      </c>
      <c r="C86" s="45" t="inlineStr">
        <is>
          <t>Convertible</t>
        </is>
      </c>
      <c r="D86" s="45" t="inlineStr">
        <is>
          <t>83JR009EIN</t>
        </is>
      </c>
      <c r="E86" s="45" t="inlineStr">
        <is>
          <t>Ryzen AI 7 350</t>
        </is>
      </c>
      <c r="F86" s="45" t="inlineStr">
        <is>
          <t>Co-Pilot+ PC</t>
        </is>
      </c>
      <c r="G86" s="45" t="inlineStr">
        <is>
          <t>32GB, 1TB SSD</t>
        </is>
      </c>
      <c r="H86" s="45" t="inlineStr">
        <is>
          <t>WINDOWS 11 HOME 64 SL</t>
        </is>
      </c>
      <c r="I86" s="45" t="inlineStr">
        <is>
          <t>OFFICE HOME 2024</t>
        </is>
      </c>
      <c r="J86" s="45" t="inlineStr">
        <is>
          <t>INTEGRATED_GRAPHICS</t>
        </is>
      </c>
      <c r="K86" s="63" t="inlineStr">
        <is>
          <t>14WUXGA_OLED_GL400N_MT_HDRP3_G</t>
        </is>
      </c>
      <c r="L86" s="63" t="inlineStr">
        <is>
          <t>SEASHELL</t>
        </is>
      </c>
      <c r="M86" s="45" t="inlineStr">
        <is>
          <t>1.38Kg</t>
        </is>
      </c>
      <c r="N86" s="45" t="inlineStr">
        <is>
          <t>GX41A41186</t>
        </is>
      </c>
      <c r="O86" s="45" t="inlineStr">
        <is>
          <t>1 Year Onsite</t>
        </is>
      </c>
      <c r="P86" s="63" t="inlineStr">
        <is>
          <t>1 Year Hard bundled Premium Care</t>
        </is>
      </c>
      <c r="Q86" s="45" t="inlineStr">
        <is>
          <t>1 Year ADP</t>
        </is>
      </c>
      <c r="R86" s="45" t="inlineStr">
        <is>
          <t>Backlit</t>
        </is>
      </c>
      <c r="S86" s="45" t="inlineStr">
        <is>
          <t>IR Camera</t>
        </is>
      </c>
      <c r="T86" s="53">
        <f>IF(W86&lt;45000,"Entry",IF(W86&gt;72000,"Premium","Mainstream"))</f>
        <v/>
      </c>
      <c r="U86" s="73" t="n">
        <v>107118.8664391171</v>
      </c>
      <c r="V86" s="73" t="n"/>
      <c r="W86" s="73">
        <f>U86-V86</f>
        <v/>
      </c>
      <c r="X86" t="n">
        <v>112890</v>
      </c>
    </row>
    <row r="87">
      <c r="B87" s="45" t="inlineStr">
        <is>
          <t>Yoga 7 2-in-1</t>
        </is>
      </c>
      <c r="C87" s="45" t="inlineStr">
        <is>
          <t>Convertible</t>
        </is>
      </c>
      <c r="D87" s="45" t="inlineStr">
        <is>
          <t>83JQ000XIN</t>
        </is>
      </c>
      <c r="E87" s="45" t="inlineStr">
        <is>
          <t>CORE ULT5 226V</t>
        </is>
      </c>
      <c r="F87" s="45" t="inlineStr">
        <is>
          <t>Co-Pilot+ PC</t>
        </is>
      </c>
      <c r="G87" s="45" t="inlineStr">
        <is>
          <t>16GB,1TB SSD</t>
        </is>
      </c>
      <c r="H87" s="45" t="inlineStr">
        <is>
          <t>WINDOWS 11 HOME 64 SL</t>
        </is>
      </c>
      <c r="I87" s="45" t="inlineStr">
        <is>
          <t>OFFICE H&amp;S 2024</t>
        </is>
      </c>
      <c r="J87" s="45" t="inlineStr">
        <is>
          <t>INTEGRATED_GRAPHICS</t>
        </is>
      </c>
      <c r="K87" s="63" t="inlineStr">
        <is>
          <t>14_WUXGA_OLED_GL_400N_HDR_P3</t>
        </is>
      </c>
      <c r="L87" s="63" t="inlineStr">
        <is>
          <t>Seashell</t>
        </is>
      </c>
      <c r="M87" s="45" t="inlineStr">
        <is>
          <t>1.38Kg</t>
        </is>
      </c>
      <c r="N87" s="45" t="inlineStr">
        <is>
          <t>GX41A41186</t>
        </is>
      </c>
      <c r="O87" s="45" t="inlineStr">
        <is>
          <t>1 Year Onsite</t>
        </is>
      </c>
      <c r="P87" s="63" t="inlineStr">
        <is>
          <t>1 Year Hard bundled Premium Care</t>
        </is>
      </c>
      <c r="Q87" s="45" t="inlineStr">
        <is>
          <t>1 Year ADP</t>
        </is>
      </c>
      <c r="R87" s="45" t="inlineStr">
        <is>
          <t xml:space="preserve">Backlit </t>
        </is>
      </c>
      <c r="S87" s="45" t="inlineStr">
        <is>
          <t>IR Camera</t>
        </is>
      </c>
      <c r="T87" s="53">
        <f>IF(W87&lt;45000,"Entry",IF(W87&gt;72000,"Premium","Mainstream"))</f>
        <v/>
      </c>
      <c r="U87" s="73" t="n">
        <v>111409.7760598516</v>
      </c>
      <c r="V87" s="73" t="n">
        <v>2000</v>
      </c>
      <c r="W87" s="73">
        <f>U87-V87</f>
        <v/>
      </c>
      <c r="X87" t="n">
        <v>112890</v>
      </c>
    </row>
    <row r="88">
      <c r="B88" s="45" t="inlineStr">
        <is>
          <t>Yoga 7 2-in-1</t>
        </is>
      </c>
      <c r="C88" s="45" t="inlineStr">
        <is>
          <t>Convertible</t>
        </is>
      </c>
      <c r="D88" s="45" t="inlineStr">
        <is>
          <t>83JR001EIN</t>
        </is>
      </c>
      <c r="E88" s="45" t="inlineStr">
        <is>
          <t>Ryzen AI 7 350</t>
        </is>
      </c>
      <c r="F88" s="45" t="inlineStr">
        <is>
          <t>Co-Pilot+ PC</t>
        </is>
      </c>
      <c r="G88" s="45" t="inlineStr">
        <is>
          <t>24GB, 1TB SSD</t>
        </is>
      </c>
      <c r="H88" s="45" t="inlineStr">
        <is>
          <t>WINDOWS 11 HOME 64 SL</t>
        </is>
      </c>
      <c r="I88" s="45" t="inlineStr">
        <is>
          <t>OFFICE HOME 2024</t>
        </is>
      </c>
      <c r="J88" s="45" t="inlineStr">
        <is>
          <t>INTEGRATED_GRAPHICS</t>
        </is>
      </c>
      <c r="K88" s="63" t="inlineStr">
        <is>
          <t>14WUXGA_OLED_GL400N_MT_HDRP3_G</t>
        </is>
      </c>
      <c r="L88" s="63" t="inlineStr">
        <is>
          <t>SEASHELL</t>
        </is>
      </c>
      <c r="M88" s="45" t="inlineStr">
        <is>
          <t>1.38Kg</t>
        </is>
      </c>
      <c r="N88" s="45" t="inlineStr">
        <is>
          <t>GX41A41186</t>
        </is>
      </c>
      <c r="O88" s="45" t="inlineStr">
        <is>
          <t>1 Year Onsite</t>
        </is>
      </c>
      <c r="P88" s="63" t="inlineStr">
        <is>
          <t>1 Year Hard bundled Premium Care</t>
        </is>
      </c>
      <c r="Q88" s="45" t="inlineStr">
        <is>
          <t>1 Year ADP</t>
        </is>
      </c>
      <c r="R88" s="45" t="inlineStr">
        <is>
          <t>Backlit</t>
        </is>
      </c>
      <c r="S88" s="45" t="inlineStr">
        <is>
          <t>IR Camera</t>
        </is>
      </c>
      <c r="T88" s="53">
        <f>IF(W88&lt;45000,"Entry",IF(W88&gt;72000,"Premium","Mainstream"))</f>
        <v/>
      </c>
      <c r="U88" s="73" t="n">
        <v>102711.00423976</v>
      </c>
      <c r="V88" s="73" t="n">
        <v>2999.56</v>
      </c>
      <c r="W88" s="73">
        <f>U88-V88</f>
        <v/>
      </c>
      <c r="X88" t="n">
        <v>125790</v>
      </c>
    </row>
    <row r="89">
      <c r="B89" s="45" t="inlineStr">
        <is>
          <t>Yoga 7 2-in-1</t>
        </is>
      </c>
      <c r="C89" s="45" t="inlineStr">
        <is>
          <t>Convertible</t>
        </is>
      </c>
      <c r="D89" s="45" t="inlineStr">
        <is>
          <t>83DJ006XIN</t>
        </is>
      </c>
      <c r="E89" s="45" t="inlineStr">
        <is>
          <t>Core Ultra 5 125H</t>
        </is>
      </c>
      <c r="F89" s="45" t="inlineStr">
        <is>
          <t>AI PC</t>
        </is>
      </c>
      <c r="G89" s="45" t="inlineStr">
        <is>
          <t>16GB, 1TB SSD</t>
        </is>
      </c>
      <c r="H89" s="45" t="inlineStr">
        <is>
          <t>WINDOWS 11 HOME 64 SL</t>
        </is>
      </c>
      <c r="I89" s="45" t="inlineStr">
        <is>
          <t xml:space="preserve">OFFICE H&amp;S 2021  </t>
        </is>
      </c>
      <c r="J89" s="45" t="inlineStr">
        <is>
          <t>Integrated Intel® Arc™ Graphics</t>
        </is>
      </c>
      <c r="K89" s="63" t="inlineStr">
        <is>
          <t>14" WUXGA (1920x1200) OLED 400nits Glossy / Anti-fingerprint, 100% DCI-P3, 60Hz, Dolby® Vision®, DisplayHDR™ True Black 500, TÜV Low Blue Light, Glass, Touch</t>
        </is>
      </c>
      <c r="L89" s="63" t="inlineStr">
        <is>
          <t>Tidal Teal</t>
        </is>
      </c>
      <c r="M89" s="45" t="inlineStr">
        <is>
          <t>1.49Kg</t>
        </is>
      </c>
      <c r="N89" s="45" t="inlineStr">
        <is>
          <t>GX41A41186</t>
        </is>
      </c>
      <c r="O89" s="45" t="inlineStr">
        <is>
          <t>1 Year Onsite</t>
        </is>
      </c>
      <c r="P89" s="63" t="inlineStr">
        <is>
          <t>1 Year Hard bundled Premium Care</t>
        </is>
      </c>
      <c r="Q89" s="45" t="inlineStr">
        <is>
          <t>1 Year ADP</t>
        </is>
      </c>
      <c r="R89" s="45" t="inlineStr">
        <is>
          <t>Backlit</t>
        </is>
      </c>
      <c r="S89" s="45" t="inlineStr">
        <is>
          <t>IR Camera</t>
        </is>
      </c>
      <c r="T89" s="53">
        <f>IF(W89&lt;45000,"Entry",IF(W89&gt;72000,"Premium","Mainstream"))</f>
        <v/>
      </c>
      <c r="U89" s="73" t="n">
        <v>100765.0236248805</v>
      </c>
      <c r="V89" s="73" t="n">
        <v>13042.54</v>
      </c>
      <c r="W89" s="73">
        <f>U89-V89</f>
        <v/>
      </c>
      <c r="X89" t="n">
        <v>125790</v>
      </c>
    </row>
    <row r="90">
      <c r="B90" s="45" t="inlineStr">
        <is>
          <t>Yoga 7 2-in-1</t>
        </is>
      </c>
      <c r="C90" s="45" t="inlineStr">
        <is>
          <t>Convertible</t>
        </is>
      </c>
      <c r="D90" s="45" t="inlineStr">
        <is>
          <t>83DJ00DGIN</t>
        </is>
      </c>
      <c r="E90" s="45" t="inlineStr">
        <is>
          <t>Core Ultra 5 125H</t>
        </is>
      </c>
      <c r="F90" s="45" t="inlineStr">
        <is>
          <t>AI PC</t>
        </is>
      </c>
      <c r="G90" s="45" t="inlineStr">
        <is>
          <t>16GB, 1TB SSD</t>
        </is>
      </c>
      <c r="H90" s="45" t="inlineStr">
        <is>
          <t>WINDOWS 11 HOME 64 SL</t>
        </is>
      </c>
      <c r="I90" s="45" t="inlineStr">
        <is>
          <t>OFFICE H&amp;S 2024</t>
        </is>
      </c>
      <c r="J90" s="45" t="inlineStr">
        <is>
          <t>Integrated Intel® Arc™ Graphics</t>
        </is>
      </c>
      <c r="K90" s="63" t="inlineStr">
        <is>
          <t>14" WUXGA (1920x1200) OLED 400nits Glossy / Anti-fingerprint, 100% DCI-P3, 60Hz, Dolby® Vision®, DisplayHDR™ True Black 500, TÜV Low Blue Light, Glass, Touch</t>
        </is>
      </c>
      <c r="L90" s="63" t="inlineStr">
        <is>
          <t>Tidal Teal</t>
        </is>
      </c>
      <c r="M90" s="45" t="inlineStr">
        <is>
          <t>1.49Kg</t>
        </is>
      </c>
      <c r="N90" s="45" t="inlineStr">
        <is>
          <t>GX41A41186</t>
        </is>
      </c>
      <c r="O90" s="45" t="inlineStr">
        <is>
          <t>1 Year Onsite</t>
        </is>
      </c>
      <c r="P90" s="63" t="inlineStr">
        <is>
          <t>1 Year Hard bundled Premium Care</t>
        </is>
      </c>
      <c r="Q90" s="45" t="inlineStr">
        <is>
          <t>1 Year ADP</t>
        </is>
      </c>
      <c r="R90" s="45" t="inlineStr">
        <is>
          <t>Backlit</t>
        </is>
      </c>
      <c r="S90" s="45" t="inlineStr">
        <is>
          <t>IR Camera</t>
        </is>
      </c>
      <c r="T90" s="53">
        <f>IF(W90&lt;45000,"Entry",IF(W90&gt;72000,"Premium","Mainstream"))</f>
        <v/>
      </c>
      <c r="U90" s="73" t="n">
        <v>100765.0236248805</v>
      </c>
      <c r="V90" s="73" t="n">
        <v>13042.54</v>
      </c>
      <c r="W90" s="73">
        <f>U90-V90</f>
        <v/>
      </c>
      <c r="X90" s="74" t="n">
        <v>89476.92999999999</v>
      </c>
    </row>
    <row r="91">
      <c r="B91" s="45" t="inlineStr">
        <is>
          <t>Yoga 7 2-in-1</t>
        </is>
      </c>
      <c r="C91" s="45" t="inlineStr">
        <is>
          <t>Convertible</t>
        </is>
      </c>
      <c r="D91" s="45" t="inlineStr">
        <is>
          <t>83DJ00FVIN</t>
        </is>
      </c>
      <c r="E91" s="45" t="inlineStr">
        <is>
          <t>Core Ultra 5 125H</t>
        </is>
      </c>
      <c r="F91" s="45" t="inlineStr">
        <is>
          <t>AI PC</t>
        </is>
      </c>
      <c r="G91" s="45" t="inlineStr">
        <is>
          <t>16GB,1TB SSD</t>
        </is>
      </c>
      <c r="H91" s="45" t="inlineStr">
        <is>
          <t>WINDOWS 11 HOME 64 SL</t>
        </is>
      </c>
      <c r="I91" s="45" t="inlineStr">
        <is>
          <t>OFFICE H&amp;S 2024</t>
        </is>
      </c>
      <c r="J91" s="45" t="inlineStr">
        <is>
          <t>INTEGRATED_GRAPHICS</t>
        </is>
      </c>
      <c r="K91" s="63" t="inlineStr">
        <is>
          <t>14_WUXGA_OLED_GL_400N_HDR_P3</t>
        </is>
      </c>
      <c r="L91" s="63" t="inlineStr">
        <is>
          <t>Tidal Teal</t>
        </is>
      </c>
      <c r="M91" s="45" t="inlineStr">
        <is>
          <t>1.49Kg</t>
        </is>
      </c>
      <c r="N91" s="45" t="inlineStr">
        <is>
          <t>GX41A41186</t>
        </is>
      </c>
      <c r="O91" s="45" t="inlineStr">
        <is>
          <t>1 Year Onsite</t>
        </is>
      </c>
      <c r="P91" s="63" t="inlineStr">
        <is>
          <t>1 Year Hard bundled Premium Care</t>
        </is>
      </c>
      <c r="Q91" s="45" t="inlineStr">
        <is>
          <t>1 Year ADP</t>
        </is>
      </c>
      <c r="R91" s="45" t="inlineStr">
        <is>
          <t xml:space="preserve">Backlit </t>
        </is>
      </c>
      <c r="S91" s="45" t="inlineStr">
        <is>
          <t>IR Camera</t>
        </is>
      </c>
      <c r="T91" s="53">
        <f>IF(W91&lt;45000,"Entry",IF(W91&gt;72000,"Premium","Mainstream"))</f>
        <v/>
      </c>
      <c r="U91" s="73" t="n">
        <v>90750.67411068034</v>
      </c>
      <c r="V91" s="73" t="n"/>
      <c r="W91" s="73">
        <f>U91-V91</f>
        <v/>
      </c>
      <c r="X91" t="n">
        <v>125790</v>
      </c>
    </row>
    <row r="92">
      <c r="B92" s="45" t="inlineStr">
        <is>
          <t>Yoga 7 2-in-1</t>
        </is>
      </c>
      <c r="C92" s="45" t="inlineStr">
        <is>
          <t>Convertible</t>
        </is>
      </c>
      <c r="D92" s="45" t="inlineStr">
        <is>
          <t>83DJ00AKIN</t>
        </is>
      </c>
      <c r="E92" s="45" t="inlineStr">
        <is>
          <t>Core Ultra 5 125H</t>
        </is>
      </c>
      <c r="F92" s="45" t="inlineStr">
        <is>
          <t>AI PC</t>
        </is>
      </c>
      <c r="G92" s="45" t="inlineStr">
        <is>
          <t>16GB,512GB SSD</t>
        </is>
      </c>
      <c r="H92" s="45" t="inlineStr">
        <is>
          <t>WINDOWS 11 HOME 64 SL</t>
        </is>
      </c>
      <c r="I92" s="45" t="inlineStr">
        <is>
          <t xml:space="preserve">OFFICE H&amp;S 2021  </t>
        </is>
      </c>
      <c r="J92" s="45" t="inlineStr">
        <is>
          <t>Integrated Intel® Arc™ Graphics</t>
        </is>
      </c>
      <c r="K92" s="63" t="inlineStr">
        <is>
          <t>14" WUXGA (1920x1200) OLED 400nits Glossy / Anti-fingerprint, 100% DCI-P3, 60Hz, Dolby® Vision®, DisplayHDR™ True Black 500, TÜV Low Blue Light, Glass, Touch</t>
        </is>
      </c>
      <c r="L92" s="63" t="inlineStr">
        <is>
          <t>Tidal Teal</t>
        </is>
      </c>
      <c r="M92" s="45" t="inlineStr">
        <is>
          <t>1.49Kg</t>
        </is>
      </c>
      <c r="N92" s="45" t="inlineStr">
        <is>
          <t>-</t>
        </is>
      </c>
      <c r="O92" s="45" t="inlineStr">
        <is>
          <t>1 Year Onsite</t>
        </is>
      </c>
      <c r="P92" s="63" t="inlineStr">
        <is>
          <t>1 Year Hard bundled Premium Care</t>
        </is>
      </c>
      <c r="Q92" s="45" t="inlineStr">
        <is>
          <t>1 Year ADP</t>
        </is>
      </c>
      <c r="R92" s="45" t="inlineStr">
        <is>
          <t>Backlit</t>
        </is>
      </c>
      <c r="S92" s="45" t="inlineStr">
        <is>
          <t>IR Camera, No Pen</t>
        </is>
      </c>
      <c r="T92" s="53">
        <f>IF(W92&lt;45000,"Entry",IF(W92&gt;72000,"Premium","Mainstream"))</f>
        <v/>
      </c>
      <c r="U92" s="73" t="n">
        <v>91874.70902369935</v>
      </c>
      <c r="V92" s="73" t="n">
        <v>8999.859999999999</v>
      </c>
      <c r="W92" s="73">
        <f>U92-V92</f>
        <v/>
      </c>
      <c r="X92" t="n">
        <v>94890</v>
      </c>
    </row>
    <row r="93">
      <c r="B93" s="45" t="inlineStr">
        <is>
          <t>Yoga 7 2-in-1</t>
        </is>
      </c>
      <c r="C93" s="45" t="inlineStr">
        <is>
          <t>Convertible</t>
        </is>
      </c>
      <c r="D93" s="45" t="inlineStr">
        <is>
          <t>83DJ00AMIN</t>
        </is>
      </c>
      <c r="E93" s="45" t="inlineStr">
        <is>
          <t>Core Ultra 5 125H</t>
        </is>
      </c>
      <c r="F93" s="45" t="inlineStr">
        <is>
          <t>AI PC</t>
        </is>
      </c>
      <c r="G93" s="45" t="inlineStr">
        <is>
          <t>16GB,512GB SSD</t>
        </is>
      </c>
      <c r="H93" s="45" t="inlineStr">
        <is>
          <t>WINDOWS 11 HOME 64 SL</t>
        </is>
      </c>
      <c r="I93" s="45" t="inlineStr">
        <is>
          <t xml:space="preserve">OFFICE H&amp;S 2021  </t>
        </is>
      </c>
      <c r="J93" s="45" t="inlineStr">
        <is>
          <t>Integrated Intel® Arc™ Graphics</t>
        </is>
      </c>
      <c r="K93" s="63" t="inlineStr">
        <is>
          <t>14" WUXGA (1920x1200) OLED 400nits Glossy / Anti-fingerprint, 100% DCI-P3, 60Hz, Dolby® Vision®, DisplayHDR™ True Black 500, TÜV Low Blue Light, Glass, Touch</t>
        </is>
      </c>
      <c r="L93" s="63" t="inlineStr">
        <is>
          <t>Storm Grey</t>
        </is>
      </c>
      <c r="M93" s="45" t="inlineStr">
        <is>
          <t>1.49Kg</t>
        </is>
      </c>
      <c r="N93" s="45" t="inlineStr">
        <is>
          <t>-</t>
        </is>
      </c>
      <c r="O93" s="45" t="inlineStr">
        <is>
          <t>1 Year Onsite</t>
        </is>
      </c>
      <c r="P93" s="63" t="inlineStr">
        <is>
          <t>1 Year Hard bundled Premium Care</t>
        </is>
      </c>
      <c r="Q93" s="45" t="inlineStr">
        <is>
          <t>1 Year ADP</t>
        </is>
      </c>
      <c r="R93" s="45" t="inlineStr">
        <is>
          <t>Backlit</t>
        </is>
      </c>
      <c r="S93" s="45" t="inlineStr">
        <is>
          <t>IR Camera, No Pen</t>
        </is>
      </c>
      <c r="T93" s="53">
        <f>IF(W93&lt;45000,"Entry",IF(W93&gt;72000,"Premium","Mainstream"))</f>
        <v/>
      </c>
      <c r="U93" s="73" t="n">
        <v>91874.70902369935</v>
      </c>
      <c r="V93" s="73" t="n">
        <v>8999.859999999999</v>
      </c>
      <c r="W93" s="73">
        <f>U93-V93</f>
        <v/>
      </c>
      <c r="X93" t="n">
        <v>83289.22</v>
      </c>
    </row>
    <row r="94">
      <c r="B94" s="45" t="inlineStr">
        <is>
          <t>Yoga 7 2-in-1</t>
        </is>
      </c>
      <c r="C94" s="45" t="inlineStr">
        <is>
          <t>Convertible</t>
        </is>
      </c>
      <c r="D94" s="45" t="inlineStr">
        <is>
          <t>83DJ00DDIN</t>
        </is>
      </c>
      <c r="E94" s="45" t="inlineStr">
        <is>
          <t>Core Ultra 5 125H</t>
        </is>
      </c>
      <c r="F94" s="45" t="inlineStr">
        <is>
          <t>AI PC</t>
        </is>
      </c>
      <c r="G94" s="45" t="inlineStr">
        <is>
          <t>16GB,512GB SSD</t>
        </is>
      </c>
      <c r="H94" s="45" t="inlineStr">
        <is>
          <t>WINDOWS 11 HOME 64 SL</t>
        </is>
      </c>
      <c r="I94" s="45" t="inlineStr">
        <is>
          <t>OFFICE H&amp;S 2024</t>
        </is>
      </c>
      <c r="J94" s="45" t="inlineStr">
        <is>
          <t>Integrated Intel® Arc™ Graphics</t>
        </is>
      </c>
      <c r="K94" s="63" t="inlineStr">
        <is>
          <t>14" WUXGA (1920x1200) OLED 400nits Glossy / Anti-fingerprint, 100% DCI-P3, 60Hz, Dolby® Vision®, DisplayHDR™ True Black 500, TÜV Low Blue Light, Glass, Touch</t>
        </is>
      </c>
      <c r="L94" s="63" t="inlineStr">
        <is>
          <t>Tidal Teal</t>
        </is>
      </c>
      <c r="M94" s="45" t="inlineStr">
        <is>
          <t>1.49Kg</t>
        </is>
      </c>
      <c r="N94" s="45" t="inlineStr">
        <is>
          <t>-</t>
        </is>
      </c>
      <c r="O94" s="45" t="inlineStr">
        <is>
          <t>1 Year Onsite</t>
        </is>
      </c>
      <c r="P94" s="63" t="inlineStr">
        <is>
          <t>1 Year Hard bundled Premium Care</t>
        </is>
      </c>
      <c r="Q94" s="45" t="inlineStr">
        <is>
          <t>1 Year ADP</t>
        </is>
      </c>
      <c r="R94" s="45" t="inlineStr">
        <is>
          <t>Backlit</t>
        </is>
      </c>
      <c r="S94" s="45" t="inlineStr">
        <is>
          <t>IR Camera, No Pen</t>
        </is>
      </c>
      <c r="T94" s="53">
        <f>IF(W94&lt;45000,"Entry",IF(W94&gt;72000,"Premium","Mainstream"))</f>
        <v/>
      </c>
      <c r="U94" s="73" t="n">
        <v>91874.73298565426</v>
      </c>
      <c r="V94" s="73" t="n">
        <v>8999.859999999999</v>
      </c>
      <c r="W94" s="73">
        <f>U94-V94</f>
        <v/>
      </c>
      <c r="X94" t="n">
        <v>83289.25</v>
      </c>
    </row>
    <row r="95">
      <c r="B95" s="45" t="inlineStr">
        <is>
          <t>Yoga 7 2-in-1</t>
        </is>
      </c>
      <c r="C95" s="45" t="inlineStr">
        <is>
          <t>Convertible</t>
        </is>
      </c>
      <c r="D95" s="45" t="inlineStr">
        <is>
          <t>83DK009LIN</t>
        </is>
      </c>
      <c r="E95" s="45" t="inlineStr">
        <is>
          <t>RYZEN 7 8840HS</t>
        </is>
      </c>
      <c r="F95" s="45" t="inlineStr">
        <is>
          <t>AI PC</t>
        </is>
      </c>
      <c r="G95" s="45" t="inlineStr">
        <is>
          <t>16GB,1TB SSD</t>
        </is>
      </c>
      <c r="H95" s="45" t="inlineStr">
        <is>
          <t>WINDOWS 11 HOME 64 SL</t>
        </is>
      </c>
      <c r="I95" s="45" t="inlineStr">
        <is>
          <t>OFFICE H&amp;S 2024</t>
        </is>
      </c>
      <c r="J95" s="45" t="inlineStr">
        <is>
          <t>Integrated Intel® Arc™ Graphics</t>
        </is>
      </c>
      <c r="K95" s="63" t="inlineStr">
        <is>
          <t>14" WUXGA (1920x1200) OLED 400nits Glossy / Anti-fingerprint, 100% DCI-P3, 60Hz, Dolby® Vision®, DisplayHDR™ True Black 500, TÜV Low Blue Light, Glass, Touch</t>
        </is>
      </c>
      <c r="L95" s="63" t="inlineStr">
        <is>
          <t>Tidal Teal</t>
        </is>
      </c>
      <c r="M95" s="45" t="inlineStr">
        <is>
          <t>1.49Kg</t>
        </is>
      </c>
      <c r="N95" s="45" t="inlineStr">
        <is>
          <t>-</t>
        </is>
      </c>
      <c r="O95" s="45" t="inlineStr">
        <is>
          <t>1 Year Onsite</t>
        </is>
      </c>
      <c r="P95" s="63" t="inlineStr">
        <is>
          <t>1 Year Hard bundled Premium Care</t>
        </is>
      </c>
      <c r="Q95" s="45" t="inlineStr">
        <is>
          <t>1 Year ADP</t>
        </is>
      </c>
      <c r="R95" s="45" t="inlineStr">
        <is>
          <t>Backlit</t>
        </is>
      </c>
      <c r="S95" s="45" t="inlineStr">
        <is>
          <t>IR Camera, No Pen</t>
        </is>
      </c>
      <c r="T95" s="53">
        <f>IF(W95&lt;45000,"Entry",IF(W95&gt;72000,"Premium","Mainstream"))</f>
        <v/>
      </c>
      <c r="U95" s="73" t="n">
        <v>83118.34764785771</v>
      </c>
      <c r="V95" s="73" t="n"/>
      <c r="W95" s="73">
        <f>U95-V95</f>
        <v/>
      </c>
      <c r="X95" t="n">
        <v>83533.94</v>
      </c>
    </row>
    <row r="96">
      <c r="B96" s="45" t="inlineStr">
        <is>
          <t>Yoga 7i</t>
        </is>
      </c>
      <c r="C96" s="45" t="inlineStr">
        <is>
          <t>Convertible</t>
        </is>
      </c>
      <c r="D96" s="45" t="inlineStr">
        <is>
          <t>82YL0098IN</t>
        </is>
      </c>
      <c r="E96" s="45" t="inlineStr">
        <is>
          <t>i7-1360P</t>
        </is>
      </c>
      <c r="F96" s="45" t="n"/>
      <c r="G96" s="45" t="inlineStr">
        <is>
          <t>16GB,1TB SSD</t>
        </is>
      </c>
      <c r="H96" s="45" t="inlineStr">
        <is>
          <t>WINDOWS 11 HOME 64 SL</t>
        </is>
      </c>
      <c r="I96" s="45" t="inlineStr">
        <is>
          <t xml:space="preserve">OFFICE H&amp;S 2021  </t>
        </is>
      </c>
      <c r="J96" s="45" t="inlineStr">
        <is>
          <t>Integrated Intel® Iris® Xe Graphics</t>
        </is>
      </c>
      <c r="K96" s="63" t="inlineStr">
        <is>
          <t>14" WUXGA (1920x1200) OLED 400nits Glossy, 100% DCI-P3, 60Hz, DisplayHDR™ True Black 500, Dolby® Vision™, TÜV Low Blue Light, Glass, Touch</t>
        </is>
      </c>
      <c r="L96" s="63" t="inlineStr">
        <is>
          <t>Tidal Teal</t>
        </is>
      </c>
      <c r="M96" s="45" t="inlineStr">
        <is>
          <t>1.49kg</t>
        </is>
      </c>
      <c r="N96" s="45" t="inlineStr">
        <is>
          <t>GX41A41186</t>
        </is>
      </c>
      <c r="O96" s="45" t="inlineStr">
        <is>
          <t>1 Year Onsite</t>
        </is>
      </c>
      <c r="P96" s="63" t="inlineStr">
        <is>
          <t>1 Year Hard bundled Premium Care</t>
        </is>
      </c>
      <c r="Q96" s="45" t="inlineStr">
        <is>
          <t>1 Year ADP</t>
        </is>
      </c>
      <c r="R96" s="45" t="inlineStr">
        <is>
          <t>Backlit</t>
        </is>
      </c>
      <c r="S96" s="45" t="inlineStr">
        <is>
          <t>IR Camera</t>
        </is>
      </c>
      <c r="T96" s="53">
        <f>IF(W96&lt;45000,"Entry",IF(W96&gt;72000,"Premium","Mainstream"))</f>
        <v/>
      </c>
      <c r="U96" s="73" t="n">
        <v>110519.0484181027</v>
      </c>
      <c r="V96" s="73" t="n">
        <v>6199.719999999999</v>
      </c>
      <c r="W96" s="73">
        <f>U96-V96</f>
        <v/>
      </c>
      <c r="X96" t="n">
        <v>104840.93</v>
      </c>
    </row>
    <row r="97">
      <c r="B97" s="45" t="inlineStr">
        <is>
          <t>Yoga 9 2in1</t>
        </is>
      </c>
      <c r="C97" s="45" t="inlineStr">
        <is>
          <t>Convertible</t>
        </is>
      </c>
      <c r="D97" s="45" t="inlineStr">
        <is>
          <t>83AC001LIN</t>
        </is>
      </c>
      <c r="E97" s="45" t="inlineStr">
        <is>
          <t>Core Ultra 7 155H</t>
        </is>
      </c>
      <c r="F97" s="45" t="inlineStr">
        <is>
          <t>AI PC</t>
        </is>
      </c>
      <c r="G97" s="45" t="inlineStr">
        <is>
          <t>32GB,1TB SSD</t>
        </is>
      </c>
      <c r="H97" s="45" t="inlineStr">
        <is>
          <t>WINDOWS 11 HOME 64 SL</t>
        </is>
      </c>
      <c r="I97" s="45" t="inlineStr">
        <is>
          <t xml:space="preserve">OFFICE H&amp;S 2021  </t>
        </is>
      </c>
      <c r="J97" s="45" t="inlineStr">
        <is>
          <t>Integrated Arc Graphics</t>
        </is>
      </c>
      <c r="K97" s="63" t="inlineStr">
        <is>
          <t>14" 2.8K (2880x1800) OLED 400nits Glossy / Anti-fingerprint, 100% DCI-P3, 120Hz, Eyesafe®, Dolby Vision®, DisplayHDR™ 500, Glass, Touch</t>
        </is>
      </c>
      <c r="L97" s="63" t="inlineStr">
        <is>
          <t>Cosmic Blue</t>
        </is>
      </c>
      <c r="M97" s="45" t="inlineStr">
        <is>
          <t>1.32kg</t>
        </is>
      </c>
      <c r="N97" s="45" t="inlineStr">
        <is>
          <t>GX41A41186</t>
        </is>
      </c>
      <c r="O97" s="45" t="inlineStr">
        <is>
          <t>1 Year Onsite</t>
        </is>
      </c>
      <c r="P97" s="63" t="inlineStr">
        <is>
          <t>1 Year Hard bundled Premium Care</t>
        </is>
      </c>
      <c r="Q97" s="45" t="inlineStr">
        <is>
          <t>1 Year ADP</t>
        </is>
      </c>
      <c r="R97" s="45" t="inlineStr">
        <is>
          <t>Backlit</t>
        </is>
      </c>
      <c r="S97" s="45" t="inlineStr">
        <is>
          <t>IR Camera</t>
        </is>
      </c>
      <c r="T97" s="53">
        <f>IF(W97&lt;45000,"Entry",IF(W97&gt;72000,"Premium","Mainstream"))</f>
        <v/>
      </c>
      <c r="U97" s="73" t="n">
        <v>174709.7124373943</v>
      </c>
      <c r="V97" s="73" t="n"/>
      <c r="W97" s="73">
        <f>U97-V97</f>
        <v/>
      </c>
      <c r="X97" t="n">
        <v>175583.26</v>
      </c>
    </row>
    <row r="98">
      <c r="B98" s="45" t="inlineStr">
        <is>
          <t>Yoga 9 2in1 (Aura Edition)</t>
        </is>
      </c>
      <c r="C98" s="45" t="inlineStr">
        <is>
          <t>Convertible</t>
        </is>
      </c>
      <c r="D98" s="45" t="inlineStr">
        <is>
          <t>83LC001FIN</t>
        </is>
      </c>
      <c r="E98" s="45" t="inlineStr">
        <is>
          <t>CORE ULT7 258V</t>
        </is>
      </c>
      <c r="F98" s="45" t="inlineStr">
        <is>
          <t>Co-Pilot+ PC</t>
        </is>
      </c>
      <c r="G98" s="45" t="inlineStr">
        <is>
          <t>32GB,1TB SSD</t>
        </is>
      </c>
      <c r="H98" s="45" t="inlineStr">
        <is>
          <t>WINDOWS 11 HOME 64 SL</t>
        </is>
      </c>
      <c r="I98" s="45" t="inlineStr">
        <is>
          <t>OFFICE H&amp;S 2024</t>
        </is>
      </c>
      <c r="J98" s="45" t="inlineStr">
        <is>
          <t>Integrated Arc Graphics</t>
        </is>
      </c>
      <c r="K98" s="63" t="inlineStr">
        <is>
          <t>14" 4K WQUXGA (3840x2400) OLED 600nits (peak) / 400nits (typical) Glossy / Anti-fingerprint, 100% DCI-P3, 60Hz, Eyesafe, Dolby Vision, DisplayHDR True Black 500, Glass, Touch</t>
        </is>
      </c>
      <c r="L98" s="63" t="inlineStr">
        <is>
          <t>Cosmic Blue</t>
        </is>
      </c>
      <c r="M98" s="45" t="inlineStr">
        <is>
          <t>1.32kg</t>
        </is>
      </c>
      <c r="N98" s="45" t="inlineStr">
        <is>
          <t>GX41A41186</t>
        </is>
      </c>
      <c r="O98" s="45" t="inlineStr">
        <is>
          <t>1 Year Onsite</t>
        </is>
      </c>
      <c r="P98" s="63" t="inlineStr">
        <is>
          <t>1 Year Hard bundled Premium Care</t>
        </is>
      </c>
      <c r="Q98" s="45" t="inlineStr">
        <is>
          <t>1 Year ADP</t>
        </is>
      </c>
      <c r="R98" s="45" t="inlineStr">
        <is>
          <t>Backlit</t>
        </is>
      </c>
      <c r="S98" s="45" t="inlineStr">
        <is>
          <t>IR Camera</t>
        </is>
      </c>
      <c r="T98" s="53">
        <f>IF(W98&lt;45000,"Entry",IF(W98&gt;72000,"Premium","Mainstream"))</f>
        <v/>
      </c>
      <c r="U98" s="73" t="n">
        <v>201895.03776104</v>
      </c>
      <c r="V98" s="73" t="n"/>
      <c r="W98" s="73">
        <f>U98-V98</f>
        <v/>
      </c>
      <c r="X98" t="n">
        <v>202904.51</v>
      </c>
    </row>
    <row r="99">
      <c r="B99" s="45" t="inlineStr">
        <is>
          <t>Yoga 9i</t>
        </is>
      </c>
      <c r="C99" s="45" t="inlineStr">
        <is>
          <t>Convertible</t>
        </is>
      </c>
      <c r="D99" s="45" t="inlineStr">
        <is>
          <t>83B1004XIN</t>
        </is>
      </c>
      <c r="E99" s="45" t="inlineStr">
        <is>
          <t>i7-1360P</t>
        </is>
      </c>
      <c r="F99" s="45" t="n"/>
      <c r="G99" s="45" t="inlineStr">
        <is>
          <t>16GB, 1TB SSD</t>
        </is>
      </c>
      <c r="H99" s="45" t="inlineStr">
        <is>
          <t>WINDOWS 11 HOME 64 SL</t>
        </is>
      </c>
      <c r="I99" s="45" t="inlineStr">
        <is>
          <t xml:space="preserve">OFFICE H&amp;S 2021  </t>
        </is>
      </c>
      <c r="J99" s="45" t="inlineStr">
        <is>
          <t>Integrated Intel® Iris® Xe Graphics</t>
        </is>
      </c>
      <c r="K99" s="63" t="inlineStr">
        <is>
          <t>14" 4K (3840x2400) OLED 400nits Glossy, 100% DCI-P3, DisplayHDR™ 500, Dolby® Vision™, Eyesafe®, Glass, Touch</t>
        </is>
      </c>
      <c r="L99" s="63" t="inlineStr">
        <is>
          <t>Oatmeal</t>
        </is>
      </c>
      <c r="M99" s="45" t="inlineStr">
        <is>
          <t>1.4 kg</t>
        </is>
      </c>
      <c r="N99" s="45" t="inlineStr">
        <is>
          <t>GX41A41186</t>
        </is>
      </c>
      <c r="O99" s="45" t="inlineStr">
        <is>
          <t>1 Year Onsite</t>
        </is>
      </c>
      <c r="P99" s="63" t="inlineStr">
        <is>
          <t>1 Year Hard bundled Premium Care</t>
        </is>
      </c>
      <c r="Q99" s="45" t="inlineStr">
        <is>
          <t>1 Year ADP</t>
        </is>
      </c>
      <c r="R99" s="45" t="inlineStr">
        <is>
          <t>Backlit</t>
        </is>
      </c>
      <c r="S99" s="45" t="inlineStr">
        <is>
          <t>FPR Touch Style/ IR Camera</t>
        </is>
      </c>
      <c r="T99" s="53">
        <f>IF(W99&lt;45000,"Entry",IF(W99&gt;72000,"Premium","Mainstream"))</f>
        <v/>
      </c>
      <c r="U99" s="73" t="n">
        <v>131779.3590241476</v>
      </c>
      <c r="V99" s="73" t="n"/>
      <c r="W99" s="73">
        <f>U99-V99</f>
        <v/>
      </c>
      <c r="X99" t="n">
        <v>132438.26</v>
      </c>
    </row>
    <row r="100">
      <c r="B100" s="45" t="inlineStr">
        <is>
          <t>Yoga Book 9</t>
        </is>
      </c>
      <c r="C100" s="45" t="inlineStr">
        <is>
          <t>Convertible</t>
        </is>
      </c>
      <c r="D100" s="45" t="inlineStr">
        <is>
          <t>83FF0034IN</t>
        </is>
      </c>
      <c r="E100" s="45" t="inlineStr">
        <is>
          <t>Core Ultra 7 155U</t>
        </is>
      </c>
      <c r="F100" s="45" t="inlineStr">
        <is>
          <t>AI PC</t>
        </is>
      </c>
      <c r="G100" s="45" t="inlineStr">
        <is>
          <t>32GB, 1TB SSD</t>
        </is>
      </c>
      <c r="H100" s="45" t="inlineStr">
        <is>
          <t>WINDOWS 11 HOME 64 SL</t>
        </is>
      </c>
      <c r="I100" s="45" t="inlineStr">
        <is>
          <t xml:space="preserve">OFFICE H&amp;S 2021  </t>
        </is>
      </c>
      <c r="J100" s="45" t="inlineStr">
        <is>
          <t>Integrated Intel Graphics</t>
        </is>
      </c>
      <c r="K100" s="63" t="inlineStr">
        <is>
          <t>2x 13.3" 2.8K (2880x1800) OLED 400nits Glossy / Anti-fingerprint, 100% DCI-P3, 60Hz, Eyesafe®, Dolby Vision®, DisplayHDR™ True Black 500, Glass, Touch</t>
        </is>
      </c>
      <c r="L100" s="63" t="inlineStr">
        <is>
          <t>Tidal Teal</t>
        </is>
      </c>
      <c r="M100" s="45" t="inlineStr">
        <is>
          <t>1.34kg</t>
        </is>
      </c>
      <c r="N100" s="45" t="inlineStr">
        <is>
          <t>GX41A41186</t>
        </is>
      </c>
      <c r="O100" s="45" t="inlineStr">
        <is>
          <t>1 Year Onsite</t>
        </is>
      </c>
      <c r="P100" s="63" t="inlineStr">
        <is>
          <t>1 Year Hard bundled Premium Care</t>
        </is>
      </c>
      <c r="Q100" s="45" t="inlineStr">
        <is>
          <t>1 Year ADP</t>
        </is>
      </c>
      <c r="R100" s="45" t="inlineStr">
        <is>
          <t>Backlit</t>
        </is>
      </c>
      <c r="S100" s="45" t="inlineStr">
        <is>
          <t>IR Camera</t>
        </is>
      </c>
      <c r="T100" s="53">
        <f>IF(W100&lt;45000,"Entry",IF(W100&gt;72000,"Premium","Mainstream"))</f>
        <v/>
      </c>
      <c r="U100" s="73" t="n">
        <v>233086.5760227047</v>
      </c>
      <c r="V100" s="73" t="n">
        <v>22000</v>
      </c>
      <c r="W100" s="73">
        <f>U100-V100</f>
        <v/>
      </c>
      <c r="X100" t="n">
        <v>212142.01</v>
      </c>
    </row>
    <row r="101">
      <c r="B101" s="45" t="inlineStr">
        <is>
          <t>Yoga Book 9</t>
        </is>
      </c>
      <c r="C101" s="45" t="inlineStr">
        <is>
          <t>Convertible</t>
        </is>
      </c>
      <c r="D101" s="45" t="inlineStr">
        <is>
          <t>82YQ001DIN</t>
        </is>
      </c>
      <c r="E101" s="45" t="inlineStr">
        <is>
          <t>i7-1355U</t>
        </is>
      </c>
      <c r="F101" s="45" t="n"/>
      <c r="G101" s="45" t="inlineStr">
        <is>
          <t>16GB, 1TB SSD</t>
        </is>
      </c>
      <c r="H101" s="45" t="inlineStr">
        <is>
          <t>WINDOWS 11 HOME 64 SL</t>
        </is>
      </c>
      <c r="I101" s="45" t="inlineStr">
        <is>
          <t xml:space="preserve">OFFICE H&amp;S 2021  </t>
        </is>
      </c>
      <c r="J101" s="45" t="inlineStr">
        <is>
          <t>Integrated Intel® Iris® Xe Graphics</t>
        </is>
      </c>
      <c r="K101" s="63" t="inlineStr">
        <is>
          <t>2x 13.3" 2.8K (2880x1800) OLED 400nits Glossy / Anti-fingerprint, 100% DCI-P3, 60Hz, Eyesafe®, Dolby Vision®, DisplayHDR™ True Black 500, Glass, Touch</t>
        </is>
      </c>
      <c r="L101" s="63" t="inlineStr">
        <is>
          <t>Tidal Teal</t>
        </is>
      </c>
      <c r="M101" s="45" t="inlineStr">
        <is>
          <t>1.34kg</t>
        </is>
      </c>
      <c r="N101" s="45" t="inlineStr">
        <is>
          <t>GX41A41186</t>
        </is>
      </c>
      <c r="O101" s="45" t="inlineStr">
        <is>
          <t>1 Year Onsite</t>
        </is>
      </c>
      <c r="P101" s="63" t="inlineStr">
        <is>
          <t>1 Year Hard bundled Premium Care</t>
        </is>
      </c>
      <c r="Q101" s="45" t="inlineStr">
        <is>
          <t>1 Year ADP</t>
        </is>
      </c>
      <c r="R101" s="45" t="inlineStr">
        <is>
          <t>Backlit</t>
        </is>
      </c>
      <c r="S101" s="45" t="inlineStr">
        <is>
          <t>5.0MP + IR with E-shutter</t>
        </is>
      </c>
      <c r="T101" s="53">
        <f>IF(W101&lt;45000,"Entry",IF(W101&gt;72000,"Premium","Mainstream"))</f>
        <v/>
      </c>
      <c r="U101" s="73" t="n">
        <v>197114.2079452396</v>
      </c>
      <c r="V101" s="73" t="n"/>
      <c r="W101" s="73">
        <f>U101-V101</f>
        <v/>
      </c>
      <c r="X101" t="n">
        <v>198099.78</v>
      </c>
    </row>
    <row r="102">
      <c r="B102" s="45" t="inlineStr">
        <is>
          <t>Yoga Book 9 (New)</t>
        </is>
      </c>
      <c r="C102" s="45" t="inlineStr">
        <is>
          <t>Convertible</t>
        </is>
      </c>
      <c r="D102" s="45" t="inlineStr">
        <is>
          <t>83KJ000QIN</t>
        </is>
      </c>
      <c r="E102" s="45" t="inlineStr">
        <is>
          <t>Core Ultra 9 285H</t>
        </is>
      </c>
      <c r="F102" s="45" t="inlineStr">
        <is>
          <t>AI PC</t>
        </is>
      </c>
      <c r="G102" s="45" t="inlineStr">
        <is>
          <t>32GB, 1TB SSD</t>
        </is>
      </c>
      <c r="H102" s="45" t="inlineStr">
        <is>
          <t>WINDOWS 11 HOME 64 SL</t>
        </is>
      </c>
      <c r="I102" s="45" t="inlineStr">
        <is>
          <t>OFFICE H&amp;S 2024</t>
        </is>
      </c>
      <c r="J102" s="45" t="inlineStr">
        <is>
          <t>Integrated Intel Graphics</t>
        </is>
      </c>
      <c r="K102" s="63" t="inlineStr">
        <is>
          <t>2x 14" 2.8K WQXGA+ (2880x1800) OLED 750nits (peak) / 500nits (typical) Glossy / Anti-fingerprint, 100% DCI-P3, 120Hz, Eyesafe®, Dolby Vision®, DisplayHDR™ True Black 600, Glass, Touch, PureSight</t>
        </is>
      </c>
      <c r="L102" s="63" t="inlineStr">
        <is>
          <t>Tidal Teal</t>
        </is>
      </c>
      <c r="M102" s="45" t="inlineStr">
        <is>
          <t>1.22kg</t>
        </is>
      </c>
      <c r="N102" s="45" t="inlineStr">
        <is>
          <t>Bundled Sleeve</t>
        </is>
      </c>
      <c r="O102" s="45" t="inlineStr">
        <is>
          <t>1 Year Onsite</t>
        </is>
      </c>
      <c r="P102" s="63" t="inlineStr">
        <is>
          <t>1 Year Hard bundled Premium Care</t>
        </is>
      </c>
      <c r="Q102" s="45" t="inlineStr">
        <is>
          <t>1 Year ADP</t>
        </is>
      </c>
      <c r="R102" s="45" t="inlineStr">
        <is>
          <t>Backlit</t>
        </is>
      </c>
      <c r="S102" s="45" t="inlineStr">
        <is>
          <t>5.0MP + IR with E-shutter</t>
        </is>
      </c>
      <c r="T102" s="53">
        <f>IF(W102&lt;45000,"Entry",IF(W102&gt;72000,"Premium","Mainstream"))</f>
        <v/>
      </c>
      <c r="U102" s="73" t="n">
        <v>231005.75284644</v>
      </c>
      <c r="V102" s="73" t="n"/>
      <c r="W102" s="73">
        <f>U102-V102</f>
        <v/>
      </c>
      <c r="X102" t="n">
        <v>232160.78</v>
      </c>
    </row>
    <row r="103">
      <c r="B103" s="45" t="inlineStr">
        <is>
          <t>Yoga Pro 7</t>
        </is>
      </c>
      <c r="C103" s="45" t="inlineStr">
        <is>
          <t>Thin &amp; Light</t>
        </is>
      </c>
      <c r="D103" s="45" t="inlineStr">
        <is>
          <t>83HN0027IN</t>
        </is>
      </c>
      <c r="E103" s="45" t="inlineStr">
        <is>
          <t>Ryzen AI 9 365</t>
        </is>
      </c>
      <c r="F103" s="45" t="inlineStr">
        <is>
          <t>Co-Pilot+ PC</t>
        </is>
      </c>
      <c r="G103" s="45" t="inlineStr">
        <is>
          <t>32GB,1TB SSD</t>
        </is>
      </c>
      <c r="H103" s="45" t="inlineStr">
        <is>
          <t>WINDOWS 11 HOME 64 SL</t>
        </is>
      </c>
      <c r="I103" s="45" t="inlineStr">
        <is>
          <t>OFFICE H&amp;S 2024</t>
        </is>
      </c>
      <c r="J103" s="45" t="inlineStr">
        <is>
          <t>INTEGRATED_GRAPHICS</t>
        </is>
      </c>
      <c r="K103" s="63" t="inlineStr">
        <is>
          <t>14.5_2.8K_OLED400N_120_HDRP3_G</t>
        </is>
      </c>
      <c r="L103" s="63" t="inlineStr">
        <is>
          <t>Luna Grey</t>
        </is>
      </c>
      <c r="M103" s="45" t="inlineStr">
        <is>
          <t>1.54kg</t>
        </is>
      </c>
      <c r="N103" s="45" t="inlineStr">
        <is>
          <t>GX41A41186</t>
        </is>
      </c>
      <c r="O103" s="45" t="inlineStr">
        <is>
          <t>1 Year Onsite</t>
        </is>
      </c>
      <c r="P103" s="63" t="inlineStr">
        <is>
          <t>1 Year Hard bundled Premium Care</t>
        </is>
      </c>
      <c r="Q103" s="45" t="inlineStr">
        <is>
          <t>1 Year ADP</t>
        </is>
      </c>
      <c r="R103" s="45" t="inlineStr">
        <is>
          <t xml:space="preserve">Backlit </t>
        </is>
      </c>
      <c r="S103" s="45" t="inlineStr">
        <is>
          <t>IR Camera</t>
        </is>
      </c>
      <c r="T103" s="53">
        <f>IF(W103&lt;45000,"Entry",IF(W103&gt;72000,"Premium","Mainstream"))</f>
        <v/>
      </c>
      <c r="U103" s="73" t="n">
        <v>124115.8079769137</v>
      </c>
      <c r="V103" s="73" t="n"/>
      <c r="W103" s="73">
        <f>U103-V103</f>
        <v/>
      </c>
      <c r="X103" t="n">
        <v>139890</v>
      </c>
    </row>
    <row r="104">
      <c r="B104" s="45" t="inlineStr">
        <is>
          <t>Yoga Pro 7</t>
        </is>
      </c>
      <c r="C104" s="45" t="inlineStr">
        <is>
          <t>Thin &amp; Light</t>
        </is>
      </c>
      <c r="D104" s="45" t="inlineStr">
        <is>
          <t>83E2005EIN</t>
        </is>
      </c>
      <c r="E104" s="45" t="inlineStr">
        <is>
          <t>CORE ULT7 155H</t>
        </is>
      </c>
      <c r="F104" s="45" t="inlineStr">
        <is>
          <t>AI PC</t>
        </is>
      </c>
      <c r="G104" s="45" t="inlineStr">
        <is>
          <t>16GB,1TB SSD</t>
        </is>
      </c>
      <c r="H104" s="45" t="inlineStr">
        <is>
          <t>WINDOWS 11 HOME 64 SL</t>
        </is>
      </c>
      <c r="I104" s="45" t="inlineStr">
        <is>
          <t xml:space="preserve">OFFICE H&amp;S 2021  </t>
        </is>
      </c>
      <c r="J104" s="45" t="inlineStr">
        <is>
          <t>NVIDIA® GeForce RTX™ 4050 6GB GDDR6</t>
        </is>
      </c>
      <c r="K104" s="63" t="inlineStr">
        <is>
          <t>14.5" 2.8K (2880x1800) OLED 400nits Glossy, 100% P3, 120Hz, Eyesafe®, Dolby Vision®, DisplayHDR™ True Black 500, Glass</t>
        </is>
      </c>
      <c r="L104" s="63" t="inlineStr">
        <is>
          <t>Tidal Teal</t>
        </is>
      </c>
      <c r="M104" s="45" t="inlineStr">
        <is>
          <t>1.59Kg</t>
        </is>
      </c>
      <c r="N104" s="45" t="inlineStr">
        <is>
          <t>GX41A41186</t>
        </is>
      </c>
      <c r="O104" s="45" t="inlineStr">
        <is>
          <t>1 Year Onsite</t>
        </is>
      </c>
      <c r="P104" s="63" t="inlineStr">
        <is>
          <t>1 Year Hard bundled Premium Care</t>
        </is>
      </c>
      <c r="Q104" s="45" t="inlineStr">
        <is>
          <t>1 Year ADP</t>
        </is>
      </c>
      <c r="R104" s="45" t="inlineStr">
        <is>
          <t>Backlit</t>
        </is>
      </c>
      <c r="S104" s="45" t="inlineStr">
        <is>
          <t>IR Camera</t>
        </is>
      </c>
      <c r="T104" s="53">
        <f>IF(W104&lt;45000,"Entry",IF(W104&gt;72000,"Premium","Mainstream"))</f>
        <v/>
      </c>
      <c r="U104" s="73" t="n">
        <v>146493.605684616</v>
      </c>
      <c r="V104" s="73" t="n"/>
      <c r="W104" s="73">
        <f>U104-V104</f>
        <v/>
      </c>
      <c r="X104" t="n">
        <v>147226.07</v>
      </c>
    </row>
    <row r="105">
      <c r="B105" s="45" t="inlineStr">
        <is>
          <t>Yoga Pro 7 (Aura Edition)</t>
        </is>
      </c>
      <c r="C105" s="45" t="inlineStr">
        <is>
          <t>Thin &amp; Light</t>
        </is>
      </c>
      <c r="D105" s="45" t="inlineStr">
        <is>
          <t>83KF001LIN</t>
        </is>
      </c>
      <c r="E105" s="45" t="inlineStr">
        <is>
          <t>CORE ULT9 285H</t>
        </is>
      </c>
      <c r="F105" s="45" t="inlineStr">
        <is>
          <t>AI PC</t>
        </is>
      </c>
      <c r="G105" s="45" t="inlineStr">
        <is>
          <t>32GB, 1TB SSD</t>
        </is>
      </c>
      <c r="H105" s="45" t="inlineStr">
        <is>
          <t>WINDOWS 11 HOME 64 SL</t>
        </is>
      </c>
      <c r="I105" s="45" t="inlineStr">
        <is>
          <t>OFFICE H&amp;S 2024</t>
        </is>
      </c>
      <c r="J105" s="45" t="inlineStr">
        <is>
          <t>Integrated Intel® Arc™ 140T GPU</t>
        </is>
      </c>
      <c r="K105" s="63" t="inlineStr">
        <is>
          <t>14.5" 3K (3000x1876) OLED 1000nits (peak) / 500nits (typical) Glossy / Anti-fingerprint, 100% DCI-P3, 120Hz, Eyesafe®, Dolby Vision®, DisplayHDR™ True Black 1000, Glass, Touch, X-Rite®, PureSight Pro</t>
        </is>
      </c>
      <c r="L105" s="63" t="inlineStr">
        <is>
          <t>Luna Grey</t>
        </is>
      </c>
      <c r="M105" s="45" t="inlineStr">
        <is>
          <t>1.54kg</t>
        </is>
      </c>
      <c r="N105" s="45" t="inlineStr">
        <is>
          <t>GX41A41186</t>
        </is>
      </c>
      <c r="O105" s="45" t="inlineStr">
        <is>
          <t>1 Year Onsite</t>
        </is>
      </c>
      <c r="P105" s="63" t="inlineStr">
        <is>
          <t>1 Year Hard bundled Premium Care</t>
        </is>
      </c>
      <c r="Q105" s="45" t="inlineStr">
        <is>
          <t>1 Year ADP</t>
        </is>
      </c>
      <c r="R105" s="45" t="inlineStr">
        <is>
          <t>Backlit</t>
        </is>
      </c>
      <c r="S105" s="45" t="inlineStr">
        <is>
          <t>IR Camera</t>
        </is>
      </c>
      <c r="T105" s="53">
        <f>IF(W105&lt;45000,"Entry",IF(W105&gt;72000,"Premium","Mainstream"))</f>
        <v/>
      </c>
      <c r="U105" s="73" t="n">
        <v>133787.5737675539</v>
      </c>
      <c r="V105" s="73" t="n"/>
      <c r="W105" s="73">
        <f>U105-V105</f>
        <v/>
      </c>
      <c r="X105" t="n">
        <v>139890</v>
      </c>
    </row>
    <row r="106">
      <c r="B106" s="45" t="inlineStr">
        <is>
          <t>Yoga Pro 9</t>
        </is>
      </c>
      <c r="C106" s="45" t="inlineStr">
        <is>
          <t>Thin &amp; Light</t>
        </is>
      </c>
      <c r="D106" s="45" t="inlineStr">
        <is>
          <t>83DN004VIN</t>
        </is>
      </c>
      <c r="E106" s="45" t="inlineStr">
        <is>
          <t>CORE ULT9 185H</t>
        </is>
      </c>
      <c r="F106" s="45" t="inlineStr">
        <is>
          <t>AI PC</t>
        </is>
      </c>
      <c r="G106" s="45" t="inlineStr">
        <is>
          <t>32GB,1TB SSD</t>
        </is>
      </c>
      <c r="H106" s="45" t="inlineStr">
        <is>
          <t>WINDOWS 11 HOME 64 SL</t>
        </is>
      </c>
      <c r="I106" s="45" t="inlineStr">
        <is>
          <t xml:space="preserve">OFFICE H&amp;S 2021  </t>
        </is>
      </c>
      <c r="J106" s="45" t="inlineStr">
        <is>
          <t>NVIDIA® GeForce RTX™ 4050 6GB GDDR6</t>
        </is>
      </c>
      <c r="K106" s="63" t="inlineStr">
        <is>
          <t>16" 3.2K (3200x2000) IPS 400nits Glossy / Anti-fingerprint, 100% P3, 100% sRGB, 165Hz, Eyesafe®, Dolby Vision®, Glass, Touch, TCON</t>
        </is>
      </c>
      <c r="L106" s="63" t="inlineStr">
        <is>
          <t>Luna Grey</t>
        </is>
      </c>
      <c r="M106" s="45" t="inlineStr">
        <is>
          <t>2Kg</t>
        </is>
      </c>
      <c r="N106" s="45" t="inlineStr">
        <is>
          <t>GX41A41186</t>
        </is>
      </c>
      <c r="O106" s="45" t="inlineStr">
        <is>
          <t>1 Year Onsite</t>
        </is>
      </c>
      <c r="P106" s="63" t="inlineStr">
        <is>
          <t>1 Year Hard bundled Premium Care</t>
        </is>
      </c>
      <c r="Q106" s="45" t="inlineStr">
        <is>
          <t>1 Year ADP</t>
        </is>
      </c>
      <c r="R106" s="45" t="inlineStr">
        <is>
          <t>Backlit</t>
        </is>
      </c>
      <c r="S106" s="45" t="inlineStr">
        <is>
          <t>IR Camera</t>
        </is>
      </c>
      <c r="T106" s="53">
        <f>IF(W106&lt;45000,"Entry",IF(W106&gt;72000,"Premium","Mainstream"))</f>
        <v/>
      </c>
      <c r="U106" s="73" t="n">
        <v>176654.985203693</v>
      </c>
      <c r="V106" s="73" t="n"/>
      <c r="W106" s="73">
        <f>U106-V106</f>
        <v/>
      </c>
      <c r="X106" t="n">
        <v>181890</v>
      </c>
    </row>
    <row r="107">
      <c r="B107" s="45" t="inlineStr">
        <is>
          <t>Yoga Slim 6</t>
        </is>
      </c>
      <c r="C107" s="45" t="inlineStr">
        <is>
          <t>Thin &amp; Light</t>
        </is>
      </c>
      <c r="D107" s="45" t="inlineStr">
        <is>
          <t>83E00012IN</t>
        </is>
      </c>
      <c r="E107" s="45" t="inlineStr">
        <is>
          <t>i5-13500H</t>
        </is>
      </c>
      <c r="F107" s="45" t="n"/>
      <c r="G107" s="45" t="inlineStr">
        <is>
          <t>16GB,1TB SSD</t>
        </is>
      </c>
      <c r="H107" s="45" t="inlineStr">
        <is>
          <t>WINDOWS 11 HOME 64 SL</t>
        </is>
      </c>
      <c r="I107" s="45" t="inlineStr">
        <is>
          <t xml:space="preserve">OFFICE H&amp;S 2021  </t>
        </is>
      </c>
      <c r="J107" s="45" t="inlineStr">
        <is>
          <t>INTEGRATED_GRAPHICS</t>
        </is>
      </c>
      <c r="K107" s="63" t="inlineStr">
        <is>
          <t>14" WUXGA (1920x1200) OLED 400nits Glossy, 100% DCI-P3, 60Hz, Eyesafe®, Dolby® Vision™, DisplayHDR™ True Black 500</t>
        </is>
      </c>
      <c r="L107" s="63" t="inlineStr">
        <is>
          <t>Storm Grey</t>
        </is>
      </c>
      <c r="M107" s="45" t="inlineStr">
        <is>
          <t>1.35Kg</t>
        </is>
      </c>
      <c r="N107" s="45" t="inlineStr">
        <is>
          <t>GX41A41186</t>
        </is>
      </c>
      <c r="O107" s="45" t="inlineStr">
        <is>
          <t>1 Year Onsite</t>
        </is>
      </c>
      <c r="P107" s="63" t="inlineStr">
        <is>
          <t>1 Year Hard bundled Premium Care</t>
        </is>
      </c>
      <c r="Q107" s="45" t="inlineStr">
        <is>
          <t>1 Year ADP</t>
        </is>
      </c>
      <c r="R107" s="45" t="inlineStr">
        <is>
          <t xml:space="preserve">Backlit </t>
        </is>
      </c>
      <c r="S107" s="45" t="inlineStr">
        <is>
          <t>IR Camera</t>
        </is>
      </c>
      <c r="T107" s="53">
        <f>IF(W107&lt;45000,"Entry",IF(W107&gt;72000,"Premium","Mainstream"))</f>
        <v/>
      </c>
      <c r="U107" s="73" t="n">
        <v>82594.82598325102</v>
      </c>
      <c r="V107" s="73" t="n">
        <v>4410.84</v>
      </c>
      <c r="W107" s="73">
        <f>U107-V107</f>
        <v/>
      </c>
      <c r="X107" t="n">
        <v>85890</v>
      </c>
    </row>
    <row r="108">
      <c r="B108" s="45" t="inlineStr">
        <is>
          <t>Yoga Slim 6</t>
        </is>
      </c>
      <c r="C108" s="45" t="inlineStr">
        <is>
          <t>Thin &amp; Light</t>
        </is>
      </c>
      <c r="D108" s="45" t="inlineStr">
        <is>
          <t>83E00017IN</t>
        </is>
      </c>
      <c r="E108" s="45" t="inlineStr">
        <is>
          <t>i7-13700H</t>
        </is>
      </c>
      <c r="F108" s="45" t="n"/>
      <c r="G108" s="45" t="inlineStr">
        <is>
          <t>16GB,1TB SSD</t>
        </is>
      </c>
      <c r="H108" s="45" t="inlineStr">
        <is>
          <t>WINDOWS 11 HOME 64 SL</t>
        </is>
      </c>
      <c r="I108" s="45" t="inlineStr">
        <is>
          <t xml:space="preserve">OFFICE H&amp;S 2021  </t>
        </is>
      </c>
      <c r="J108" s="45" t="inlineStr">
        <is>
          <t>INTEGRATED_GRAPHICS</t>
        </is>
      </c>
      <c r="K108" s="63" t="inlineStr">
        <is>
          <t>14" WUXGA (1920x1200) OLED 400nits Glossy, 100% DCI-P3, 60Hz, Eyesafe®, Dolby® Vision™, DisplayHDR™ True Black 500</t>
        </is>
      </c>
      <c r="L108" s="63" t="inlineStr">
        <is>
          <t>Storm Grey</t>
        </is>
      </c>
      <c r="M108" s="45" t="inlineStr">
        <is>
          <t>1.35Kg</t>
        </is>
      </c>
      <c r="N108" s="45" t="inlineStr">
        <is>
          <t>GX41A41186</t>
        </is>
      </c>
      <c r="O108" s="45" t="inlineStr">
        <is>
          <t>1 Year Onsite</t>
        </is>
      </c>
      <c r="P108" s="63" t="inlineStr">
        <is>
          <t>1 Year Hard bundled Premium Care</t>
        </is>
      </c>
      <c r="Q108" s="45" t="inlineStr">
        <is>
          <t>1 Year ADP</t>
        </is>
      </c>
      <c r="R108" s="45" t="inlineStr">
        <is>
          <t xml:space="preserve">Backlit </t>
        </is>
      </c>
      <c r="S108" s="45" t="inlineStr">
        <is>
          <t>IR Camera</t>
        </is>
      </c>
      <c r="T108" s="53">
        <f>IF(W108&lt;45000,"Entry",IF(W108&gt;72000,"Premium","Mainstream"))</f>
        <v/>
      </c>
      <c r="U108" s="73" t="n">
        <v>92689.59641348827</v>
      </c>
      <c r="V108" s="73" t="n"/>
      <c r="W108" s="73">
        <f>U108-V108</f>
        <v/>
      </c>
      <c r="X108" t="n">
        <v>93153.03999999999</v>
      </c>
    </row>
    <row r="109">
      <c r="B109" s="45" t="inlineStr">
        <is>
          <t>Yoga Slim 7</t>
        </is>
      </c>
      <c r="C109" s="45" t="inlineStr">
        <is>
          <t>Thin &amp; Light</t>
        </is>
      </c>
      <c r="D109" s="45" t="inlineStr">
        <is>
          <t>83CV00D0IN</t>
        </is>
      </c>
      <c r="E109" s="45" t="inlineStr">
        <is>
          <t>Core Ultra 5 125H</t>
        </is>
      </c>
      <c r="F109" s="45" t="inlineStr">
        <is>
          <t>AI PC</t>
        </is>
      </c>
      <c r="G109" s="45" t="inlineStr">
        <is>
          <t>16GB, 1TB SSD</t>
        </is>
      </c>
      <c r="H109" s="45" t="inlineStr">
        <is>
          <t>WINDOWS 11 HOME 64 SL</t>
        </is>
      </c>
      <c r="I109" s="45" t="inlineStr">
        <is>
          <t>OFFICE H&amp;S 2024</t>
        </is>
      </c>
      <c r="J109" s="45" t="inlineStr">
        <is>
          <t>INTEGRATED_GRAPHICS</t>
        </is>
      </c>
      <c r="K109" s="63" t="inlineStr">
        <is>
          <t>14_WUXGA_OLED_GL_400N_HDR_P3</t>
        </is>
      </c>
      <c r="L109" s="63" t="inlineStr">
        <is>
          <t>LUNA_GREY</t>
        </is>
      </c>
      <c r="M109" s="45" t="inlineStr">
        <is>
          <t>1.39Kg</t>
        </is>
      </c>
      <c r="N109" s="45" t="inlineStr">
        <is>
          <t>GX41A41186</t>
        </is>
      </c>
      <c r="O109" s="45" t="inlineStr">
        <is>
          <t>1 Year Onsite</t>
        </is>
      </c>
      <c r="P109" s="63" t="inlineStr">
        <is>
          <t>1 Year Hard bundled Premium Care</t>
        </is>
      </c>
      <c r="Q109" s="45" t="inlineStr">
        <is>
          <t>1 Year ADP</t>
        </is>
      </c>
      <c r="R109" s="45" t="inlineStr">
        <is>
          <t>Backlit</t>
        </is>
      </c>
      <c r="S109" s="45" t="inlineStr">
        <is>
          <t>IR Camera</t>
        </is>
      </c>
      <c r="T109" s="53">
        <f>IF(W109&lt;45000,"Entry",IF(W109&gt;72000,"Premium","Mainstream"))</f>
        <v/>
      </c>
      <c r="U109" s="73" t="n">
        <v>81135.40439361824</v>
      </c>
      <c r="V109" s="73" t="n"/>
      <c r="W109" s="73">
        <f>U109-V109</f>
        <v/>
      </c>
      <c r="X109" t="n">
        <v>89890</v>
      </c>
    </row>
    <row r="110">
      <c r="B110" s="45" t="inlineStr">
        <is>
          <t>Yoga Slim 7</t>
        </is>
      </c>
      <c r="C110" s="45" t="inlineStr">
        <is>
          <t>Thin &amp; Light</t>
        </is>
      </c>
      <c r="D110" s="45" t="inlineStr">
        <is>
          <t>83CV00DGIN</t>
        </is>
      </c>
      <c r="E110" s="45" t="inlineStr">
        <is>
          <t>Core Ultra 5 125H</t>
        </is>
      </c>
      <c r="F110" s="45" t="inlineStr">
        <is>
          <t>AI PC</t>
        </is>
      </c>
      <c r="G110" s="45" t="inlineStr">
        <is>
          <t>16GB, 1TB SSD</t>
        </is>
      </c>
      <c r="H110" s="45" t="inlineStr">
        <is>
          <t>WINDOWS 11 HOME 64 SL</t>
        </is>
      </c>
      <c r="I110" s="45" t="inlineStr">
        <is>
          <t>M365 Basic + OFFICE H&amp;S 2024</t>
        </is>
      </c>
      <c r="J110" s="45" t="inlineStr">
        <is>
          <t>INTEGRATED_GRAPHICS</t>
        </is>
      </c>
      <c r="K110" s="63" t="inlineStr">
        <is>
          <t>14_WUXGA_OLED_GL_400N_HDR_P3</t>
        </is>
      </c>
      <c r="L110" s="63" t="inlineStr">
        <is>
          <t>LUNA_GREY</t>
        </is>
      </c>
      <c r="M110" s="45" t="inlineStr">
        <is>
          <t>1.39Kg</t>
        </is>
      </c>
      <c r="N110" s="45" t="inlineStr">
        <is>
          <t>GX41A41186</t>
        </is>
      </c>
      <c r="O110" s="45" t="inlineStr">
        <is>
          <t>1 Year Onsite</t>
        </is>
      </c>
      <c r="P110" s="63" t="inlineStr">
        <is>
          <t>1 Year Hard bundled Premium Care</t>
        </is>
      </c>
      <c r="Q110" s="45" t="inlineStr">
        <is>
          <t>1 Year ADP</t>
        </is>
      </c>
      <c r="R110" s="45" t="inlineStr">
        <is>
          <t>Backlit</t>
        </is>
      </c>
      <c r="S110" s="45" t="inlineStr">
        <is>
          <t>IR Camera</t>
        </is>
      </c>
      <c r="T110" s="53">
        <f>IF(W110&lt;45000,"Entry",IF(W110&gt;72000,"Premium","Mainstream"))</f>
        <v/>
      </c>
      <c r="U110" s="73" t="n">
        <v>81135.40439361824</v>
      </c>
      <c r="V110" s="73" t="n"/>
      <c r="W110" s="73">
        <f>U110-V110</f>
        <v/>
      </c>
      <c r="X110" t="n">
        <v>89890</v>
      </c>
    </row>
    <row r="111">
      <c r="B111" s="45" t="inlineStr">
        <is>
          <t>Yoga Slim 7</t>
        </is>
      </c>
      <c r="C111" s="45" t="inlineStr">
        <is>
          <t>Thin &amp; Light</t>
        </is>
      </c>
      <c r="D111" s="45" t="inlineStr">
        <is>
          <t>83CV008XIN</t>
        </is>
      </c>
      <c r="E111" s="45" t="inlineStr">
        <is>
          <t>Core Ultra 7 155H</t>
        </is>
      </c>
      <c r="F111" s="45" t="inlineStr">
        <is>
          <t>AI PC</t>
        </is>
      </c>
      <c r="G111" s="45" t="inlineStr">
        <is>
          <t>32GB, 1TB SSD</t>
        </is>
      </c>
      <c r="H111" s="45" t="inlineStr">
        <is>
          <t>WINDOWS 11 HOME 64 SL</t>
        </is>
      </c>
      <c r="I111" s="45" t="inlineStr">
        <is>
          <t>OFFICE H&amp;S 2024</t>
        </is>
      </c>
      <c r="J111" s="45" t="inlineStr">
        <is>
          <t>INTEGRATED_GRAPHICS</t>
        </is>
      </c>
      <c r="K111" s="63" t="inlineStr">
        <is>
          <t>14_WUXGA_OLED_GL_400N_HDR_P3</t>
        </is>
      </c>
      <c r="L111" s="63" t="inlineStr">
        <is>
          <t>LUNA_GREY</t>
        </is>
      </c>
      <c r="M111" s="45" t="inlineStr">
        <is>
          <t>1.39Kg</t>
        </is>
      </c>
      <c r="N111" s="45" t="inlineStr">
        <is>
          <t>GX41A41186</t>
        </is>
      </c>
      <c r="O111" s="45" t="inlineStr">
        <is>
          <t>1 Year Onsite</t>
        </is>
      </c>
      <c r="P111" s="63" t="inlineStr">
        <is>
          <t>1 Year Hard bundled Premium Care</t>
        </is>
      </c>
      <c r="Q111" s="45" t="inlineStr">
        <is>
          <t>1 Year ADP</t>
        </is>
      </c>
      <c r="R111" s="45" t="inlineStr">
        <is>
          <t>Backlit</t>
        </is>
      </c>
      <c r="S111" s="45" t="inlineStr">
        <is>
          <t>IR Camera</t>
        </is>
      </c>
      <c r="T111" s="53">
        <f>IF(W111&lt;45000,"Entry",IF(W111&gt;72000,"Premium","Mainstream"))</f>
        <v/>
      </c>
      <c r="U111" s="73" t="n">
        <v>102710.9579956332</v>
      </c>
      <c r="V111" s="73" t="n"/>
      <c r="W111" s="73">
        <f>U111-V111</f>
        <v/>
      </c>
      <c r="X111" t="n">
        <v>121890</v>
      </c>
    </row>
    <row r="112">
      <c r="B112" s="45" t="inlineStr">
        <is>
          <t>Yoga Slim 7</t>
        </is>
      </c>
      <c r="C112" s="45" t="inlineStr">
        <is>
          <t>Thin &amp; Light</t>
        </is>
      </c>
      <c r="D112" s="45" t="inlineStr">
        <is>
          <t>83CV00D3IN</t>
        </is>
      </c>
      <c r="E112" s="45" t="inlineStr">
        <is>
          <t>Core Ultra 7 155H</t>
        </is>
      </c>
      <c r="F112" s="45" t="inlineStr">
        <is>
          <t>AI PC</t>
        </is>
      </c>
      <c r="G112" s="45" t="inlineStr">
        <is>
          <t>32GB, 1TB SSD</t>
        </is>
      </c>
      <c r="H112" s="45" t="inlineStr">
        <is>
          <t>WINDOWS 11 HOME 64 SL</t>
        </is>
      </c>
      <c r="I112" s="45" t="inlineStr">
        <is>
          <t>OFFICE H&amp;S 2024</t>
        </is>
      </c>
      <c r="J112" s="45" t="inlineStr">
        <is>
          <t>INTEGRATED_GRAPHICS</t>
        </is>
      </c>
      <c r="K112" s="63" t="inlineStr">
        <is>
          <t>14_WUXGA_OLED_GL_400N_HDR_P3</t>
        </is>
      </c>
      <c r="L112" s="63" t="inlineStr">
        <is>
          <t>LUNA_GREY</t>
        </is>
      </c>
      <c r="M112" s="45" t="inlineStr">
        <is>
          <t>1.39Kg</t>
        </is>
      </c>
      <c r="N112" s="45" t="inlineStr">
        <is>
          <t>GX41A41186</t>
        </is>
      </c>
      <c r="O112" s="45" t="inlineStr">
        <is>
          <t>1 Year Onsite</t>
        </is>
      </c>
      <c r="P112" s="63" t="inlineStr">
        <is>
          <t>1 Year Hard bundled Premium Care</t>
        </is>
      </c>
      <c r="Q112" s="45" t="inlineStr">
        <is>
          <t>1 Year ADP</t>
        </is>
      </c>
      <c r="R112" s="45" t="inlineStr">
        <is>
          <t>Backlit</t>
        </is>
      </c>
      <c r="S112" s="45" t="inlineStr">
        <is>
          <t>IR Camera</t>
        </is>
      </c>
      <c r="T112" s="53">
        <f>IF(W112&lt;45000,"Entry",IF(W112&gt;72000,"Premium","Mainstream"))</f>
        <v/>
      </c>
      <c r="U112" s="73" t="n">
        <v>101680.2987956332</v>
      </c>
      <c r="V112" s="73" t="n"/>
      <c r="W112" s="73">
        <f>U112-V112</f>
        <v/>
      </c>
      <c r="X112" t="n">
        <v>102188.7</v>
      </c>
    </row>
    <row r="113">
      <c r="B113" s="45" t="inlineStr">
        <is>
          <t>Yoga Slim 7</t>
        </is>
      </c>
      <c r="C113" s="45" t="inlineStr">
        <is>
          <t>Thin &amp; Light</t>
        </is>
      </c>
      <c r="D113" s="45" t="inlineStr">
        <is>
          <t>83JY000UIN</t>
        </is>
      </c>
      <c r="E113" s="45" t="inlineStr">
        <is>
          <t>Ryzen AI 7 350</t>
        </is>
      </c>
      <c r="F113" s="45" t="inlineStr">
        <is>
          <t>Co-Pilot+ PC</t>
        </is>
      </c>
      <c r="G113" s="45" t="inlineStr">
        <is>
          <t>32GB,1TB SSD</t>
        </is>
      </c>
      <c r="H113" s="45" t="inlineStr">
        <is>
          <t>WINDOWS 11 HOME 64 SL</t>
        </is>
      </c>
      <c r="I113" s="45" t="inlineStr">
        <is>
          <t>OFFICE H&amp;S 2024</t>
        </is>
      </c>
      <c r="J113" s="45" t="inlineStr">
        <is>
          <t>Integrated AMD Radeon™ 860M Graphics</t>
        </is>
      </c>
      <c r="K113" s="63" t="inlineStr">
        <is>
          <t>14" WUXGA (1920x1200) OLED 600nits (peak) / 400nits (typical) Glossy, 100% DCI-P3, 60Hz, Eyesafe®, Dolby Vision®, DisplayHDR™ True Black 500, X-Rite®</t>
        </is>
      </c>
      <c r="L113" s="63" t="inlineStr">
        <is>
          <t>Tidal Teal</t>
        </is>
      </c>
      <c r="M113" s="45" t="inlineStr">
        <is>
          <t>1.19Kg</t>
        </is>
      </c>
      <c r="N113" s="45" t="inlineStr">
        <is>
          <t>GX41A41186</t>
        </is>
      </c>
      <c r="O113" s="45" t="inlineStr">
        <is>
          <t>1 Year Onsite</t>
        </is>
      </c>
      <c r="P113" s="63" t="inlineStr">
        <is>
          <t>1 Year Hard bundled Premium Care</t>
        </is>
      </c>
      <c r="Q113" s="45" t="inlineStr">
        <is>
          <t>1 Year ADP</t>
        </is>
      </c>
      <c r="R113" s="45" t="inlineStr">
        <is>
          <t>Backlit</t>
        </is>
      </c>
      <c r="S113" s="45" t="inlineStr">
        <is>
          <t>FHD 1080p + IR with E-shutter</t>
        </is>
      </c>
      <c r="T113" s="53">
        <f>IF(W113&lt;45000,"Entry",IF(W113&gt;72000,"Premium","Mainstream"))</f>
        <v/>
      </c>
      <c r="U113" s="73" t="n">
        <v>110494.5398070079</v>
      </c>
      <c r="V113" s="73" t="n"/>
      <c r="W113" s="73">
        <f>U113-V113</f>
        <v/>
      </c>
      <c r="X113" t="n">
        <v>111047.01</v>
      </c>
    </row>
    <row r="114">
      <c r="B114" s="45" t="inlineStr">
        <is>
          <t>Yoga Slim 7</t>
        </is>
      </c>
      <c r="C114" s="45" t="inlineStr">
        <is>
          <t>Thin &amp; Light</t>
        </is>
      </c>
      <c r="D114" s="45" t="inlineStr">
        <is>
          <t>83JY005YIN</t>
        </is>
      </c>
      <c r="E114" s="45" t="inlineStr">
        <is>
          <t>Ryzen AI 7 350</t>
        </is>
      </c>
      <c r="F114" s="45" t="inlineStr">
        <is>
          <t>Co-Pilot+ PC</t>
        </is>
      </c>
      <c r="G114" s="45" t="inlineStr">
        <is>
          <t>32GB,1TB SSD</t>
        </is>
      </c>
      <c r="H114" s="45" t="inlineStr">
        <is>
          <t>WINDOWS 11 HOME 64 SL</t>
        </is>
      </c>
      <c r="I114" s="45" t="inlineStr">
        <is>
          <t>OFFICE H&amp;S 2024</t>
        </is>
      </c>
      <c r="J114" s="45" t="inlineStr">
        <is>
          <t>Integrated AMD Radeon™ 860M Graphics</t>
        </is>
      </c>
      <c r="K114" s="63" t="inlineStr">
        <is>
          <t>14" WUXGA (1920x1200) OLED 600nits (peak) / 400nits (typical) Glossy, 100% DCI-P3, 60Hz, Eyesafe®, Dolby Vision®, DisplayHDR™ True Black 500, X-Rite®</t>
        </is>
      </c>
      <c r="L114" s="63" t="inlineStr">
        <is>
          <t>Tidal Teal</t>
        </is>
      </c>
      <c r="M114" s="45" t="inlineStr">
        <is>
          <t>1.19Kg</t>
        </is>
      </c>
      <c r="N114" s="45" t="inlineStr">
        <is>
          <t>GX41A41186</t>
        </is>
      </c>
      <c r="O114" s="45" t="inlineStr">
        <is>
          <t>1 Year Onsite</t>
        </is>
      </c>
      <c r="P114" s="63" t="inlineStr">
        <is>
          <t>1 Year Hard bundled Premium Care</t>
        </is>
      </c>
      <c r="Q114" s="45" t="inlineStr">
        <is>
          <t>1 Year ADP</t>
        </is>
      </c>
      <c r="R114" s="45" t="inlineStr">
        <is>
          <t>Backlit</t>
        </is>
      </c>
      <c r="S114" s="45" t="inlineStr">
        <is>
          <t>FHD 1080p + IR with E-shutter</t>
        </is>
      </c>
      <c r="T114" s="53">
        <f>IF(W114&lt;45000,"Entry",IF(W114&gt;72000,"Premium","Mainstream"))</f>
        <v/>
      </c>
      <c r="U114" s="73" t="n">
        <v>110494.5398070079</v>
      </c>
      <c r="V114" s="73" t="n"/>
      <c r="W114" s="73">
        <f>U114-V114</f>
        <v/>
      </c>
      <c r="X114" t="n">
        <v>111047.01</v>
      </c>
    </row>
    <row r="115">
      <c r="B115" s="45" t="inlineStr">
        <is>
          <t>Yoga Slim 7</t>
        </is>
      </c>
      <c r="C115" s="45" t="inlineStr">
        <is>
          <t>Thin &amp; Light</t>
        </is>
      </c>
      <c r="D115" s="45" t="inlineStr">
        <is>
          <t>83JY0069IN</t>
        </is>
      </c>
      <c r="E115" s="45" t="inlineStr">
        <is>
          <t>Ryzen AI 7 350</t>
        </is>
      </c>
      <c r="F115" s="45" t="inlineStr">
        <is>
          <t>Co-Pilot+ PC</t>
        </is>
      </c>
      <c r="G115" s="45" t="inlineStr">
        <is>
          <t>32GB,1TB SSD</t>
        </is>
      </c>
      <c r="H115" s="45" t="inlineStr">
        <is>
          <t>WINDOWS 11 HOME 64 SL</t>
        </is>
      </c>
      <c r="I115" s="45" t="inlineStr">
        <is>
          <t>M365 Basic+OFFICE H&amp;S 2024</t>
        </is>
      </c>
      <c r="J115" s="45" t="inlineStr">
        <is>
          <t>Integrated AMD Radeon™ 860M Graphics</t>
        </is>
      </c>
      <c r="K115" s="63" t="inlineStr">
        <is>
          <t>14" WUXGA (1920x1200) OLED 600nits (peak) / 400nits (typical) Glossy, 100% DCI-P3, 60Hz, Eyesafe®, Dolby Vision®, DisplayHDR™ True Black 500, X-Rite®</t>
        </is>
      </c>
      <c r="L115" s="63" t="inlineStr">
        <is>
          <t>Tidal Teal</t>
        </is>
      </c>
      <c r="M115" s="45" t="inlineStr">
        <is>
          <t>1.19Kg</t>
        </is>
      </c>
      <c r="N115" s="45" t="inlineStr">
        <is>
          <t>GX41A41186</t>
        </is>
      </c>
      <c r="O115" s="45" t="inlineStr">
        <is>
          <t>1 Year Onsite</t>
        </is>
      </c>
      <c r="P115" s="63" t="inlineStr">
        <is>
          <t>1 Year Hard bundled Premium Care</t>
        </is>
      </c>
      <c r="Q115" s="45" t="inlineStr">
        <is>
          <t>1 Year ADP</t>
        </is>
      </c>
      <c r="R115" s="45" t="inlineStr">
        <is>
          <t>Backlit</t>
        </is>
      </c>
      <c r="S115" s="45" t="inlineStr">
        <is>
          <t>FHD 1080p + IR with E-shutter</t>
        </is>
      </c>
      <c r="T115" s="53">
        <f>IF(W115&lt;45000,"Entry",IF(W115&gt;72000,"Premium","Mainstream"))</f>
        <v/>
      </c>
      <c r="U115" s="73" t="n">
        <v>110494.5398070079</v>
      </c>
      <c r="V115" s="73" t="n"/>
      <c r="W115" s="73">
        <f>U115-V115</f>
        <v/>
      </c>
      <c r="X115" t="n">
        <v>111047.01</v>
      </c>
    </row>
    <row r="116">
      <c r="B116" s="45" t="inlineStr">
        <is>
          <t>Yoga Slim 7</t>
        </is>
      </c>
      <c r="C116" s="45" t="inlineStr">
        <is>
          <t>Thin &amp; Light</t>
        </is>
      </c>
      <c r="D116" s="45" t="inlineStr">
        <is>
          <t>83CV00B3IN</t>
        </is>
      </c>
      <c r="E116" s="45" t="inlineStr">
        <is>
          <t>Core Ultra 9 185H</t>
        </is>
      </c>
      <c r="F116" s="45" t="inlineStr">
        <is>
          <t>AI PC</t>
        </is>
      </c>
      <c r="G116" s="45" t="inlineStr">
        <is>
          <t>32GB, 1TB SSD</t>
        </is>
      </c>
      <c r="H116" s="45" t="inlineStr">
        <is>
          <t>WINDOWS 11 HOME 64 SL</t>
        </is>
      </c>
      <c r="I116" s="45" t="inlineStr">
        <is>
          <t>M365 Basic+OFFICE H&amp;S 2024</t>
        </is>
      </c>
      <c r="J116" s="45" t="inlineStr">
        <is>
          <t>INTEGRATED_GRAPHICS</t>
        </is>
      </c>
      <c r="K116" s="63" t="inlineStr">
        <is>
          <t>14_WUXGA_OLED_GL_400N_HDR_P3</t>
        </is>
      </c>
      <c r="L116" s="63" t="inlineStr">
        <is>
          <t>LUNA_GREY</t>
        </is>
      </c>
      <c r="M116" s="45" t="inlineStr">
        <is>
          <t>1.39Kg</t>
        </is>
      </c>
      <c r="N116" s="45" t="inlineStr">
        <is>
          <t>GX41A41186</t>
        </is>
      </c>
      <c r="O116" s="45" t="inlineStr">
        <is>
          <t>1 Year Onsite</t>
        </is>
      </c>
      <c r="P116" s="63" t="inlineStr">
        <is>
          <t>1 Year Hard bundled Premium Care</t>
        </is>
      </c>
      <c r="Q116" s="45" t="inlineStr">
        <is>
          <t>1 Year ADP</t>
        </is>
      </c>
      <c r="R116" s="45" t="inlineStr">
        <is>
          <t>Backlit</t>
        </is>
      </c>
      <c r="S116" s="45" t="inlineStr">
        <is>
          <t>IR Camera</t>
        </is>
      </c>
      <c r="T116" s="53">
        <f>IF(W116&lt;45000,"Entry",IF(W116&gt;72000,"Premium","Mainstream"))</f>
        <v/>
      </c>
      <c r="U116" s="73" t="n">
        <v>109521.5920805861</v>
      </c>
      <c r="V116" s="73" t="n"/>
      <c r="W116" s="73">
        <f>U116-V116</f>
        <v/>
      </c>
      <c r="X116" t="n">
        <v>114890</v>
      </c>
    </row>
    <row r="117">
      <c r="B117" s="45" t="inlineStr">
        <is>
          <t>Yoga Slim 7</t>
        </is>
      </c>
      <c r="C117" s="45" t="inlineStr">
        <is>
          <t>Thin &amp; Light</t>
        </is>
      </c>
      <c r="D117" s="45" t="inlineStr">
        <is>
          <t>83ED003BIN</t>
        </is>
      </c>
      <c r="E117" s="45" t="inlineStr">
        <is>
          <t>Snapdragon® X Elite X1E-78100 12C</t>
        </is>
      </c>
      <c r="F117" s="45" t="inlineStr">
        <is>
          <t>Co-Pilot+ PC</t>
        </is>
      </c>
      <c r="G117" s="45" t="inlineStr">
        <is>
          <t>32GB,1TB SSD</t>
        </is>
      </c>
      <c r="H117" s="45" t="inlineStr">
        <is>
          <t>WINDOWS 11 HOME 64 SL</t>
        </is>
      </c>
      <c r="I117" s="45" t="inlineStr">
        <is>
          <t>OFFICE H&amp;S 2024</t>
        </is>
      </c>
      <c r="J117" s="45" t="inlineStr">
        <is>
          <t>INTEGRATED_GRAPHICS</t>
        </is>
      </c>
      <c r="K117" s="63" t="inlineStr">
        <is>
          <t>14.5" 3K (2944x1840) OLED 1000nits (peak), Touch Screen</t>
        </is>
      </c>
      <c r="L117" s="63" t="inlineStr">
        <is>
          <t>Cosmic Blue</t>
        </is>
      </c>
      <c r="M117" s="45" t="inlineStr">
        <is>
          <t>1.28kg</t>
        </is>
      </c>
      <c r="N117" s="45" t="inlineStr">
        <is>
          <t>GX41A41186</t>
        </is>
      </c>
      <c r="O117" s="45" t="inlineStr">
        <is>
          <t>1 Year Onsite</t>
        </is>
      </c>
      <c r="P117" s="63" t="inlineStr">
        <is>
          <t>1 Year Hard bundled Premium Care</t>
        </is>
      </c>
      <c r="Q117" s="45" t="inlineStr">
        <is>
          <t>1 Year ADP</t>
        </is>
      </c>
      <c r="R117" s="45" t="inlineStr">
        <is>
          <t>Backlit</t>
        </is>
      </c>
      <c r="S117" s="45" t="inlineStr">
        <is>
          <t>IR Camera</t>
        </is>
      </c>
      <c r="T117" s="53">
        <f>IF(W117&lt;45000,"Entry",IF(W117&gt;72000,"Premium","Mainstream"))</f>
        <v/>
      </c>
      <c r="U117" s="73" t="n">
        <v>135220.1429581942</v>
      </c>
      <c r="V117" s="73" t="n">
        <v>6999.759999999999</v>
      </c>
      <c r="W117" s="73">
        <f>U117-V117</f>
        <v/>
      </c>
      <c r="X117" t="n">
        <v>128861.48</v>
      </c>
    </row>
    <row r="118">
      <c r="B118" s="45" t="inlineStr">
        <is>
          <t>Yoga Slim 7 (Aura Edition)</t>
        </is>
      </c>
      <c r="C118" s="45" t="inlineStr">
        <is>
          <t>Thin &amp; Light</t>
        </is>
      </c>
      <c r="D118" s="45" t="inlineStr">
        <is>
          <t>83JX005FIN</t>
        </is>
      </c>
      <c r="E118" s="45" t="inlineStr">
        <is>
          <t>Core Ultra 5 226V</t>
        </is>
      </c>
      <c r="F118" s="45" t="inlineStr">
        <is>
          <t>Co-Pilot+ PC</t>
        </is>
      </c>
      <c r="G118" s="45" t="inlineStr">
        <is>
          <t>16GB, 1TB SSD</t>
        </is>
      </c>
      <c r="H118" s="45" t="inlineStr">
        <is>
          <t>WINDOWS 11 HOME 64 SL</t>
        </is>
      </c>
      <c r="I118" s="45" t="inlineStr">
        <is>
          <t>OFFICE H&amp;S 2024</t>
        </is>
      </c>
      <c r="J118" s="45" t="inlineStr">
        <is>
          <t>Integrated Intel® Arc™ Graphics 130V</t>
        </is>
      </c>
      <c r="K118" s="63" t="inlineStr">
        <is>
          <t>14" WUXGA (1920x1200) OLED 600nits (peak) / 400nits (typical) Glossy, 100% DCI-P3, 60Hz, Eyesafe®, Dolby Vision®, DisplayHDR™ True Black 500, X-Rite®</t>
        </is>
      </c>
      <c r="L118" s="63" t="inlineStr">
        <is>
          <t>Luna Grey</t>
        </is>
      </c>
      <c r="M118" s="45" t="inlineStr">
        <is>
          <t>1.19kg</t>
        </is>
      </c>
      <c r="N118" s="45" t="inlineStr">
        <is>
          <t>GX41A41186</t>
        </is>
      </c>
      <c r="O118" s="45" t="inlineStr">
        <is>
          <t>1 Year Onsite</t>
        </is>
      </c>
      <c r="P118" s="63" t="inlineStr">
        <is>
          <t>1 Year Hard bundled Premium Care</t>
        </is>
      </c>
      <c r="Q118" s="45" t="inlineStr">
        <is>
          <t>1 Year ADP</t>
        </is>
      </c>
      <c r="R118" s="45" t="inlineStr">
        <is>
          <t xml:space="preserve">Backlit </t>
        </is>
      </c>
      <c r="S118" s="45" t="inlineStr">
        <is>
          <t>IR Camera</t>
        </is>
      </c>
      <c r="T118" s="53">
        <f>IF(W118&lt;45000,"Entry",IF(W118&gt;72000,"Premium","Mainstream"))</f>
        <v/>
      </c>
      <c r="U118" s="73" t="n">
        <v>101738.0102692114</v>
      </c>
      <c r="V118" s="73" t="n"/>
      <c r="W118" s="73">
        <f>U118-V118</f>
        <v/>
      </c>
      <c r="X118" t="n">
        <v>104611</v>
      </c>
    </row>
    <row r="119">
      <c r="B119" s="45" t="inlineStr">
        <is>
          <t>Yoga Slim 7 (Aura Edition)</t>
        </is>
      </c>
      <c r="C119" s="45" t="inlineStr">
        <is>
          <t>Thin &amp; Light</t>
        </is>
      </c>
      <c r="D119" s="45" t="inlineStr">
        <is>
          <t>83JX001LIN</t>
        </is>
      </c>
      <c r="E119" s="45" t="inlineStr">
        <is>
          <t>CORE ULT5 228V</t>
        </is>
      </c>
      <c r="F119" s="45" t="inlineStr">
        <is>
          <t>Co-Pilot+ PC</t>
        </is>
      </c>
      <c r="G119" s="45" t="inlineStr">
        <is>
          <t>32GB,1TB SSD</t>
        </is>
      </c>
      <c r="H119" s="45" t="inlineStr">
        <is>
          <t>WINDOWS 11 HOME 64 SL</t>
        </is>
      </c>
      <c r="I119" s="45" t="inlineStr">
        <is>
          <t>OFFICE H&amp;S 2024</t>
        </is>
      </c>
      <c r="J119" s="45" t="inlineStr">
        <is>
          <t>Integrated Intel Arc Graphics 130V</t>
        </is>
      </c>
      <c r="K119" s="63" t="inlineStr">
        <is>
          <t>14" WUXGA (1920x1200) OLED 600nits (peak) / 400nits (typical) Glossy, 100% DCI-P3, 60Hz, Eyesafe®, Dolby Vision®, DisplayHDR™ True Black 500, X-Rite®</t>
        </is>
      </c>
      <c r="L119" s="63" t="inlineStr">
        <is>
          <t>Luna Grey</t>
        </is>
      </c>
      <c r="M119" s="45" t="inlineStr">
        <is>
          <t>1.19kg</t>
        </is>
      </c>
      <c r="N119" s="45" t="inlineStr">
        <is>
          <t>GX41A41186</t>
        </is>
      </c>
      <c r="O119" s="45" t="inlineStr">
        <is>
          <t>1 Year Onsite</t>
        </is>
      </c>
      <c r="P119" s="63" t="inlineStr">
        <is>
          <t>1 Year Hard bundled Premium Care</t>
        </is>
      </c>
      <c r="Q119" s="45" t="inlineStr">
        <is>
          <t>1 Year ADP</t>
        </is>
      </c>
      <c r="R119" s="45" t="inlineStr">
        <is>
          <t xml:space="preserve">Backlit </t>
        </is>
      </c>
      <c r="S119" s="45" t="inlineStr">
        <is>
          <t>IR Camera</t>
        </is>
      </c>
      <c r="T119" s="53">
        <f>IF(W119&lt;45000,"Entry",IF(W119&gt;72000,"Premium","Mainstream"))</f>
        <v/>
      </c>
      <c r="U119" s="73" t="n">
        <v>111467.4875334298</v>
      </c>
      <c r="V119" s="73" t="n"/>
      <c r="W119" s="73">
        <f>U119-V119</f>
        <v/>
      </c>
      <c r="X119" t="n">
        <v>112024.82</v>
      </c>
    </row>
    <row r="120">
      <c r="B120" s="45" t="inlineStr">
        <is>
          <t>Yoga Slim 7 (Aura Edition)</t>
        </is>
      </c>
      <c r="C120" s="45" t="inlineStr">
        <is>
          <t>Thin &amp; Light</t>
        </is>
      </c>
      <c r="D120" s="45" t="inlineStr">
        <is>
          <t>83HM004NIN</t>
        </is>
      </c>
      <c r="E120" s="45" t="inlineStr">
        <is>
          <t>CORE Ultra 7 258V</t>
        </is>
      </c>
      <c r="F120" s="45" t="inlineStr">
        <is>
          <t>Co-Pilot+ PC</t>
        </is>
      </c>
      <c r="G120" s="45" t="inlineStr">
        <is>
          <t>32GB,1TB SSD</t>
        </is>
      </c>
      <c r="H120" s="45" t="inlineStr">
        <is>
          <t>WINDOWS 11 HOME 64 SL</t>
        </is>
      </c>
      <c r="I120" s="45" t="inlineStr">
        <is>
          <t>OFFICE H&amp;S 2024</t>
        </is>
      </c>
      <c r="J120" s="45" t="inlineStr">
        <is>
          <t>INTEGRATED_GRAPHICS</t>
        </is>
      </c>
      <c r="K120" s="63" t="inlineStr">
        <is>
          <t>15.3" 2.8K WQXGA+ (2880x1800) IPS 500nits Glossy / Anti-fingerprint, 100% DCI-P3, 100% sRGB, 120Hz, Eyesafe®, Dolby Vision®, DisplayHDR™ 400, Glass, Touch, TCON</t>
        </is>
      </c>
      <c r="L120" s="63" t="inlineStr">
        <is>
          <t>Luna Grey</t>
        </is>
      </c>
      <c r="M120" s="45" t="inlineStr">
        <is>
          <t>1.53kg</t>
        </is>
      </c>
      <c r="N120" s="45" t="inlineStr">
        <is>
          <t>GX41A41186</t>
        </is>
      </c>
      <c r="O120" s="45" t="inlineStr">
        <is>
          <t>1 Year Onsite</t>
        </is>
      </c>
      <c r="P120" s="63" t="inlineStr">
        <is>
          <t>1 Year Hard bundled Premium Care</t>
        </is>
      </c>
      <c r="Q120" s="45" t="inlineStr">
        <is>
          <t>1 Year ADP</t>
        </is>
      </c>
      <c r="R120" s="45" t="inlineStr">
        <is>
          <t xml:space="preserve">Backlit </t>
        </is>
      </c>
      <c r="S120" s="45" t="inlineStr">
        <is>
          <t>IR Camera</t>
        </is>
      </c>
      <c r="T120" s="53">
        <f>IF(W120&lt;45000,"Entry",IF(W120&gt;72000,"Premium","Mainstream"))</f>
        <v/>
      </c>
      <c r="U120" s="73" t="n">
        <v>143574.7625053505</v>
      </c>
      <c r="V120" s="73" t="n"/>
      <c r="W120" s="73">
        <f>U120-V120</f>
        <v/>
      </c>
      <c r="X120" t="n">
        <v>144292.64</v>
      </c>
    </row>
    <row r="121">
      <c r="B121" s="45" t="inlineStr">
        <is>
          <t>Yoga Slim 7 (Aura Edition)</t>
        </is>
      </c>
      <c r="C121" s="45" t="inlineStr">
        <is>
          <t>Thin &amp; Light</t>
        </is>
      </c>
      <c r="D121" s="45" t="inlineStr">
        <is>
          <t>83HM002GIN</t>
        </is>
      </c>
      <c r="E121" s="45" t="inlineStr">
        <is>
          <t>CORE Ultra 7 258V</t>
        </is>
      </c>
      <c r="F121" s="45" t="inlineStr">
        <is>
          <t>Co-Pilot+ PC</t>
        </is>
      </c>
      <c r="G121" s="45" t="inlineStr">
        <is>
          <t>32GB,1TB SSD</t>
        </is>
      </c>
      <c r="H121" s="45" t="inlineStr">
        <is>
          <t>WINDOWS 11 HOME 64 SL</t>
        </is>
      </c>
      <c r="I121" s="45" t="inlineStr">
        <is>
          <t>OFFICE H&amp;S 2024</t>
        </is>
      </c>
      <c r="J121" s="45" t="inlineStr">
        <is>
          <t>INTEGRATED_GRAPHICS</t>
        </is>
      </c>
      <c r="K121" s="63" t="inlineStr">
        <is>
          <t>15.3" 2.8K WQXGA+ (2880x1800) IPS 500nits Glossy / Anti-fingerprint, 100% DCI-P3, 100% sRGB, 120Hz, Eyesafe®, Dolby Vision®, DisplayHDR™ 400, Glass, Touch, TCON</t>
        </is>
      </c>
      <c r="L121" s="63" t="inlineStr">
        <is>
          <t>Luna Grey</t>
        </is>
      </c>
      <c r="M121" s="45" t="inlineStr">
        <is>
          <t>1.53kg</t>
        </is>
      </c>
      <c r="N121" s="45" t="inlineStr">
        <is>
          <t>GX41A41186</t>
        </is>
      </c>
      <c r="O121" s="45" t="inlineStr">
        <is>
          <t>1 Year Onsite</t>
        </is>
      </c>
      <c r="P121" s="63" t="inlineStr">
        <is>
          <t>1 Year Hard bundled Premium Care</t>
        </is>
      </c>
      <c r="Q121" s="45" t="inlineStr">
        <is>
          <t>1 Year ADP</t>
        </is>
      </c>
      <c r="R121" s="45" t="inlineStr">
        <is>
          <t xml:space="preserve">Backlit </t>
        </is>
      </c>
      <c r="S121" s="45" t="inlineStr">
        <is>
          <t>IR Camera</t>
        </is>
      </c>
      <c r="T121" s="53">
        <f>IF(W121&lt;45000,"Entry",IF(W121&gt;72000,"Premium","Mainstream"))</f>
        <v/>
      </c>
      <c r="U121" s="73" t="n">
        <v>143574.7625053505</v>
      </c>
      <c r="V121" s="73" t="n"/>
      <c r="W121" s="73">
        <f>U121-V121</f>
        <v/>
      </c>
      <c r="X121" t="n">
        <v>144292.64</v>
      </c>
    </row>
    <row r="122">
      <c r="B122" s="45" t="inlineStr">
        <is>
          <t>Yoga Slim 7 (Aura Edition)</t>
        </is>
      </c>
      <c r="C122" s="45" t="inlineStr">
        <is>
          <t>Thin &amp; Light</t>
        </is>
      </c>
      <c r="D122" s="45" t="inlineStr">
        <is>
          <t>83JX001MIN</t>
        </is>
      </c>
      <c r="E122" s="45" t="inlineStr">
        <is>
          <t>CORE Ultra 7 258V</t>
        </is>
      </c>
      <c r="F122" s="45" t="inlineStr">
        <is>
          <t>Co-Pilot+ PC</t>
        </is>
      </c>
      <c r="G122" s="45" t="inlineStr">
        <is>
          <t>32GB,1TB SSD</t>
        </is>
      </c>
      <c r="H122" s="45" t="inlineStr">
        <is>
          <t>WINDOWS 11 HOME 64 SL</t>
        </is>
      </c>
      <c r="I122" s="45" t="inlineStr">
        <is>
          <t>OFFICE H&amp;S 2024</t>
        </is>
      </c>
      <c r="J122" s="45" t="inlineStr">
        <is>
          <t>Integrated Intel® Arc™ Graphics 140V</t>
        </is>
      </c>
      <c r="K122" s="63" t="inlineStr">
        <is>
          <t>14" WUXGA (1920x1200) OLED 600nits (peak) / 400nits (typical) Glossy, 100% DCI-P3, 60Hz, Eyesafe®, Dolby Vision®, DisplayHDR™ True Black 500, X-Rite®</t>
        </is>
      </c>
      <c r="L122" s="63" t="inlineStr">
        <is>
          <t>Luna Grey</t>
        </is>
      </c>
      <c r="M122" s="45" t="inlineStr">
        <is>
          <t>1.19kg</t>
        </is>
      </c>
      <c r="N122" s="45" t="inlineStr">
        <is>
          <t>GX41A41186</t>
        </is>
      </c>
      <c r="O122" s="45" t="inlineStr">
        <is>
          <t>1 Year Onsite</t>
        </is>
      </c>
      <c r="P122" s="63" t="inlineStr">
        <is>
          <t>1 Year Hard bundled Premium Care</t>
        </is>
      </c>
      <c r="Q122" s="45" t="inlineStr">
        <is>
          <t>1 Year ADP</t>
        </is>
      </c>
      <c r="R122" s="45" t="inlineStr">
        <is>
          <t xml:space="preserve">Backlit </t>
        </is>
      </c>
      <c r="S122" s="45" t="inlineStr">
        <is>
          <t>IR Camera</t>
        </is>
      </c>
      <c r="T122" s="53">
        <f>IF(W122&lt;45000,"Entry",IF(W122&gt;72000,"Premium","Mainstream"))</f>
        <v/>
      </c>
      <c r="U122" s="73" t="n">
        <v>128124.5977053505</v>
      </c>
      <c r="V122" s="73" t="n"/>
      <c r="W122" s="73">
        <f>U122-V122</f>
        <v/>
      </c>
      <c r="X122" t="n">
        <v>128765.22</v>
      </c>
    </row>
    <row r="123">
      <c r="B123" s="45" t="inlineStr">
        <is>
          <t>Yoga Slim 9</t>
        </is>
      </c>
      <c r="C123" s="45" t="inlineStr">
        <is>
          <t>Thin &amp; Light</t>
        </is>
      </c>
      <c r="D123" s="45" t="inlineStr">
        <is>
          <t>83CX002LIN</t>
        </is>
      </c>
      <c r="E123" s="45" t="inlineStr">
        <is>
          <t>Core Ultra 7 258V</t>
        </is>
      </c>
      <c r="F123" s="45" t="inlineStr">
        <is>
          <t>Co-Pilot+ PC</t>
        </is>
      </c>
      <c r="G123" s="45" t="inlineStr">
        <is>
          <t>32GB, 1TB SSD</t>
        </is>
      </c>
      <c r="H123" s="45" t="inlineStr">
        <is>
          <t>WINDOWS 11 HOME 64 SL</t>
        </is>
      </c>
      <c r="I123" s="45" t="inlineStr">
        <is>
          <t>OFFICE HOME 2024</t>
        </is>
      </c>
      <c r="J123" s="45" t="inlineStr">
        <is>
          <t>Integrated Intel Arc Graphics 140V</t>
        </is>
      </c>
      <c r="K123" s="63" t="inlineStr">
        <is>
          <t>14" 4K WQUXGA (3840x2400) OLED 750nits (peak) / 600nits (typical) Glossy, 100% DCI-P3, 120Hz, Eyesafe®, Dolby Vision®, DisplayHDR™ True Black 600, Glass, Touch, X-Rite®, PureSight Pro</t>
        </is>
      </c>
      <c r="L123" s="63" t="inlineStr">
        <is>
          <t>Tidal Teal</t>
        </is>
      </c>
      <c r="M123" s="45" t="inlineStr">
        <is>
          <t>1.23kg</t>
        </is>
      </c>
      <c r="N123" s="45" t="inlineStr">
        <is>
          <t>GX41A41186</t>
        </is>
      </c>
      <c r="O123" s="45" t="inlineStr">
        <is>
          <t>1 Year Onsite</t>
        </is>
      </c>
      <c r="P123" s="63" t="inlineStr">
        <is>
          <t>1 Year Hard bundled Premium Care</t>
        </is>
      </c>
      <c r="Q123" s="45" t="inlineStr">
        <is>
          <t>1 Year ADP</t>
        </is>
      </c>
      <c r="R123" s="45" t="inlineStr">
        <is>
          <t>Backlit</t>
        </is>
      </c>
      <c r="S123" s="45" t="inlineStr">
        <is>
          <t>FHD 1080p (32MP) with E-shutter</t>
        </is>
      </c>
      <c r="T123" s="53">
        <f>IF(W123&lt;45000,"Entry",IF(W123&gt;72000,"Premium","Mainstream"))</f>
        <v/>
      </c>
      <c r="U123" s="73" t="n">
        <v>192222.1488264425</v>
      </c>
      <c r="V123" s="73" t="n"/>
      <c r="W123" s="73">
        <f>U123-V123</f>
        <v/>
      </c>
      <c r="X123" t="n">
        <v>193183.26</v>
      </c>
    </row>
  </sheetData>
  <autoFilter ref="B4:W123"/>
  <conditionalFormatting sqref="D3:D4">
    <cfRule type="duplicateValues" priority="238" dxfId="0"/>
  </conditionalFormatting>
  <conditionalFormatting sqref="D19:D21">
    <cfRule type="duplicateValues" priority="21" dxfId="0"/>
    <cfRule type="duplicateValues" priority="22" dxfId="0"/>
    <cfRule type="duplicateValues" priority="23" dxfId="0"/>
    <cfRule type="duplicateValues" priority="24" dxfId="0"/>
    <cfRule type="duplicateValues" priority="25" dxfId="0"/>
    <cfRule type="duplicateValues" priority="26" dxfId="0"/>
    <cfRule type="duplicateValues" priority="27" dxfId="0"/>
    <cfRule type="duplicateValues" priority="28" dxfId="0"/>
    <cfRule type="duplicateValues" priority="29" dxfId="0"/>
    <cfRule type="duplicateValues" priority="30" dxfId="0"/>
    <cfRule type="duplicateValues" priority="31" dxfId="0"/>
  </conditionalFormatting>
  <conditionalFormatting sqref="D22">
    <cfRule type="duplicateValues" priority="7" dxfId="0"/>
    <cfRule type="duplicateValues" priority="8" dxfId="0"/>
    <cfRule type="duplicateValues" priority="13" dxfId="0"/>
    <cfRule type="duplicateValues" priority="14" dxfId="0"/>
  </conditionalFormatting>
  <conditionalFormatting sqref="D23">
    <cfRule type="duplicateValues" priority="6" dxfId="0"/>
  </conditionalFormatting>
  <conditionalFormatting sqref="D25">
    <cfRule type="duplicateValues" priority="11" dxfId="0"/>
  </conditionalFormatting>
  <conditionalFormatting sqref="D31:D32">
    <cfRule type="duplicateValues" priority="2" dxfId="0"/>
  </conditionalFormatting>
  <conditionalFormatting sqref="D74">
    <cfRule type="duplicateValues" priority="5" dxfId="0"/>
  </conditionalFormatting>
  <conditionalFormatting sqref="D22 D77">
    <cfRule type="duplicateValues" priority="12" dxfId="0"/>
  </conditionalFormatting>
  <conditionalFormatting sqref="D77">
    <cfRule type="duplicateValues" priority="9" dxfId="0"/>
  </conditionalFormatting>
  <conditionalFormatting sqref="D80">
    <cfRule type="duplicateValues" priority="10" dxfId="0"/>
  </conditionalFormatting>
  <conditionalFormatting sqref="D87:D88">
    <cfRule type="duplicateValues" priority="32" dxfId="0"/>
    <cfRule type="duplicateValues" priority="33" dxfId="0"/>
  </conditionalFormatting>
  <conditionalFormatting sqref="D11:D13 D24 D29:D30 D33:D35 D51 D69:D70 D78:D79 D81:D84 D89:D90">
    <cfRule type="duplicateValues" priority="34" dxfId="0"/>
  </conditionalFormatting>
  <conditionalFormatting sqref="D93">
    <cfRule type="duplicateValues" priority="3" dxfId="0"/>
    <cfRule type="duplicateValues" priority="4" dxfId="0"/>
  </conditionalFormatting>
  <conditionalFormatting sqref="D109:D112 D114:D115 D122:D123">
    <cfRule type="duplicateValues" priority="20" dxfId="0"/>
    <cfRule type="duplicateValues" priority="15" dxfId="0"/>
    <cfRule type="duplicateValues" priority="16" dxfId="0"/>
    <cfRule type="duplicateValues" priority="17" dxfId="0"/>
    <cfRule type="duplicateValues" priority="19" dxfId="0"/>
    <cfRule type="duplicateValues" priority="18" dxfId="0"/>
  </conditionalFormatting>
  <conditionalFormatting sqref="D5:D24 D26:D30 D33:D92 D94:D108 D113">
    <cfRule type="duplicateValues" priority="35" dxfId="0"/>
  </conditionalFormatting>
  <conditionalFormatting sqref="D116:D121">
    <cfRule type="duplicateValues" priority="1" dxfId="0"/>
  </conditionalFormatting>
  <conditionalFormatting sqref="D1:D2 D124:D1048576">
    <cfRule type="duplicateValues" priority="1807" dxfId="0"/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7" tint="-0.249977111117893"/>
    <outlinePr summaryBelow="1" summaryRight="1"/>
    <pageSetUpPr/>
  </sheetPr>
  <dimension ref="A4:W63"/>
  <sheetViews>
    <sheetView showGridLines="0" zoomScale="90" zoomScaleNormal="90" workbookViewId="0">
      <pane xSplit="5" ySplit="5" topLeftCell="F57" activePane="bottomRight" state="frozen"/>
      <selection pane="topRight" activeCell="F1" sqref="F1"/>
      <selection pane="bottomLeft" activeCell="A6" sqref="A6"/>
      <selection pane="bottomRight" activeCell="B6" sqref="B6:B63"/>
    </sheetView>
  </sheetViews>
  <sheetFormatPr baseColWidth="8" defaultColWidth="9.26953125" defaultRowHeight="14.5"/>
  <cols>
    <col width="4.453125" customWidth="1" min="1" max="1"/>
    <col width="21.54296875" customWidth="1" style="17" min="2" max="2"/>
    <col width="10.7265625" bestFit="1" customWidth="1" style="17" min="3" max="3"/>
    <col width="13" customWidth="1" style="17" min="4" max="4"/>
    <col width="15.54296875" customWidth="1" style="17" min="5" max="6"/>
    <col width="14.453125" customWidth="1" style="17" min="7" max="7"/>
    <col width="21.54296875" customWidth="1" style="17" min="8" max="8"/>
    <col width="15.453125" bestFit="1" customWidth="1" style="17" min="9" max="9"/>
    <col width="36.1796875" customWidth="1" style="17" min="10" max="10"/>
    <col width="37.26953125" customWidth="1" style="17" min="11" max="11"/>
    <col width="16.54296875" customWidth="1" style="17" min="12" max="12"/>
    <col width="7.54296875" customWidth="1" style="17" min="13" max="13"/>
    <col width="11" customWidth="1" style="17" min="14" max="14"/>
    <col width="11.54296875" customWidth="1" style="17" min="15" max="15"/>
    <col width="28.54296875" customWidth="1" style="17" min="16" max="16"/>
    <col width="15.81640625" customWidth="1" style="17" min="17" max="17"/>
    <col width="17.26953125" bestFit="1" customWidth="1" style="17" min="18" max="18"/>
    <col width="13.26953125" customWidth="1" style="17" min="19" max="19"/>
    <col width="9.7265625" customWidth="1" style="17" min="20" max="20"/>
    <col width="9.26953125" customWidth="1" style="17" min="21" max="16384"/>
  </cols>
  <sheetData>
    <row r="4" ht="18.65" customHeight="1">
      <c r="A4" s="17" t="n"/>
      <c r="B4" s="59" t="inlineStr">
        <is>
          <t>Lenovo Notebook Price List - 1st Jan'26 to 31st Jan '26</t>
        </is>
      </c>
      <c r="C4" s="49" t="n"/>
      <c r="D4" s="49" t="n"/>
      <c r="E4" s="49" t="n"/>
      <c r="F4" s="49" t="n"/>
      <c r="G4" s="49" t="n"/>
      <c r="H4" s="49" t="n"/>
      <c r="I4" s="49" t="n"/>
      <c r="J4" s="49" t="n"/>
      <c r="K4" s="64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</row>
    <row r="5" ht="39" customHeight="1">
      <c r="A5" s="17" t="n"/>
      <c r="B5" s="44" t="inlineStr">
        <is>
          <t>Series</t>
        </is>
      </c>
      <c r="C5" s="44" t="inlineStr">
        <is>
          <t>Form Factor</t>
        </is>
      </c>
      <c r="D5" s="44" t="inlineStr">
        <is>
          <t>MTM</t>
        </is>
      </c>
      <c r="E5" s="44" t="inlineStr">
        <is>
          <t>CPU</t>
        </is>
      </c>
      <c r="F5" s="44" t="inlineStr">
        <is>
          <t>AI PC</t>
        </is>
      </c>
      <c r="G5" s="44" t="inlineStr">
        <is>
          <t>RAM/HDD</t>
        </is>
      </c>
      <c r="H5" s="44" t="inlineStr">
        <is>
          <t>Operating System</t>
        </is>
      </c>
      <c r="I5" s="44" t="inlineStr">
        <is>
          <t>Office</t>
        </is>
      </c>
      <c r="J5" s="44" t="inlineStr">
        <is>
          <t>Graphics</t>
        </is>
      </c>
      <c r="K5" s="65" t="inlineStr">
        <is>
          <t>Display</t>
        </is>
      </c>
      <c r="L5" s="44" t="inlineStr">
        <is>
          <t>Color</t>
        </is>
      </c>
      <c r="M5" s="44" t="inlineStr">
        <is>
          <t>Weight</t>
        </is>
      </c>
      <c r="N5" s="44" t="inlineStr">
        <is>
          <t>Carrycase MTM</t>
        </is>
      </c>
      <c r="O5" s="44" t="inlineStr">
        <is>
          <t>Warranty</t>
        </is>
      </c>
      <c r="P5" s="44" t="inlineStr">
        <is>
          <t>Additional Warranty Offering</t>
        </is>
      </c>
      <c r="Q5" s="44" t="inlineStr">
        <is>
          <t>ADP Addition</t>
        </is>
      </c>
      <c r="R5" s="44" t="inlineStr">
        <is>
          <t>Keyboard</t>
        </is>
      </c>
      <c r="S5" s="44" t="inlineStr">
        <is>
          <t>Login Option</t>
        </is>
      </c>
      <c r="T5" s="44" t="inlineStr">
        <is>
          <t>Segment Type</t>
        </is>
      </c>
      <c r="U5" s="50" t="inlineStr">
        <is>
          <t>T3 billing taxpaid</t>
        </is>
      </c>
      <c r="V5" s="51" t="inlineStr">
        <is>
          <t>Activation taxpaid</t>
        </is>
      </c>
      <c r="W5" s="50" t="inlineStr">
        <is>
          <t>Effective T3 NLC taxpaid</t>
        </is>
      </c>
    </row>
    <row r="6">
      <c r="B6" s="1" t="inlineStr">
        <is>
          <t>Yoga 7i</t>
        </is>
      </c>
      <c r="C6" s="1" t="inlineStr">
        <is>
          <t>Convertible</t>
        </is>
      </c>
      <c r="D6" s="45" t="inlineStr">
        <is>
          <t>82YL00AYIN</t>
        </is>
      </c>
      <c r="E6" s="1" t="inlineStr">
        <is>
          <t>i5 1340p</t>
        </is>
      </c>
      <c r="F6" s="1" t="n"/>
      <c r="G6" s="1" t="inlineStr">
        <is>
          <t>16GB, 512GB SSD</t>
        </is>
      </c>
      <c r="H6" s="1" t="inlineStr">
        <is>
          <t>Windows 11</t>
        </is>
      </c>
      <c r="I6" s="43" t="inlineStr">
        <is>
          <t>Office 2021</t>
        </is>
      </c>
      <c r="J6" s="43" t="inlineStr">
        <is>
          <t>Integrated Intel® Iris® Xe Graphics</t>
        </is>
      </c>
      <c r="K6" s="16" t="inlineStr">
        <is>
          <t>14" WUXGA (1920x1200) OLED 400nits Glossy / Anti-fingerprint, 100% DCI-P3, 60Hz, Dolby Vision®, TÜV Low Blue Light, DisplayHDR™ True Black 500, Glass, Touch</t>
        </is>
      </c>
      <c r="L6" s="1" t="inlineStr">
        <is>
          <t>Storm Grey</t>
        </is>
      </c>
      <c r="M6" s="1" t="inlineStr">
        <is>
          <t>1.49 kg</t>
        </is>
      </c>
      <c r="N6" s="1" t="inlineStr">
        <is>
          <t>-</t>
        </is>
      </c>
      <c r="O6" s="1" t="inlineStr">
        <is>
          <t>1 Year Onsite</t>
        </is>
      </c>
      <c r="P6" s="1" t="inlineStr">
        <is>
          <t>1 Year Hard bundled Premium Care</t>
        </is>
      </c>
      <c r="Q6" s="1" t="inlineStr">
        <is>
          <t>1 Year ADP</t>
        </is>
      </c>
      <c r="R6" s="1" t="inlineStr">
        <is>
          <t xml:space="preserve">Backlit </t>
        </is>
      </c>
      <c r="S6" s="1" t="inlineStr">
        <is>
          <t>IR Camera</t>
        </is>
      </c>
      <c r="T6" s="1" t="inlineStr">
        <is>
          <t>Premium</t>
        </is>
      </c>
      <c r="U6" s="72" t="n">
        <v>81580.01823131533</v>
      </c>
      <c r="V6" s="72" t="n"/>
      <c r="W6" s="72">
        <f>U6-V6</f>
        <v/>
      </c>
    </row>
    <row r="7">
      <c r="B7" s="1" t="inlineStr">
        <is>
          <t>Ideapad Slim 5</t>
        </is>
      </c>
      <c r="C7" s="1" t="inlineStr">
        <is>
          <t>Thin &amp; Light</t>
        </is>
      </c>
      <c r="D7" s="45" t="inlineStr">
        <is>
          <t>83J2000HIN</t>
        </is>
      </c>
      <c r="E7" s="1" t="inlineStr">
        <is>
          <t>R7 7735HS</t>
        </is>
      </c>
      <c r="F7" s="1" t="n"/>
      <c r="G7" s="43" t="inlineStr">
        <is>
          <t>16GB,512GB SSD</t>
        </is>
      </c>
      <c r="H7" s="1" t="inlineStr">
        <is>
          <t>WINDOWS 11 HOME 64 SL</t>
        </is>
      </c>
      <c r="I7" s="1" t="inlineStr">
        <is>
          <t>OFFICE H&amp;S 2024</t>
        </is>
      </c>
      <c r="J7" s="43" t="inlineStr">
        <is>
          <t>INTEGRATED GRAPHICS</t>
        </is>
      </c>
      <c r="K7" s="16" t="inlineStr">
        <is>
          <t>13.3_WUXGA_AG_400N_SRGB</t>
        </is>
      </c>
      <c r="L7" s="1" t="inlineStr">
        <is>
          <t>Cloud Grey</t>
        </is>
      </c>
      <c r="M7" s="1" t="inlineStr">
        <is>
          <t>1.15 Kg</t>
        </is>
      </c>
      <c r="N7" s="1" t="inlineStr">
        <is>
          <t>-</t>
        </is>
      </c>
      <c r="O7" s="1" t="inlineStr">
        <is>
          <t>1 Year Onsite</t>
        </is>
      </c>
      <c r="P7" s="1" t="inlineStr">
        <is>
          <t>1 Year Hard bundled Premium Care</t>
        </is>
      </c>
      <c r="Q7" s="1" t="inlineStr">
        <is>
          <t>1 Year ADP</t>
        </is>
      </c>
      <c r="R7" s="1" t="inlineStr">
        <is>
          <t xml:space="preserve">Backlit </t>
        </is>
      </c>
      <c r="S7" s="1" t="inlineStr">
        <is>
          <t>IR Camera</t>
        </is>
      </c>
      <c r="T7" s="1" t="inlineStr">
        <is>
          <t>Mainstream</t>
        </is>
      </c>
      <c r="U7" s="72" t="n">
        <v>64991.90293806783</v>
      </c>
      <c r="V7" s="72" t="n"/>
      <c r="W7" s="72">
        <f>U7-V7</f>
        <v/>
      </c>
    </row>
    <row r="8">
      <c r="B8" s="1" t="inlineStr">
        <is>
          <t>Ideapad Slim 5</t>
        </is>
      </c>
      <c r="C8" s="43" t="inlineStr">
        <is>
          <t>Thin &amp; Light</t>
        </is>
      </c>
      <c r="D8" s="45" t="inlineStr">
        <is>
          <t>83BF0043IN</t>
        </is>
      </c>
      <c r="E8" s="43" t="inlineStr">
        <is>
          <t>i5-12450H</t>
        </is>
      </c>
      <c r="F8" s="43" t="n"/>
      <c r="G8" s="43" t="inlineStr">
        <is>
          <t>16GB,1TB SSD</t>
        </is>
      </c>
      <c r="H8" s="43" t="inlineStr">
        <is>
          <t>WINDOWS 11 HOME 64 SL</t>
        </is>
      </c>
      <c r="I8" s="43" t="inlineStr">
        <is>
          <t xml:space="preserve">OFFICE H&amp;S 2021  </t>
        </is>
      </c>
      <c r="J8" s="43" t="inlineStr">
        <is>
          <t>INTEGRATED GRAPHICS</t>
        </is>
      </c>
      <c r="K8" s="67" t="inlineStr">
        <is>
          <t>14" WUXGA (1920x1200) IPS 300nits Anti-glare, 45% NTSC, TÜV Low Blue Light</t>
        </is>
      </c>
      <c r="L8" s="43" t="inlineStr">
        <is>
          <t>Cloud Grey</t>
        </is>
      </c>
      <c r="M8" s="43" t="inlineStr">
        <is>
          <t>1.46Kg</t>
        </is>
      </c>
      <c r="N8" s="43" t="inlineStr">
        <is>
          <t>-</t>
        </is>
      </c>
      <c r="O8" s="43" t="inlineStr">
        <is>
          <t>1 Year Onsite</t>
        </is>
      </c>
      <c r="P8" s="1" t="inlineStr">
        <is>
          <t>1 Year Hard bundled Premium Care</t>
        </is>
      </c>
      <c r="Q8" s="1" t="inlineStr">
        <is>
          <t>1 Year ADP</t>
        </is>
      </c>
      <c r="R8" s="43" t="inlineStr">
        <is>
          <t xml:space="preserve">Backlit </t>
        </is>
      </c>
      <c r="S8" s="43" t="inlineStr">
        <is>
          <t>-</t>
        </is>
      </c>
      <c r="T8" s="43" t="inlineStr">
        <is>
          <t>Mainstream</t>
        </is>
      </c>
      <c r="U8" s="72" t="n">
        <v>62870.8189847072</v>
      </c>
      <c r="V8" s="72" t="n">
        <v>4526.48</v>
      </c>
      <c r="W8" s="72">
        <f>U8-V8</f>
        <v/>
      </c>
    </row>
    <row r="9">
      <c r="B9" s="1" t="inlineStr">
        <is>
          <t>Ideapad Slim 5</t>
        </is>
      </c>
      <c r="C9" s="45" t="inlineStr">
        <is>
          <t>Thin &amp; Light</t>
        </is>
      </c>
      <c r="D9" s="45" t="inlineStr">
        <is>
          <t>83HR000WIN</t>
        </is>
      </c>
      <c r="E9" s="45" t="inlineStr">
        <is>
          <t>i5 13420H</t>
        </is>
      </c>
      <c r="F9" s="45" t="n"/>
      <c r="G9" s="68" t="inlineStr">
        <is>
          <t>16GB,1TB SSD</t>
        </is>
      </c>
      <c r="H9" s="45" t="inlineStr">
        <is>
          <t>WINDOWS 11 HOME 64 SL</t>
        </is>
      </c>
      <c r="I9" s="45" t="inlineStr">
        <is>
          <t>OFFICE H&amp;S 2024</t>
        </is>
      </c>
      <c r="J9" s="45" t="inlineStr">
        <is>
          <t>INTEGRATED_GRAPHICS</t>
        </is>
      </c>
      <c r="K9" s="69" t="inlineStr">
        <is>
          <t>14" WUXGA (1920x1200) OLED 400nits Glossy, 100% DCI-P3, DisplayHDR™ True Black 500</t>
        </is>
      </c>
      <c r="L9" s="1" t="inlineStr">
        <is>
          <t>LUNA_GREY</t>
        </is>
      </c>
      <c r="M9" s="45" t="inlineStr">
        <is>
          <t>1.39kg</t>
        </is>
      </c>
      <c r="N9" s="1" t="inlineStr">
        <is>
          <t>-</t>
        </is>
      </c>
      <c r="O9" s="45" t="inlineStr">
        <is>
          <t>1 Year Onsite</t>
        </is>
      </c>
      <c r="P9" s="45" t="inlineStr">
        <is>
          <t>1 Year Hard bundled Premium Care</t>
        </is>
      </c>
      <c r="Q9" s="45" t="inlineStr">
        <is>
          <t>1 Year ADP</t>
        </is>
      </c>
      <c r="R9" s="45" t="inlineStr">
        <is>
          <t xml:space="preserve">Backlit </t>
        </is>
      </c>
      <c r="S9" s="45" t="inlineStr">
        <is>
          <t>IR Camera</t>
        </is>
      </c>
      <c r="T9" s="45" t="inlineStr">
        <is>
          <t>Mainstream</t>
        </is>
      </c>
      <c r="U9" s="72" t="n">
        <v>70196.08259478906</v>
      </c>
      <c r="V9" s="72" t="n">
        <v>4999.66</v>
      </c>
      <c r="W9" s="72">
        <f>U9-V9</f>
        <v/>
      </c>
    </row>
    <row r="10">
      <c r="B10" s="43" t="inlineStr">
        <is>
          <t>LOQ</t>
        </is>
      </c>
      <c r="C10" s="45" t="inlineStr">
        <is>
          <t>Gaming</t>
        </is>
      </c>
      <c r="D10" s="45" t="inlineStr">
        <is>
          <t>83DV00XHIN</t>
        </is>
      </c>
      <c r="E10" s="1" t="inlineStr">
        <is>
          <t>i7 13650HX</t>
        </is>
      </c>
      <c r="F10" s="43" t="n"/>
      <c r="G10" s="43" t="inlineStr">
        <is>
          <t>24GB, 512GB SSD</t>
        </is>
      </c>
      <c r="H10" s="1" t="inlineStr">
        <is>
          <t>Windows 11</t>
        </is>
      </c>
      <c r="I10" s="24" t="inlineStr">
        <is>
          <t>Office 2024</t>
        </is>
      </c>
      <c r="J10" s="1" t="inlineStr">
        <is>
          <t>RTX 4060 8GB</t>
        </is>
      </c>
      <c r="K10" s="16" t="inlineStr">
        <is>
          <t>15.6_FHD_AG_300N_144_SRGB</t>
        </is>
      </c>
      <c r="L10" s="1" t="inlineStr">
        <is>
          <t>LUNA_GREY</t>
        </is>
      </c>
      <c r="M10" s="1" t="inlineStr">
        <is>
          <t>2.38 Kg</t>
        </is>
      </c>
      <c r="N10" s="1" t="inlineStr">
        <is>
          <t xml:space="preserve">GX40Q75210 </t>
        </is>
      </c>
      <c r="O10" s="1" t="inlineStr">
        <is>
          <t>1 Year Onsite</t>
        </is>
      </c>
      <c r="P10" s="43" t="n"/>
      <c r="Q10" s="45" t="inlineStr">
        <is>
          <t>1 Year ADP</t>
        </is>
      </c>
      <c r="R10" s="1" t="inlineStr">
        <is>
          <t>4 Zone RGB</t>
        </is>
      </c>
      <c r="S10" s="1" t="n"/>
      <c r="T10" s="1" t="inlineStr">
        <is>
          <t>Premium</t>
        </is>
      </c>
      <c r="U10" s="72" t="n">
        <v>106658.9556994829</v>
      </c>
      <c r="V10" s="72" t="n">
        <v>10999.96</v>
      </c>
      <c r="W10" s="72">
        <f>U10-V10</f>
        <v/>
      </c>
    </row>
    <row r="11">
      <c r="B11" s="43" t="inlineStr">
        <is>
          <t>LOQ</t>
        </is>
      </c>
      <c r="C11" s="45" t="inlineStr">
        <is>
          <t>Gaming</t>
        </is>
      </c>
      <c r="D11" s="45" t="inlineStr">
        <is>
          <t>83JC00EHIN</t>
        </is>
      </c>
      <c r="E11" s="1" t="inlineStr">
        <is>
          <t>R7 7435HS</t>
        </is>
      </c>
      <c r="F11" s="43" t="n"/>
      <c r="G11" s="43" t="inlineStr">
        <is>
          <t>24GB, 512GB SSD</t>
        </is>
      </c>
      <c r="H11" s="1" t="inlineStr">
        <is>
          <t>Windows 11</t>
        </is>
      </c>
      <c r="I11" s="24" t="inlineStr">
        <is>
          <t>Office 2024</t>
        </is>
      </c>
      <c r="J11" s="1" t="inlineStr">
        <is>
          <t>RTX 4060 8GB</t>
        </is>
      </c>
      <c r="K11" s="16" t="inlineStr">
        <is>
          <t>15.6_FHD_AG_300N_144_SRGB</t>
        </is>
      </c>
      <c r="L11" s="1" t="inlineStr">
        <is>
          <t>LUNA_GREY</t>
        </is>
      </c>
      <c r="M11" s="1" t="inlineStr">
        <is>
          <t>2.38 Kg</t>
        </is>
      </c>
      <c r="N11" s="1" t="inlineStr">
        <is>
          <t>GX41T87387</t>
        </is>
      </c>
      <c r="O11" s="1" t="inlineStr">
        <is>
          <t>1 Year Onsite</t>
        </is>
      </c>
      <c r="P11" s="43" t="n"/>
      <c r="Q11" s="45" t="inlineStr">
        <is>
          <t>1 Year ADP</t>
        </is>
      </c>
      <c r="R11" s="1" t="inlineStr">
        <is>
          <t>White Backlit</t>
        </is>
      </c>
      <c r="S11" s="1" t="n"/>
      <c r="T11" s="1" t="inlineStr">
        <is>
          <t>Premium</t>
        </is>
      </c>
      <c r="U11" s="72" t="n">
        <v>90522.14769159579</v>
      </c>
      <c r="V11" s="72" t="n"/>
      <c r="W11" s="72">
        <f>U11-V11</f>
        <v/>
      </c>
    </row>
    <row r="12">
      <c r="B12" s="43" t="inlineStr">
        <is>
          <t>LOQ</t>
        </is>
      </c>
      <c r="C12" s="45" t="inlineStr">
        <is>
          <t>Gaming</t>
        </is>
      </c>
      <c r="D12" s="45" t="inlineStr">
        <is>
          <t>83DV00XDIN</t>
        </is>
      </c>
      <c r="E12" s="1" t="inlineStr">
        <is>
          <t>i5 13450HX</t>
        </is>
      </c>
      <c r="F12" s="43" t="n"/>
      <c r="G12" s="43" t="inlineStr">
        <is>
          <t>24GB, 512GB SSD</t>
        </is>
      </c>
      <c r="H12" s="1" t="inlineStr">
        <is>
          <t>Windows 11</t>
        </is>
      </c>
      <c r="I12" s="24" t="inlineStr">
        <is>
          <t>Office 2024</t>
        </is>
      </c>
      <c r="J12" s="1" t="inlineStr">
        <is>
          <t>RTX 4050 6GB</t>
        </is>
      </c>
      <c r="K12" s="16" t="inlineStr">
        <is>
          <t>15.6_FHD_AG_300N_144_SRGB</t>
        </is>
      </c>
      <c r="L12" s="1" t="inlineStr">
        <is>
          <t>LUNA_GREY</t>
        </is>
      </c>
      <c r="M12" s="1" t="inlineStr">
        <is>
          <t>2.38 Kg</t>
        </is>
      </c>
      <c r="N12" s="1" t="inlineStr">
        <is>
          <t xml:space="preserve">GX40Q75210 </t>
        </is>
      </c>
      <c r="O12" s="1" t="inlineStr">
        <is>
          <t>1 Year Onsite</t>
        </is>
      </c>
      <c r="P12" s="43" t="n"/>
      <c r="Q12" s="45" t="inlineStr">
        <is>
          <t>1 Year ADP</t>
        </is>
      </c>
      <c r="R12" s="1" t="inlineStr">
        <is>
          <t>4 Zone RGB</t>
        </is>
      </c>
      <c r="S12" s="1" t="n"/>
      <c r="T12" s="1" t="inlineStr">
        <is>
          <t>Premium</t>
        </is>
      </c>
      <c r="U12" s="72" t="n">
        <v>87333.07438003253</v>
      </c>
      <c r="V12" s="72" t="n"/>
      <c r="W12" s="72">
        <f>U12-V12</f>
        <v/>
      </c>
    </row>
    <row r="13">
      <c r="B13" s="43" t="inlineStr">
        <is>
          <t>LOQ</t>
        </is>
      </c>
      <c r="C13" s="45" t="inlineStr">
        <is>
          <t>Gaming</t>
        </is>
      </c>
      <c r="D13" s="45" t="inlineStr">
        <is>
          <t>83JC00EGIN</t>
        </is>
      </c>
      <c r="E13" s="1" t="inlineStr">
        <is>
          <t>R7 7435HS</t>
        </is>
      </c>
      <c r="F13" s="43" t="n"/>
      <c r="G13" s="43" t="inlineStr">
        <is>
          <t>24GB, 512GB SSD</t>
        </is>
      </c>
      <c r="H13" s="1" t="inlineStr">
        <is>
          <t>Windows 11</t>
        </is>
      </c>
      <c r="I13" s="24" t="inlineStr">
        <is>
          <t>Office 2024</t>
        </is>
      </c>
      <c r="J13" s="1" t="inlineStr">
        <is>
          <t>RTX 4050 6GB</t>
        </is>
      </c>
      <c r="K13" s="16" t="inlineStr">
        <is>
          <t>15.6_FHD_AG_300N_144_SRGB</t>
        </is>
      </c>
      <c r="L13" s="1" t="inlineStr">
        <is>
          <t>LUNA_GREY</t>
        </is>
      </c>
      <c r="M13" s="1" t="inlineStr">
        <is>
          <t>2.38 Kg</t>
        </is>
      </c>
      <c r="N13" s="1" t="inlineStr">
        <is>
          <t>GX41T87387</t>
        </is>
      </c>
      <c r="O13" s="1" t="inlineStr">
        <is>
          <t>1 Year Onsite</t>
        </is>
      </c>
      <c r="P13" s="43" t="n"/>
      <c r="Q13" s="45" t="inlineStr">
        <is>
          <t>1 Year ADP</t>
        </is>
      </c>
      <c r="R13" s="1" t="inlineStr">
        <is>
          <t>White Backlit</t>
        </is>
      </c>
      <c r="S13" s="1" t="n"/>
      <c r="T13" s="1" t="inlineStr">
        <is>
          <t>Premium</t>
        </is>
      </c>
      <c r="U13" s="72" t="n">
        <v>82907.94500049492</v>
      </c>
      <c r="V13" s="72" t="n"/>
      <c r="W13" s="72">
        <f>U13-V13</f>
        <v/>
      </c>
    </row>
    <row r="14">
      <c r="B14" s="43" t="inlineStr">
        <is>
          <t>LOQ</t>
        </is>
      </c>
      <c r="C14" s="45" t="inlineStr">
        <is>
          <t>Gaming</t>
        </is>
      </c>
      <c r="D14" s="45" t="inlineStr">
        <is>
          <t>83DV00X6IN</t>
        </is>
      </c>
      <c r="E14" s="1" t="inlineStr">
        <is>
          <t>i5 13450HX</t>
        </is>
      </c>
      <c r="F14" s="43" t="n"/>
      <c r="G14" s="43" t="inlineStr">
        <is>
          <t>24GB, 512GB SSD</t>
        </is>
      </c>
      <c r="H14" s="1" t="inlineStr">
        <is>
          <t>Windows 11</t>
        </is>
      </c>
      <c r="I14" s="24" t="inlineStr">
        <is>
          <t>Office 2024</t>
        </is>
      </c>
      <c r="J14" s="1" t="inlineStr">
        <is>
          <t>RTX 3050 6GB</t>
        </is>
      </c>
      <c r="K14" s="16" t="inlineStr">
        <is>
          <t>15.6_FHD_AG_300N_144_SRGB</t>
        </is>
      </c>
      <c r="L14" s="1" t="inlineStr">
        <is>
          <t>LUNA_GREY</t>
        </is>
      </c>
      <c r="M14" s="1" t="inlineStr">
        <is>
          <t>2.38 Kg</t>
        </is>
      </c>
      <c r="N14" s="1" t="inlineStr">
        <is>
          <t>GX41T87387</t>
        </is>
      </c>
      <c r="O14" s="1" t="inlineStr">
        <is>
          <t>1 Year Onsite</t>
        </is>
      </c>
      <c r="P14" s="43" t="n"/>
      <c r="Q14" s="45" t="inlineStr">
        <is>
          <t>1 Year ADP</t>
        </is>
      </c>
      <c r="R14" s="1" t="inlineStr">
        <is>
          <t>4 Zone RGB</t>
        </is>
      </c>
      <c r="S14" s="1" t="n"/>
      <c r="T14" s="1" t="inlineStr">
        <is>
          <t>Premium</t>
        </is>
      </c>
      <c r="U14" s="72" t="n">
        <v>81770.56677205807</v>
      </c>
      <c r="V14" s="72" t="n"/>
      <c r="W14" s="72">
        <f>U14-V14</f>
        <v/>
      </c>
    </row>
    <row r="15">
      <c r="B15" s="43" t="inlineStr">
        <is>
          <t>LOQ</t>
        </is>
      </c>
      <c r="C15" s="45" t="inlineStr">
        <is>
          <t>Gaming</t>
        </is>
      </c>
      <c r="D15" s="45" t="inlineStr">
        <is>
          <t>83GS00LFIN</t>
        </is>
      </c>
      <c r="E15" s="1" t="inlineStr">
        <is>
          <t>i5 12450HX</t>
        </is>
      </c>
      <c r="F15" s="43" t="n"/>
      <c r="G15" s="43" t="inlineStr">
        <is>
          <t>24GB, 512GB SSD</t>
        </is>
      </c>
      <c r="H15" s="1" t="inlineStr">
        <is>
          <t>Windows 11</t>
        </is>
      </c>
      <c r="I15" s="24" t="inlineStr">
        <is>
          <t>Office 2024</t>
        </is>
      </c>
      <c r="J15" s="1" t="inlineStr">
        <is>
          <t>RTX 3050 6GB</t>
        </is>
      </c>
      <c r="K15" s="16" t="inlineStr">
        <is>
          <t>15.6_FHD_AG_300N_144_SRGB</t>
        </is>
      </c>
      <c r="L15" s="1" t="inlineStr">
        <is>
          <t>LUNA_GREY</t>
        </is>
      </c>
      <c r="M15" s="1" t="inlineStr">
        <is>
          <t>2.38 Kg</t>
        </is>
      </c>
      <c r="N15" s="1" t="inlineStr">
        <is>
          <t>-</t>
        </is>
      </c>
      <c r="O15" s="1" t="inlineStr">
        <is>
          <t>1 Year Onsite</t>
        </is>
      </c>
      <c r="P15" s="43" t="n"/>
      <c r="Q15" s="45" t="inlineStr">
        <is>
          <t>1 Year ADP</t>
        </is>
      </c>
      <c r="R15" s="1" t="inlineStr">
        <is>
          <t>White Backlit</t>
        </is>
      </c>
      <c r="S15" s="1" t="n"/>
      <c r="T15" s="1" t="inlineStr">
        <is>
          <t>Premium</t>
        </is>
      </c>
      <c r="U15" s="72" t="n">
        <v>73975.88756819311</v>
      </c>
      <c r="V15" s="72" t="n">
        <v>2999.56</v>
      </c>
      <c r="W15" s="72">
        <f>U15-V15</f>
        <v/>
      </c>
    </row>
    <row r="16">
      <c r="B16" s="43" t="inlineStr">
        <is>
          <t>LOQ</t>
        </is>
      </c>
      <c r="C16" s="45" t="inlineStr">
        <is>
          <t>Gaming</t>
        </is>
      </c>
      <c r="D16" s="45" t="inlineStr">
        <is>
          <t>83GS00PJIN</t>
        </is>
      </c>
      <c r="E16" s="1" t="inlineStr">
        <is>
          <t>i5 12450HX</t>
        </is>
      </c>
      <c r="F16" s="43" t="n"/>
      <c r="G16" s="43" t="inlineStr">
        <is>
          <t>16GB, 512GB SSD</t>
        </is>
      </c>
      <c r="H16" s="1" t="inlineStr">
        <is>
          <t>Windows 11</t>
        </is>
      </c>
      <c r="I16" s="24" t="inlineStr">
        <is>
          <t>Office 2024</t>
        </is>
      </c>
      <c r="J16" s="1" t="inlineStr">
        <is>
          <t>RTX 3050 6GB</t>
        </is>
      </c>
      <c r="K16" s="16" t="inlineStr">
        <is>
          <t>15.6_FHD_AG_300N_144_SRGB</t>
        </is>
      </c>
      <c r="L16" s="1" t="inlineStr">
        <is>
          <t>LUNA_GREY</t>
        </is>
      </c>
      <c r="M16" s="1" t="inlineStr">
        <is>
          <t>2.38 Kg</t>
        </is>
      </c>
      <c r="N16" s="1" t="inlineStr">
        <is>
          <t>GX41T87387</t>
        </is>
      </c>
      <c r="O16" s="1" t="inlineStr">
        <is>
          <t>1 Year Onsite</t>
        </is>
      </c>
      <c r="P16" s="43" t="n"/>
      <c r="Q16" s="45" t="inlineStr">
        <is>
          <t>1 Year ADP</t>
        </is>
      </c>
      <c r="R16" s="1" t="inlineStr">
        <is>
          <t>White Backlit</t>
        </is>
      </c>
      <c r="S16" s="1" t="n"/>
      <c r="T16" s="1" t="inlineStr">
        <is>
          <t>Premium</t>
        </is>
      </c>
      <c r="U16" s="72" t="n">
        <v>74594.65162438036</v>
      </c>
      <c r="V16" s="72" t="n"/>
      <c r="W16" s="72">
        <f>U16-V16</f>
        <v/>
      </c>
    </row>
    <row r="17">
      <c r="B17" s="43" t="inlineStr">
        <is>
          <t>LOQ</t>
        </is>
      </c>
      <c r="C17" s="1" t="inlineStr">
        <is>
          <t>Gaming</t>
        </is>
      </c>
      <c r="D17" s="45" t="inlineStr">
        <is>
          <t>83GS003NIN</t>
        </is>
      </c>
      <c r="E17" s="1" t="inlineStr">
        <is>
          <t>i5 12450HX</t>
        </is>
      </c>
      <c r="F17" s="1" t="n"/>
      <c r="G17" s="43" t="inlineStr">
        <is>
          <t>16GB,512GB SSD</t>
        </is>
      </c>
      <c r="H17" s="1" t="inlineStr">
        <is>
          <t>Windows 11</t>
        </is>
      </c>
      <c r="I17" s="1" t="inlineStr">
        <is>
          <t>No Office</t>
        </is>
      </c>
      <c r="J17" s="43" t="inlineStr">
        <is>
          <t>RTX 3050 6GB</t>
        </is>
      </c>
      <c r="K17" s="16" t="inlineStr">
        <is>
          <t>15.6_FHD_AG_300N_144_SRGB</t>
        </is>
      </c>
      <c r="L17" s="1" t="inlineStr">
        <is>
          <t>LUNA_GREY</t>
        </is>
      </c>
      <c r="M17" s="1" t="inlineStr">
        <is>
          <t>2.38 Kg</t>
        </is>
      </c>
      <c r="N17" s="1" t="inlineStr">
        <is>
          <t>-</t>
        </is>
      </c>
      <c r="O17" s="1" t="inlineStr">
        <is>
          <t>1 Year Onsite</t>
        </is>
      </c>
      <c r="P17" s="1" t="n"/>
      <c r="Q17" s="1" t="inlineStr">
        <is>
          <t>1 Year ADP</t>
        </is>
      </c>
      <c r="R17" s="1" t="inlineStr">
        <is>
          <t>White Backlit</t>
        </is>
      </c>
      <c r="S17" s="43" t="n"/>
      <c r="T17" s="1" t="inlineStr">
        <is>
          <t>Mainstream</t>
        </is>
      </c>
      <c r="U17" s="72" t="n">
        <v>69452.41090891832</v>
      </c>
      <c r="V17" s="72" t="n">
        <v>2999.56</v>
      </c>
      <c r="W17" s="72">
        <f>U17-V17</f>
        <v/>
      </c>
    </row>
    <row r="18">
      <c r="B18" s="43" t="inlineStr">
        <is>
          <t>LOQ</t>
        </is>
      </c>
      <c r="C18" s="43" t="inlineStr">
        <is>
          <t>Gaming</t>
        </is>
      </c>
      <c r="D18" s="45" t="inlineStr">
        <is>
          <t>83JC00EFIN</t>
        </is>
      </c>
      <c r="E18" s="43" t="inlineStr">
        <is>
          <t>R5 7235HS</t>
        </is>
      </c>
      <c r="F18" s="43" t="n"/>
      <c r="G18" s="43" t="inlineStr">
        <is>
          <t>24GB, 512GB SSD</t>
        </is>
      </c>
      <c r="H18" s="1" t="inlineStr">
        <is>
          <t>WINDOWS 11 HOME 64 SL</t>
        </is>
      </c>
      <c r="I18" s="43" t="inlineStr">
        <is>
          <t>Office 2024</t>
        </is>
      </c>
      <c r="J18" s="43" t="inlineStr">
        <is>
          <t>RTX 3050 6GB</t>
        </is>
      </c>
      <c r="K18" s="67" t="inlineStr">
        <is>
          <t>15.6_FHD_AG_300N_144_SRGB</t>
        </is>
      </c>
      <c r="L18" s="1" t="inlineStr">
        <is>
          <t>LUNA_GREY</t>
        </is>
      </c>
      <c r="M18" s="43" t="inlineStr">
        <is>
          <t>2.38 Kg</t>
        </is>
      </c>
      <c r="N18" s="1" t="inlineStr">
        <is>
          <t>GX41T87387</t>
        </is>
      </c>
      <c r="O18" s="43" t="inlineStr">
        <is>
          <t>1 Year Onsite</t>
        </is>
      </c>
      <c r="P18" s="43" t="inlineStr">
        <is>
          <t>-</t>
        </is>
      </c>
      <c r="Q18" s="1" t="inlineStr">
        <is>
          <t>1 Year ADP</t>
        </is>
      </c>
      <c r="R18" s="43" t="inlineStr">
        <is>
          <t>White Backlit</t>
        </is>
      </c>
      <c r="S18" s="43" t="inlineStr">
        <is>
          <t>-</t>
        </is>
      </c>
      <c r="T18" s="43" t="inlineStr">
        <is>
          <t>Premium</t>
        </is>
      </c>
      <c r="U18" s="72" t="n">
        <v>72109.38428024453</v>
      </c>
      <c r="V18" s="72" t="n"/>
      <c r="W18" s="72">
        <f>U18-V18</f>
        <v/>
      </c>
    </row>
    <row r="19">
      <c r="B19" s="43" t="inlineStr">
        <is>
          <t>LOQ</t>
        </is>
      </c>
      <c r="C19" s="43" t="inlineStr">
        <is>
          <t>Gaming</t>
        </is>
      </c>
      <c r="D19" s="45" t="inlineStr">
        <is>
          <t>83GS00CKIN</t>
        </is>
      </c>
      <c r="E19" s="43" t="inlineStr">
        <is>
          <t>i5 12450HX</t>
        </is>
      </c>
      <c r="F19" s="43" t="n"/>
      <c r="G19" s="43" t="inlineStr">
        <is>
          <t>24GB, 512GB SSD</t>
        </is>
      </c>
      <c r="H19" s="1" t="inlineStr">
        <is>
          <t>WINDOWS 11 HOME 64 SL</t>
        </is>
      </c>
      <c r="I19" s="43" t="inlineStr">
        <is>
          <t>No Office</t>
        </is>
      </c>
      <c r="J19" s="43" t="inlineStr">
        <is>
          <t>RTX 2050 4GB</t>
        </is>
      </c>
      <c r="K19" s="67" t="inlineStr">
        <is>
          <t>15.6_FHD_AG_300N_144_SRGB</t>
        </is>
      </c>
      <c r="L19" s="1" t="inlineStr">
        <is>
          <t>LUNA_GREY</t>
        </is>
      </c>
      <c r="M19" s="43" t="inlineStr">
        <is>
          <t>2.38 Kg</t>
        </is>
      </c>
      <c r="N19" s="1" t="inlineStr">
        <is>
          <t xml:space="preserve">GX40Q75210 </t>
        </is>
      </c>
      <c r="O19" s="43" t="inlineStr">
        <is>
          <t>1 Year Onsite</t>
        </is>
      </c>
      <c r="P19" s="43" t="inlineStr">
        <is>
          <t>-</t>
        </is>
      </c>
      <c r="Q19" s="1" t="inlineStr">
        <is>
          <t>1 Year ADP</t>
        </is>
      </c>
      <c r="R19" s="43" t="inlineStr">
        <is>
          <t>White Backlit</t>
        </is>
      </c>
      <c r="S19" s="43" t="inlineStr">
        <is>
          <t>-</t>
        </is>
      </c>
      <c r="T19" s="43" t="inlineStr">
        <is>
          <t>Mainstream</t>
        </is>
      </c>
      <c r="U19" s="72" t="n">
        <v>63174.94073789004</v>
      </c>
      <c r="V19" s="72" t="n">
        <v>500.32</v>
      </c>
      <c r="W19" s="72">
        <f>U19-V19</f>
        <v/>
      </c>
    </row>
    <row r="20">
      <c r="B20" s="43" t="inlineStr">
        <is>
          <t>LOQ</t>
        </is>
      </c>
      <c r="C20" s="45" t="inlineStr">
        <is>
          <t>Gaming</t>
        </is>
      </c>
      <c r="D20" s="45" t="inlineStr">
        <is>
          <t>83GS00LHIN</t>
        </is>
      </c>
      <c r="E20" s="1" t="inlineStr">
        <is>
          <t>i5 12450HX</t>
        </is>
      </c>
      <c r="F20" s="43" t="n"/>
      <c r="G20" s="1" t="inlineStr">
        <is>
          <t>12GB, 512GB SSD</t>
        </is>
      </c>
      <c r="H20" s="1" t="inlineStr">
        <is>
          <t>Windows 11</t>
        </is>
      </c>
      <c r="I20" s="24" t="inlineStr">
        <is>
          <t>Office 2024</t>
        </is>
      </c>
      <c r="J20" s="1" t="inlineStr">
        <is>
          <t>RTX 2050 4GB</t>
        </is>
      </c>
      <c r="K20" s="16" t="inlineStr">
        <is>
          <t>15.6_FHD_AG_300N_144_SRGB</t>
        </is>
      </c>
      <c r="L20" s="1" t="inlineStr">
        <is>
          <t>LUNA_GREY</t>
        </is>
      </c>
      <c r="M20" s="1" t="inlineStr">
        <is>
          <t>2.38 Kg</t>
        </is>
      </c>
      <c r="N20" s="1" t="inlineStr">
        <is>
          <t xml:space="preserve">GX40Q75210 </t>
        </is>
      </c>
      <c r="O20" s="1" t="inlineStr">
        <is>
          <t>1 Year Onsite</t>
        </is>
      </c>
      <c r="P20" s="43" t="n"/>
      <c r="Q20" s="45" t="inlineStr">
        <is>
          <t>1 Year ADP</t>
        </is>
      </c>
      <c r="R20" s="1" t="inlineStr">
        <is>
          <t>White Backlit</t>
        </is>
      </c>
      <c r="S20" s="1" t="n"/>
      <c r="T20" s="1" t="inlineStr">
        <is>
          <t>Mainstream</t>
        </is>
      </c>
      <c r="U20" s="72" t="n">
        <v>62898.76369085851</v>
      </c>
      <c r="V20" s="72" t="n">
        <v>699.74</v>
      </c>
      <c r="W20" s="72">
        <f>U20-V20</f>
        <v/>
      </c>
    </row>
    <row r="21">
      <c r="B21" s="43" t="inlineStr">
        <is>
          <t>LOQ</t>
        </is>
      </c>
      <c r="C21" s="43" t="inlineStr">
        <is>
          <t>Gaming</t>
        </is>
      </c>
      <c r="D21" s="45" t="inlineStr">
        <is>
          <t>83GS008SIN</t>
        </is>
      </c>
      <c r="E21" s="43" t="inlineStr">
        <is>
          <t>i5 12450HX</t>
        </is>
      </c>
      <c r="F21" s="43" t="n"/>
      <c r="G21" s="43" t="inlineStr">
        <is>
          <t>12GB, 512GB SSD</t>
        </is>
      </c>
      <c r="H21" s="1" t="inlineStr">
        <is>
          <t>Windows 11</t>
        </is>
      </c>
      <c r="I21" s="43" t="inlineStr">
        <is>
          <t>No Office</t>
        </is>
      </c>
      <c r="J21" s="43" t="inlineStr">
        <is>
          <t>RTX 2050 4GB</t>
        </is>
      </c>
      <c r="K21" s="67" t="inlineStr">
        <is>
          <t>15.6_FHD_AG_300N_144_SRGB</t>
        </is>
      </c>
      <c r="L21" s="1" t="inlineStr">
        <is>
          <t>LUNA_GREY</t>
        </is>
      </c>
      <c r="M21" s="43" t="inlineStr">
        <is>
          <t>2.38Kg</t>
        </is>
      </c>
      <c r="N21" s="1" t="inlineStr">
        <is>
          <t xml:space="preserve">GX40Q75210 </t>
        </is>
      </c>
      <c r="O21" s="43" t="inlineStr">
        <is>
          <t>1 year onsite</t>
        </is>
      </c>
      <c r="P21" s="43" t="inlineStr">
        <is>
          <t>-</t>
        </is>
      </c>
      <c r="Q21" s="1" t="inlineStr">
        <is>
          <t>1 Year ADP</t>
        </is>
      </c>
      <c r="R21" s="43" t="inlineStr">
        <is>
          <t>White Backlit</t>
        </is>
      </c>
      <c r="S21" s="43" t="n"/>
      <c r="T21" s="43" t="inlineStr">
        <is>
          <t>Mainstream</t>
        </is>
      </c>
      <c r="U21" s="72" t="n">
        <v>60521.11767893329</v>
      </c>
      <c r="V21" s="72" t="n">
        <v>726.88</v>
      </c>
      <c r="W21" s="72">
        <f>U21-V21</f>
        <v/>
      </c>
    </row>
    <row r="22">
      <c r="B22" s="43" t="inlineStr">
        <is>
          <t>LOQ</t>
        </is>
      </c>
      <c r="C22" s="43" t="inlineStr">
        <is>
          <t>Gaming</t>
        </is>
      </c>
      <c r="D22" s="45" t="inlineStr">
        <is>
          <t>83JC00EEIN</t>
        </is>
      </c>
      <c r="E22" s="43" t="inlineStr">
        <is>
          <t>R5 7235HS</t>
        </is>
      </c>
      <c r="F22" s="43" t="n"/>
      <c r="G22" s="43" t="inlineStr">
        <is>
          <t>12GB,512GB SSD</t>
        </is>
      </c>
      <c r="H22" s="1" t="inlineStr">
        <is>
          <t>WINDOWS 11 HOME 64 SL</t>
        </is>
      </c>
      <c r="I22" s="43" t="inlineStr">
        <is>
          <t>Office 2024</t>
        </is>
      </c>
      <c r="J22" s="43" t="inlineStr">
        <is>
          <t>RTX 3050 6GB</t>
        </is>
      </c>
      <c r="K22" s="67" t="inlineStr">
        <is>
          <t>15.6_FHD_AG_300N_144_SRGB</t>
        </is>
      </c>
      <c r="L22" s="1" t="inlineStr">
        <is>
          <t>LUNA_GREY</t>
        </is>
      </c>
      <c r="M22" s="43" t="inlineStr">
        <is>
          <t>2.38 Kg</t>
        </is>
      </c>
      <c r="N22" s="1" t="inlineStr">
        <is>
          <t>GX41T87387</t>
        </is>
      </c>
      <c r="O22" s="43" t="inlineStr">
        <is>
          <t>1 Year Onsite</t>
        </is>
      </c>
      <c r="P22" s="43" t="inlineStr">
        <is>
          <t>-</t>
        </is>
      </c>
      <c r="Q22" s="1" t="inlineStr">
        <is>
          <t>1 Year ADP</t>
        </is>
      </c>
      <c r="R22" s="43" t="inlineStr">
        <is>
          <t>White Backlit</t>
        </is>
      </c>
      <c r="S22" s="43" t="inlineStr">
        <is>
          <t>-</t>
        </is>
      </c>
      <c r="T22" s="43" t="inlineStr">
        <is>
          <t>Mainstream</t>
        </is>
      </c>
      <c r="U22" s="72" t="n">
        <v>69221.66909886591</v>
      </c>
      <c r="V22" s="72" t="n"/>
      <c r="W22" s="72">
        <f>U22-V22</f>
        <v/>
      </c>
    </row>
    <row r="23">
      <c r="B23" s="43" t="inlineStr">
        <is>
          <t>LOQ</t>
        </is>
      </c>
      <c r="C23" s="43" t="inlineStr">
        <is>
          <t>Gaming</t>
        </is>
      </c>
      <c r="D23" s="1" t="inlineStr">
        <is>
          <t>83DV0144IN</t>
        </is>
      </c>
      <c r="E23" s="43" t="inlineStr">
        <is>
          <t>i5 13450HX</t>
        </is>
      </c>
      <c r="F23" s="43" t="n"/>
      <c r="G23" s="43" t="inlineStr">
        <is>
          <t>24GB, 512GB SSD</t>
        </is>
      </c>
      <c r="H23" s="1" t="inlineStr">
        <is>
          <t>Windows 11</t>
        </is>
      </c>
      <c r="I23" s="43" t="inlineStr">
        <is>
          <t>Office 2024</t>
        </is>
      </c>
      <c r="J23" s="43" t="inlineStr">
        <is>
          <t>RTX 3050A 4GB</t>
        </is>
      </c>
      <c r="K23" s="67" t="inlineStr">
        <is>
          <t>15.6_FHD_AG_300N_144_SRGB</t>
        </is>
      </c>
      <c r="L23" s="1" t="inlineStr">
        <is>
          <t>LUNA_GREY</t>
        </is>
      </c>
      <c r="M23" s="43" t="inlineStr">
        <is>
          <t>2.38 Kg</t>
        </is>
      </c>
      <c r="N23" s="1" t="inlineStr">
        <is>
          <t>GX41T87387</t>
        </is>
      </c>
      <c r="O23" s="43" t="inlineStr">
        <is>
          <t>1 year onsite</t>
        </is>
      </c>
      <c r="P23" s="43" t="n"/>
      <c r="Q23" s="1" t="inlineStr">
        <is>
          <t>1 Year ADP</t>
        </is>
      </c>
      <c r="R23" s="43" t="inlineStr">
        <is>
          <t>White Backlit</t>
        </is>
      </c>
      <c r="S23" s="43" t="n"/>
      <c r="T23" s="1" t="inlineStr">
        <is>
          <t>Premium</t>
        </is>
      </c>
      <c r="U23" s="72" t="n">
        <v>75038.48569536472</v>
      </c>
      <c r="V23" s="72" t="n"/>
      <c r="W23" s="72">
        <f>U23-V23</f>
        <v/>
      </c>
    </row>
    <row r="24">
      <c r="B24" s="43" t="inlineStr">
        <is>
          <t>LOQ</t>
        </is>
      </c>
      <c r="C24" s="43" t="inlineStr">
        <is>
          <t>Gaming</t>
        </is>
      </c>
      <c r="D24" s="1" t="inlineStr">
        <is>
          <t>83JC00GCIN</t>
        </is>
      </c>
      <c r="E24" s="43" t="inlineStr">
        <is>
          <t>R5 7235HS</t>
        </is>
      </c>
      <c r="F24" s="43" t="n"/>
      <c r="G24" s="43" t="inlineStr">
        <is>
          <t>24GB, 512GB SSD</t>
        </is>
      </c>
      <c r="H24" s="1" t="inlineStr">
        <is>
          <t>Windows 11</t>
        </is>
      </c>
      <c r="I24" s="43" t="inlineStr">
        <is>
          <t>Office 2024</t>
        </is>
      </c>
      <c r="J24" s="43" t="inlineStr">
        <is>
          <t>RTX 3050A 4GB</t>
        </is>
      </c>
      <c r="K24" s="67" t="inlineStr">
        <is>
          <t>15.6_FHD_AG_300N_144_SRGB</t>
        </is>
      </c>
      <c r="L24" s="1" t="inlineStr">
        <is>
          <t>LUNA_GREY</t>
        </is>
      </c>
      <c r="M24" s="43" t="inlineStr">
        <is>
          <t>2.38 Kg</t>
        </is>
      </c>
      <c r="N24" s="1" t="inlineStr">
        <is>
          <t>GX41T87387</t>
        </is>
      </c>
      <c r="O24" s="43" t="inlineStr">
        <is>
          <t>1 year onsite</t>
        </is>
      </c>
      <c r="P24" s="43" t="n"/>
      <c r="Q24" s="1" t="inlineStr">
        <is>
          <t>1 Year ADP</t>
        </is>
      </c>
      <c r="R24" s="43" t="inlineStr">
        <is>
          <t>White Backlit</t>
        </is>
      </c>
      <c r="S24" s="43" t="n"/>
      <c r="T24" s="1" t="inlineStr">
        <is>
          <t>Mainstream</t>
        </is>
      </c>
      <c r="U24" s="72" t="n">
        <v>69086.7095531183</v>
      </c>
      <c r="V24" s="72" t="n">
        <v>2000.1</v>
      </c>
      <c r="W24" s="72">
        <f>U24-V24</f>
        <v/>
      </c>
    </row>
    <row r="25">
      <c r="B25" s="43" t="inlineStr">
        <is>
          <t>LOQ</t>
        </is>
      </c>
      <c r="C25" s="43" t="inlineStr">
        <is>
          <t>Gaming</t>
        </is>
      </c>
      <c r="D25" s="1" t="inlineStr">
        <is>
          <t>83JC00GDIN</t>
        </is>
      </c>
      <c r="E25" s="43" t="inlineStr">
        <is>
          <t>R7 7435HS</t>
        </is>
      </c>
      <c r="F25" s="43" t="n"/>
      <c r="G25" s="43" t="inlineStr">
        <is>
          <t>24GB, 512GB SSD</t>
        </is>
      </c>
      <c r="H25" s="1" t="inlineStr">
        <is>
          <t>Windows 11</t>
        </is>
      </c>
      <c r="I25" s="43" t="inlineStr">
        <is>
          <t>Office 2024</t>
        </is>
      </c>
      <c r="J25" s="43" t="inlineStr">
        <is>
          <t>RTX 3050A 4GB</t>
        </is>
      </c>
      <c r="K25" s="67" t="inlineStr">
        <is>
          <t>15.6_FHD_AG_300N_144_SRGB</t>
        </is>
      </c>
      <c r="L25" s="1" t="inlineStr">
        <is>
          <t>LUNA_GREY</t>
        </is>
      </c>
      <c r="M25" s="43" t="inlineStr">
        <is>
          <t>2.38 Kg</t>
        </is>
      </c>
      <c r="N25" s="1" t="inlineStr">
        <is>
          <t>GX41T87387</t>
        </is>
      </c>
      <c r="O25" s="43" t="inlineStr">
        <is>
          <t>1 year onsite</t>
        </is>
      </c>
      <c r="P25" s="43" t="n"/>
      <c r="Q25" s="1" t="inlineStr">
        <is>
          <t>1 Year ADP</t>
        </is>
      </c>
      <c r="R25" s="43" t="inlineStr">
        <is>
          <t>White Backlit</t>
        </is>
      </c>
      <c r="S25" s="43" t="n"/>
      <c r="T25" s="1" t="inlineStr">
        <is>
          <t>Mainstream</t>
        </is>
      </c>
      <c r="U25" s="72" t="n">
        <v>69636.12802072805</v>
      </c>
      <c r="V25" s="72" t="n"/>
      <c r="W25" s="72">
        <f>U25-V25</f>
        <v/>
      </c>
    </row>
    <row r="26">
      <c r="B26" s="43" t="inlineStr">
        <is>
          <t>LOQ</t>
        </is>
      </c>
      <c r="C26" s="43" t="inlineStr">
        <is>
          <t>Gaming</t>
        </is>
      </c>
      <c r="D26" s="1" t="inlineStr">
        <is>
          <t>83JC00HNIN</t>
        </is>
      </c>
      <c r="E26" s="43" t="inlineStr">
        <is>
          <t>R5 7235HS</t>
        </is>
      </c>
      <c r="F26" s="43" t="n"/>
      <c r="G26" s="43" t="inlineStr">
        <is>
          <t>12GB, 512GB SSD</t>
        </is>
      </c>
      <c r="H26" s="1" t="inlineStr">
        <is>
          <t>Windows 11</t>
        </is>
      </c>
      <c r="I26" s="43" t="inlineStr">
        <is>
          <t>Office 2024</t>
        </is>
      </c>
      <c r="J26" s="43" t="inlineStr">
        <is>
          <t>RTX 3050A 4GB</t>
        </is>
      </c>
      <c r="K26" s="67" t="inlineStr">
        <is>
          <t>15.6_FHD_AG_300N_144_SRGB</t>
        </is>
      </c>
      <c r="L26" s="1" t="inlineStr">
        <is>
          <t>LUNA_GREY</t>
        </is>
      </c>
      <c r="M26" s="43" t="inlineStr">
        <is>
          <t>2.38 Kg</t>
        </is>
      </c>
      <c r="N26" s="1" t="inlineStr">
        <is>
          <t>GX41T87387</t>
        </is>
      </c>
      <c r="O26" s="43" t="inlineStr">
        <is>
          <t>1 year onsite</t>
        </is>
      </c>
      <c r="P26" s="43" t="n"/>
      <c r="Q26" s="1" t="inlineStr">
        <is>
          <t>1 Year ADP</t>
        </is>
      </c>
      <c r="R26" s="43" t="inlineStr">
        <is>
          <t>White Backlit</t>
        </is>
      </c>
      <c r="S26" s="43" t="n"/>
      <c r="T26" s="1" t="inlineStr">
        <is>
          <t>Mainstream</t>
        </is>
      </c>
      <c r="U26" s="72" t="n">
        <v>63311.27919036111</v>
      </c>
      <c r="V26" s="72" t="n">
        <v>2000.1</v>
      </c>
      <c r="W26" s="72">
        <f>U26-V26</f>
        <v/>
      </c>
    </row>
    <row r="27">
      <c r="B27" s="43" t="inlineStr">
        <is>
          <t>LOQ</t>
        </is>
      </c>
      <c r="C27" s="43" t="inlineStr">
        <is>
          <t>Gaming</t>
        </is>
      </c>
      <c r="D27" s="1" t="inlineStr">
        <is>
          <t>83DV00XEIN</t>
        </is>
      </c>
      <c r="E27" s="43" t="inlineStr">
        <is>
          <t>i7 13650HX</t>
        </is>
      </c>
      <c r="F27" s="43" t="n"/>
      <c r="G27" s="43" t="inlineStr">
        <is>
          <t>16GB, 512GB SSD</t>
        </is>
      </c>
      <c r="H27" s="1" t="inlineStr">
        <is>
          <t>Windows 11</t>
        </is>
      </c>
      <c r="I27" s="43" t="inlineStr">
        <is>
          <t>OFFICE 2024</t>
        </is>
      </c>
      <c r="J27" s="43" t="inlineStr">
        <is>
          <t>RTX 3050 6GB</t>
        </is>
      </c>
      <c r="K27" s="67" t="inlineStr">
        <is>
          <t>15.6_FHD_AG_300N_144_SRGB</t>
        </is>
      </c>
      <c r="L27" s="1" t="inlineStr">
        <is>
          <t>LUNA_GREY</t>
        </is>
      </c>
      <c r="M27" s="43" t="inlineStr">
        <is>
          <t>2.38 Kg</t>
        </is>
      </c>
      <c r="N27" s="43" t="inlineStr">
        <is>
          <t>-</t>
        </is>
      </c>
      <c r="O27" s="43" t="inlineStr">
        <is>
          <t>1 Year Onsite</t>
        </is>
      </c>
      <c r="P27" s="43" t="n"/>
      <c r="Q27" s="1" t="inlineStr">
        <is>
          <t>1 Year ADP</t>
        </is>
      </c>
      <c r="R27" s="43" t="inlineStr">
        <is>
          <t>4 Zone RGB</t>
        </is>
      </c>
      <c r="S27" s="43" t="n"/>
      <c r="T27" s="1" t="inlineStr">
        <is>
          <t>Premium</t>
        </is>
      </c>
      <c r="U27" s="72" t="n">
        <v>88193.37995872981</v>
      </c>
      <c r="V27" s="72" t="n"/>
      <c r="W27" s="72">
        <f>U27-V27</f>
        <v/>
      </c>
    </row>
    <row r="28">
      <c r="B28" s="43" t="inlineStr">
        <is>
          <t>LOQ</t>
        </is>
      </c>
      <c r="C28" s="43" t="inlineStr">
        <is>
          <t>Gaming</t>
        </is>
      </c>
      <c r="D28" s="43" t="inlineStr">
        <is>
          <t>83DV018KIN</t>
        </is>
      </c>
      <c r="E28" s="43" t="inlineStr">
        <is>
          <t>i5 13450HX</t>
        </is>
      </c>
      <c r="F28" s="70" t="n"/>
      <c r="G28" s="43" t="inlineStr">
        <is>
          <t>24GB, 512GB SSD</t>
        </is>
      </c>
      <c r="H28" s="1" t="inlineStr">
        <is>
          <t>Windows 11</t>
        </is>
      </c>
      <c r="I28" s="43" t="inlineStr">
        <is>
          <t>OFFICE 2024</t>
        </is>
      </c>
      <c r="J28" s="43" t="inlineStr">
        <is>
          <t>RTX 3050 6GB</t>
        </is>
      </c>
      <c r="K28" s="67" t="inlineStr">
        <is>
          <t>15.6_FHD_AG_300N_144_SRGB</t>
        </is>
      </c>
      <c r="L28" s="1" t="inlineStr">
        <is>
          <t>LUNA_GREY</t>
        </is>
      </c>
      <c r="M28" s="43" t="inlineStr">
        <is>
          <t>2.38 Kg</t>
        </is>
      </c>
      <c r="N28" s="1" t="inlineStr">
        <is>
          <t>GX41T87387</t>
        </is>
      </c>
      <c r="O28" s="43" t="inlineStr">
        <is>
          <t>1 Year Onsite</t>
        </is>
      </c>
      <c r="P28" s="43" t="n"/>
      <c r="Q28" s="1" t="inlineStr">
        <is>
          <t>1 Year ADP</t>
        </is>
      </c>
      <c r="R28" s="43" t="inlineStr">
        <is>
          <t>4 Zone RGB</t>
        </is>
      </c>
      <c r="S28" s="43" t="n"/>
      <c r="T28" s="1" t="inlineStr">
        <is>
          <t>Premium</t>
        </is>
      </c>
      <c r="U28" s="72" t="n">
        <v>82347.51271426378</v>
      </c>
      <c r="V28" s="72" t="n">
        <v>985.3</v>
      </c>
      <c r="W28" s="72">
        <f>U28-V28</f>
        <v/>
      </c>
    </row>
    <row r="29">
      <c r="B29" s="43" t="inlineStr">
        <is>
          <t>LOQ</t>
        </is>
      </c>
      <c r="C29" s="43" t="inlineStr">
        <is>
          <t>Gaming</t>
        </is>
      </c>
      <c r="D29" s="43" t="inlineStr">
        <is>
          <t>83DV018PIN</t>
        </is>
      </c>
      <c r="E29" s="43" t="inlineStr">
        <is>
          <t>i7 13650HX</t>
        </is>
      </c>
      <c r="F29" s="70" t="n"/>
      <c r="G29" s="43" t="inlineStr">
        <is>
          <t>16GB, 512GB SSD</t>
        </is>
      </c>
      <c r="H29" s="1" t="inlineStr">
        <is>
          <t>Windows 11</t>
        </is>
      </c>
      <c r="I29" s="43" t="inlineStr">
        <is>
          <t>OFFICE 2024</t>
        </is>
      </c>
      <c r="J29" s="43" t="inlineStr">
        <is>
          <t>RTX 3050 6GB</t>
        </is>
      </c>
      <c r="K29" s="67" t="inlineStr">
        <is>
          <t>15.6_FHD_AG_300N_144_SRGB</t>
        </is>
      </c>
      <c r="L29" s="1" t="inlineStr">
        <is>
          <t>LUNA_GREY</t>
        </is>
      </c>
      <c r="M29" s="43" t="inlineStr">
        <is>
          <t>2.38 Kg</t>
        </is>
      </c>
      <c r="N29" s="43" t="inlineStr">
        <is>
          <t>-</t>
        </is>
      </c>
      <c r="O29" s="43" t="inlineStr">
        <is>
          <t>1 Year Onsite</t>
        </is>
      </c>
      <c r="P29" s="43" t="n"/>
      <c r="Q29" s="1" t="inlineStr">
        <is>
          <t>1 Year ADP</t>
        </is>
      </c>
      <c r="R29" s="43" t="inlineStr">
        <is>
          <t>4 Zone RGB</t>
        </is>
      </c>
      <c r="S29" s="43" t="n"/>
      <c r="T29" s="1" t="inlineStr">
        <is>
          <t>Premium</t>
        </is>
      </c>
      <c r="U29" s="72" t="n">
        <v>92167.16712786444</v>
      </c>
      <c r="V29" s="72" t="n">
        <v>1121</v>
      </c>
      <c r="W29" s="72">
        <f>U29-V29</f>
        <v/>
      </c>
    </row>
    <row r="30">
      <c r="B30" s="43" t="inlineStr">
        <is>
          <t>LOQ</t>
        </is>
      </c>
      <c r="C30" s="43" t="inlineStr">
        <is>
          <t>Gaming</t>
        </is>
      </c>
      <c r="D30" s="43" t="inlineStr">
        <is>
          <t>83DV018FIN</t>
        </is>
      </c>
      <c r="E30" s="43" t="inlineStr">
        <is>
          <t>i5 13450HX</t>
        </is>
      </c>
      <c r="F30" s="70" t="n"/>
      <c r="G30" s="43" t="inlineStr">
        <is>
          <t>24GB, 512GB SSD</t>
        </is>
      </c>
      <c r="H30" s="1" t="inlineStr">
        <is>
          <t>Windows 11</t>
        </is>
      </c>
      <c r="I30" s="43" t="inlineStr">
        <is>
          <t>OFFICE 2024</t>
        </is>
      </c>
      <c r="J30" s="43" t="inlineStr">
        <is>
          <t>RTX 3050A 4GB</t>
        </is>
      </c>
      <c r="K30" s="67" t="inlineStr">
        <is>
          <t>15.6_FHD_AG_300N_144_SRGB</t>
        </is>
      </c>
      <c r="L30" s="1" t="inlineStr">
        <is>
          <t>LUNA_GREY</t>
        </is>
      </c>
      <c r="M30" s="43" t="inlineStr">
        <is>
          <t>2.38 Kg</t>
        </is>
      </c>
      <c r="N30" s="1" t="inlineStr">
        <is>
          <t>GX41T87387</t>
        </is>
      </c>
      <c r="O30" s="43" t="inlineStr">
        <is>
          <t>1 Year Onsite</t>
        </is>
      </c>
      <c r="P30" s="43" t="n"/>
      <c r="Q30" s="1" t="inlineStr">
        <is>
          <t>1 Year ADP</t>
        </is>
      </c>
      <c r="R30" s="43" t="inlineStr">
        <is>
          <t>White Backlit</t>
        </is>
      </c>
      <c r="S30" s="43" t="n"/>
      <c r="T30" s="1" t="inlineStr">
        <is>
          <t>Premium</t>
        </is>
      </c>
      <c r="U30" s="72" t="n">
        <v>77199.30397012793</v>
      </c>
      <c r="V30" s="72" t="n">
        <v>398.84</v>
      </c>
      <c r="W30" s="72">
        <f>U30-V30</f>
        <v/>
      </c>
    </row>
    <row r="31">
      <c r="B31" s="43" t="inlineStr">
        <is>
          <t>LOQ</t>
        </is>
      </c>
      <c r="C31" s="43" t="inlineStr">
        <is>
          <t>Gaming</t>
        </is>
      </c>
      <c r="D31" s="43" t="inlineStr">
        <is>
          <t>83DV018EIN</t>
        </is>
      </c>
      <c r="E31" s="43" t="inlineStr">
        <is>
          <t>i7 13650HX</t>
        </is>
      </c>
      <c r="F31" s="70" t="n"/>
      <c r="G31" s="43" t="inlineStr">
        <is>
          <t>24GB, 512GB SSD</t>
        </is>
      </c>
      <c r="H31" s="1" t="inlineStr">
        <is>
          <t>Windows 11</t>
        </is>
      </c>
      <c r="I31" s="43" t="inlineStr">
        <is>
          <t>OFFICE 2024</t>
        </is>
      </c>
      <c r="J31" s="43" t="inlineStr">
        <is>
          <t>RTX 4060 8GB</t>
        </is>
      </c>
      <c r="K31" s="67" t="inlineStr">
        <is>
          <t>15.6_FHD_AG_300N_144_SRGB</t>
        </is>
      </c>
      <c r="L31" s="1" t="inlineStr">
        <is>
          <t>LUNA_GREY</t>
        </is>
      </c>
      <c r="M31" s="43" t="inlineStr">
        <is>
          <t>2.38 Kg</t>
        </is>
      </c>
      <c r="N31" s="1" t="inlineStr">
        <is>
          <t>GX41T87387</t>
        </is>
      </c>
      <c r="O31" s="43" t="inlineStr">
        <is>
          <t>1 Year Onsite</t>
        </is>
      </c>
      <c r="P31" s="43" t="n"/>
      <c r="Q31" s="1" t="inlineStr">
        <is>
          <t>1 Year ADP</t>
        </is>
      </c>
      <c r="R31" s="43" t="inlineStr">
        <is>
          <t>4 Zone RGB</t>
        </is>
      </c>
      <c r="S31" s="43" t="n"/>
      <c r="T31" s="1" t="inlineStr">
        <is>
          <t>Premium</t>
        </is>
      </c>
      <c r="U31" s="72" t="n">
        <v>109261.9815746034</v>
      </c>
      <c r="V31" s="72" t="n">
        <v>7585.04</v>
      </c>
      <c r="W31" s="72">
        <f>U31-V31</f>
        <v/>
      </c>
    </row>
    <row r="32">
      <c r="B32" s="43" t="inlineStr">
        <is>
          <t>LOQ</t>
        </is>
      </c>
      <c r="C32" s="43" t="inlineStr">
        <is>
          <t>Gaming</t>
        </is>
      </c>
      <c r="D32" s="43" t="inlineStr">
        <is>
          <t>83DV00X4IN</t>
        </is>
      </c>
      <c r="E32" s="43" t="inlineStr">
        <is>
          <t>i5 13450HX</t>
        </is>
      </c>
      <c r="F32" s="70" t="n"/>
      <c r="G32" s="43" t="inlineStr">
        <is>
          <t>16GB, 512GB SSD</t>
        </is>
      </c>
      <c r="H32" s="1" t="inlineStr">
        <is>
          <t>Windows 11</t>
        </is>
      </c>
      <c r="I32" s="43" t="inlineStr">
        <is>
          <t>OFFICE 2024</t>
        </is>
      </c>
      <c r="J32" s="43" t="inlineStr">
        <is>
          <t>RTX 4050 6GB</t>
        </is>
      </c>
      <c r="K32" s="67" t="inlineStr">
        <is>
          <t>15.6_FHD_AG_300N_144_SRGB</t>
        </is>
      </c>
      <c r="L32" s="1" t="inlineStr">
        <is>
          <t>LUNA_GREY</t>
        </is>
      </c>
      <c r="M32" s="43" t="inlineStr">
        <is>
          <t>2.38 Kg</t>
        </is>
      </c>
      <c r="N32" s="43" t="inlineStr">
        <is>
          <t>-</t>
        </is>
      </c>
      <c r="O32" s="43" t="inlineStr">
        <is>
          <t>1 Year Onsite</t>
        </is>
      </c>
      <c r="P32" s="43" t="n"/>
      <c r="Q32" s="1" t="inlineStr">
        <is>
          <t>1 Year ADP</t>
        </is>
      </c>
      <c r="R32" s="43" t="inlineStr">
        <is>
          <t>4 Zone RGB</t>
        </is>
      </c>
      <c r="S32" s="43" t="n"/>
      <c r="T32" s="1" t="inlineStr">
        <is>
          <t>Premium</t>
        </is>
      </c>
      <c r="U32" s="72" t="n">
        <v>83413.36971783471</v>
      </c>
      <c r="V32" s="72" t="n"/>
      <c r="W32" s="72">
        <f>U32-V32</f>
        <v/>
      </c>
    </row>
    <row r="33">
      <c r="B33" s="1" t="inlineStr">
        <is>
          <t>LOQ</t>
        </is>
      </c>
      <c r="C33" s="1" t="inlineStr">
        <is>
          <t>Gaming</t>
        </is>
      </c>
      <c r="D33" s="45" t="inlineStr">
        <is>
          <t>83GS00LNIN</t>
        </is>
      </c>
      <c r="E33" s="43" t="inlineStr">
        <is>
          <t>i5 12450HX</t>
        </is>
      </c>
      <c r="F33" s="43" t="n"/>
      <c r="G33" s="1" t="inlineStr">
        <is>
          <t>16GB, 512GB SSD</t>
        </is>
      </c>
      <c r="H33" s="66" t="inlineStr">
        <is>
          <t>Windows 11</t>
        </is>
      </c>
      <c r="I33" s="66" t="inlineStr">
        <is>
          <t>Office 2024</t>
        </is>
      </c>
      <c r="J33" s="43" t="inlineStr">
        <is>
          <t>RTX 3050 6GB</t>
        </is>
      </c>
      <c r="K33" s="67" t="inlineStr">
        <is>
          <t>15.6_FHD_AG_300N_144_SRGB</t>
        </is>
      </c>
      <c r="L33" s="43" t="inlineStr">
        <is>
          <t>LUNA_GREY</t>
        </is>
      </c>
      <c r="M33" s="43" t="inlineStr">
        <is>
          <t>2.38 Kg</t>
        </is>
      </c>
      <c r="N33" s="43" t="inlineStr">
        <is>
          <t>-</t>
        </is>
      </c>
      <c r="O33" s="66" t="inlineStr">
        <is>
          <t>1 Year Onsite</t>
        </is>
      </c>
      <c r="P33" s="1" t="n"/>
      <c r="Q33" s="1" t="inlineStr">
        <is>
          <t>1 Year ADP</t>
        </is>
      </c>
      <c r="R33" s="43" t="inlineStr">
        <is>
          <t>White Backlit</t>
        </is>
      </c>
      <c r="S33" s="1" t="n"/>
      <c r="T33" s="66" t="inlineStr">
        <is>
          <t>Premium</t>
        </is>
      </c>
      <c r="U33" s="72" t="n">
        <v>73647.73100932987</v>
      </c>
      <c r="V33" s="72" t="n"/>
      <c r="W33" s="72">
        <f>U33-V33</f>
        <v/>
      </c>
    </row>
    <row r="34">
      <c r="B34" s="1" t="inlineStr">
        <is>
          <t>LOQ</t>
        </is>
      </c>
      <c r="C34" s="1" t="inlineStr">
        <is>
          <t>Gaming</t>
        </is>
      </c>
      <c r="D34" s="45" t="inlineStr">
        <is>
          <t>83DV018DIN</t>
        </is>
      </c>
      <c r="E34" s="43" t="inlineStr">
        <is>
          <t>i5 13450HX</t>
        </is>
      </c>
      <c r="F34" s="43" t="n"/>
      <c r="G34" s="1" t="inlineStr">
        <is>
          <t>24GB, 512GB SSD</t>
        </is>
      </c>
      <c r="H34" s="66" t="inlineStr">
        <is>
          <t>Windows 11</t>
        </is>
      </c>
      <c r="I34" s="66" t="inlineStr">
        <is>
          <t>Office 2024</t>
        </is>
      </c>
      <c r="J34" s="43" t="inlineStr">
        <is>
          <t>RTX 4050 6GB</t>
        </is>
      </c>
      <c r="K34" s="67" t="inlineStr">
        <is>
          <t>15.6_FHD_AG_300N_144_SRGB</t>
        </is>
      </c>
      <c r="L34" s="43" t="inlineStr">
        <is>
          <t>LUNA_GREY</t>
        </is>
      </c>
      <c r="M34" s="43" t="inlineStr">
        <is>
          <t>2.38 Kg</t>
        </is>
      </c>
      <c r="N34" s="1" t="inlineStr">
        <is>
          <t>GX41T87387</t>
        </is>
      </c>
      <c r="O34" s="66" t="inlineStr">
        <is>
          <t>1 Year Onsite</t>
        </is>
      </c>
      <c r="P34" s="1" t="n"/>
      <c r="Q34" s="1" t="inlineStr">
        <is>
          <t>1 Year ADP</t>
        </is>
      </c>
      <c r="R34" s="43" t="inlineStr">
        <is>
          <t>4 Zone RGB</t>
        </is>
      </c>
      <c r="S34" s="1" t="n"/>
      <c r="T34" s="66" t="inlineStr">
        <is>
          <t>Premium</t>
        </is>
      </c>
      <c r="U34" s="72" t="n">
        <v>87540.92198065235</v>
      </c>
      <c r="V34" s="72" t="n"/>
      <c r="W34" s="72">
        <f>U34-V34</f>
        <v/>
      </c>
    </row>
    <row r="35">
      <c r="B35" s="1" t="inlineStr">
        <is>
          <t>LOQ</t>
        </is>
      </c>
      <c r="C35" s="1" t="inlineStr">
        <is>
          <t>Gaming</t>
        </is>
      </c>
      <c r="D35" s="45" t="inlineStr">
        <is>
          <t>83DV01AAIN</t>
        </is>
      </c>
      <c r="E35" s="43" t="inlineStr">
        <is>
          <t>i5 13450HX</t>
        </is>
      </c>
      <c r="F35" s="43" t="n"/>
      <c r="G35" s="1" t="inlineStr">
        <is>
          <t>16GB, 512GB SSD</t>
        </is>
      </c>
      <c r="H35" s="66" t="inlineStr">
        <is>
          <t>Windows 11</t>
        </is>
      </c>
      <c r="I35" s="66" t="inlineStr">
        <is>
          <t>Office 2024</t>
        </is>
      </c>
      <c r="J35" s="43" t="inlineStr">
        <is>
          <t>RTX 4050 6GB</t>
        </is>
      </c>
      <c r="K35" s="67" t="inlineStr">
        <is>
          <t>15.6_FHD_AG_300N_144_SRGB</t>
        </is>
      </c>
      <c r="L35" s="43" t="inlineStr">
        <is>
          <t>LUNA_GREY</t>
        </is>
      </c>
      <c r="M35" s="43" t="inlineStr">
        <is>
          <t>2.38 Kg</t>
        </is>
      </c>
      <c r="N35" s="1" t="inlineStr">
        <is>
          <t>GX41T87387</t>
        </is>
      </c>
      <c r="O35" s="66" t="inlineStr">
        <is>
          <t>1 Year Onsite</t>
        </is>
      </c>
      <c r="P35" s="1" t="n"/>
      <c r="Q35" s="1" t="inlineStr">
        <is>
          <t>1 Year ADP</t>
        </is>
      </c>
      <c r="R35" s="43" t="inlineStr">
        <is>
          <t>4 Zone RGB</t>
        </is>
      </c>
      <c r="S35" s="1" t="n"/>
      <c r="T35" s="66" t="inlineStr">
        <is>
          <t>Premium</t>
        </is>
      </c>
      <c r="U35" s="72" t="n">
        <v>88273.70282276865</v>
      </c>
      <c r="V35" s="72" t="n"/>
      <c r="W35" s="72">
        <f>U35-V35</f>
        <v/>
      </c>
    </row>
    <row r="36">
      <c r="B36" s="43" t="inlineStr">
        <is>
          <t>LoQ Essential</t>
        </is>
      </c>
      <c r="C36" s="43" t="inlineStr">
        <is>
          <t>Gaming</t>
        </is>
      </c>
      <c r="D36" s="1" t="inlineStr">
        <is>
          <t>83LK0031IN</t>
        </is>
      </c>
      <c r="E36" s="43" t="inlineStr">
        <is>
          <t>i5 12450HX</t>
        </is>
      </c>
      <c r="F36" s="43" t="n"/>
      <c r="G36" s="43" t="inlineStr">
        <is>
          <t>12GB, 512GB SSD</t>
        </is>
      </c>
      <c r="H36" s="1" t="inlineStr">
        <is>
          <t>Windows 11</t>
        </is>
      </c>
      <c r="I36" s="43" t="inlineStr">
        <is>
          <t>No Office</t>
        </is>
      </c>
      <c r="J36" s="43" t="inlineStr">
        <is>
          <t>RTX 2050 4GB</t>
        </is>
      </c>
      <c r="K36" s="67" t="inlineStr">
        <is>
          <t>15.6_FHD_AG_300N_144_SRGB</t>
        </is>
      </c>
      <c r="L36" s="1" t="inlineStr">
        <is>
          <t>LUNA_GREY</t>
        </is>
      </c>
      <c r="M36" s="43" t="inlineStr">
        <is>
          <t>1.77kg</t>
        </is>
      </c>
      <c r="N36" s="1" t="inlineStr">
        <is>
          <t xml:space="preserve">GX40Q75210 </t>
        </is>
      </c>
      <c r="O36" s="43" t="inlineStr">
        <is>
          <t>1 year onsite</t>
        </is>
      </c>
      <c r="P36" s="43" t="inlineStr">
        <is>
          <t>-</t>
        </is>
      </c>
      <c r="Q36" s="1" t="inlineStr">
        <is>
          <t>1 Year ADP</t>
        </is>
      </c>
      <c r="R36" s="43" t="inlineStr">
        <is>
          <t>White Backlit</t>
        </is>
      </c>
      <c r="S36" s="43" t="n"/>
      <c r="T36" s="1" t="inlineStr">
        <is>
          <t>Mainstream</t>
        </is>
      </c>
      <c r="U36" s="72" t="n">
        <v>57882.57577103827</v>
      </c>
      <c r="V36" s="72" t="n"/>
      <c r="W36" s="72">
        <f>U36-V36</f>
        <v/>
      </c>
    </row>
    <row r="37">
      <c r="B37" s="43" t="inlineStr">
        <is>
          <t>LoQ Essential</t>
        </is>
      </c>
      <c r="C37" s="43" t="inlineStr">
        <is>
          <t>Gaming</t>
        </is>
      </c>
      <c r="D37" s="1" t="inlineStr">
        <is>
          <t>83LK0032IN</t>
        </is>
      </c>
      <c r="E37" s="43" t="inlineStr">
        <is>
          <t>i5 12450HX</t>
        </is>
      </c>
      <c r="F37" s="43" t="n"/>
      <c r="G37" s="43" t="inlineStr">
        <is>
          <t>12GB, 512GB SSD</t>
        </is>
      </c>
      <c r="H37" s="1" t="inlineStr">
        <is>
          <t>Windows 11</t>
        </is>
      </c>
      <c r="I37" s="43" t="inlineStr">
        <is>
          <t>Office 2024</t>
        </is>
      </c>
      <c r="J37" s="43" t="inlineStr">
        <is>
          <t>RTX 2050 4GB</t>
        </is>
      </c>
      <c r="K37" s="67" t="inlineStr">
        <is>
          <t>15.6_FHD_AG_300N_144_SRGB</t>
        </is>
      </c>
      <c r="L37" s="1" t="inlineStr">
        <is>
          <t>LUNA_GREY</t>
        </is>
      </c>
      <c r="M37" s="43" t="inlineStr">
        <is>
          <t>1.77kg</t>
        </is>
      </c>
      <c r="N37" s="1" t="inlineStr">
        <is>
          <t xml:space="preserve">GX40Q75210 </t>
        </is>
      </c>
      <c r="O37" s="43" t="inlineStr">
        <is>
          <t>1 year onsite</t>
        </is>
      </c>
      <c r="P37" s="43" t="inlineStr">
        <is>
          <t>-</t>
        </is>
      </c>
      <c r="Q37" s="1" t="inlineStr">
        <is>
          <t>1 Year ADP</t>
        </is>
      </c>
      <c r="R37" s="43" t="inlineStr">
        <is>
          <t>White Backlit</t>
        </is>
      </c>
      <c r="S37" s="43" t="n"/>
      <c r="T37" s="1" t="inlineStr">
        <is>
          <t>Mainstream</t>
        </is>
      </c>
      <c r="U37" s="72" t="n">
        <v>59807.16279818129</v>
      </c>
      <c r="V37" s="72" t="n"/>
      <c r="W37" s="72">
        <f>U37-V37</f>
        <v/>
      </c>
    </row>
    <row r="38">
      <c r="B38" s="43" t="inlineStr">
        <is>
          <t>LoQ Essential</t>
        </is>
      </c>
      <c r="C38" s="43" t="inlineStr">
        <is>
          <t>Gaming</t>
        </is>
      </c>
      <c r="D38" s="1" t="inlineStr">
        <is>
          <t>83LK000HIN</t>
        </is>
      </c>
      <c r="E38" s="43" t="inlineStr">
        <is>
          <t>i5 12450HX</t>
        </is>
      </c>
      <c r="F38" s="43" t="n"/>
      <c r="G38" s="43" t="inlineStr">
        <is>
          <t>16GB, 512GB SSD</t>
        </is>
      </c>
      <c r="H38" s="1" t="inlineStr">
        <is>
          <t>Windows 11</t>
        </is>
      </c>
      <c r="I38" s="43" t="inlineStr">
        <is>
          <t>Office 2024</t>
        </is>
      </c>
      <c r="J38" s="43" t="inlineStr">
        <is>
          <t>RTX 3050 6GB</t>
        </is>
      </c>
      <c r="K38" s="67" t="inlineStr">
        <is>
          <t>15.6_FHD_AG_300N_144_SRGB</t>
        </is>
      </c>
      <c r="L38" s="1" t="inlineStr">
        <is>
          <t>LUNA_GREY</t>
        </is>
      </c>
      <c r="M38" s="43" t="inlineStr">
        <is>
          <t>1.77kg</t>
        </is>
      </c>
      <c r="N38" s="1" t="inlineStr">
        <is>
          <t xml:space="preserve">GX40Q75210 </t>
        </is>
      </c>
      <c r="O38" s="43" t="inlineStr">
        <is>
          <t>1 year onsite</t>
        </is>
      </c>
      <c r="P38" s="43" t="inlineStr">
        <is>
          <t>-</t>
        </is>
      </c>
      <c r="Q38" s="1" t="inlineStr">
        <is>
          <t>1 Year ADP</t>
        </is>
      </c>
      <c r="R38" s="43" t="inlineStr">
        <is>
          <t>White Backlit</t>
        </is>
      </c>
      <c r="S38" s="43" t="n"/>
      <c r="T38" s="1" t="inlineStr">
        <is>
          <t>Mainstream</t>
        </is>
      </c>
      <c r="U38" s="72" t="n">
        <v>68539.40513107632</v>
      </c>
      <c r="V38" s="72" t="n">
        <v>1000.64</v>
      </c>
      <c r="W38" s="72">
        <f>U38-V38</f>
        <v/>
      </c>
    </row>
    <row r="39">
      <c r="B39" s="43" t="inlineStr">
        <is>
          <t>LoQ Essential</t>
        </is>
      </c>
      <c r="C39" s="43" t="inlineStr">
        <is>
          <t>Gaming</t>
        </is>
      </c>
      <c r="D39" s="1" t="inlineStr">
        <is>
          <t>83LK00AMIN</t>
        </is>
      </c>
      <c r="E39" s="43" t="inlineStr">
        <is>
          <t>i5 12450HX</t>
        </is>
      </c>
      <c r="F39" s="43" t="n"/>
      <c r="G39" s="43" t="inlineStr">
        <is>
          <t>12GB, 1TB SSD</t>
        </is>
      </c>
      <c r="H39" s="1" t="inlineStr">
        <is>
          <t>Windows 11</t>
        </is>
      </c>
      <c r="I39" s="43" t="inlineStr">
        <is>
          <t>Office 2024</t>
        </is>
      </c>
      <c r="J39" s="43" t="inlineStr">
        <is>
          <t>RTX 2050 4GB</t>
        </is>
      </c>
      <c r="K39" s="67" t="inlineStr">
        <is>
          <t>15.6_FHD_AG_300N_144_SRGB</t>
        </is>
      </c>
      <c r="L39" s="1" t="inlineStr">
        <is>
          <t>LUNA_GREY</t>
        </is>
      </c>
      <c r="M39" s="43" t="inlineStr">
        <is>
          <t>1.77kg</t>
        </is>
      </c>
      <c r="N39" s="1" t="inlineStr">
        <is>
          <t>-</t>
        </is>
      </c>
      <c r="O39" s="43" t="inlineStr">
        <is>
          <t>1 year onsite</t>
        </is>
      </c>
      <c r="P39" s="43" t="inlineStr">
        <is>
          <t>-</t>
        </is>
      </c>
      <c r="Q39" s="1" t="inlineStr">
        <is>
          <t>1 Year ADP</t>
        </is>
      </c>
      <c r="R39" s="43" t="inlineStr">
        <is>
          <t>White Backlit</t>
        </is>
      </c>
      <c r="S39" s="43" t="n"/>
      <c r="T39" s="1" t="inlineStr">
        <is>
          <t>Mainstream</t>
        </is>
      </c>
      <c r="U39" s="72" t="n">
        <v>61523.20562323728</v>
      </c>
      <c r="V39" s="72" t="n"/>
      <c r="W39" s="72">
        <f>U39-V39</f>
        <v/>
      </c>
    </row>
    <row r="40">
      <c r="B40" s="43" t="inlineStr">
        <is>
          <t>LOQ Essential</t>
        </is>
      </c>
      <c r="C40" s="43" t="inlineStr">
        <is>
          <t>Gaming</t>
        </is>
      </c>
      <c r="D40" s="1" t="inlineStr">
        <is>
          <t>83LK009VIN</t>
        </is>
      </c>
      <c r="E40" s="43" t="inlineStr">
        <is>
          <t>I5 12450HX</t>
        </is>
      </c>
      <c r="F40" s="43" t="n"/>
      <c r="G40" s="43" t="inlineStr">
        <is>
          <t>16GB, 512GB SSD</t>
        </is>
      </c>
      <c r="H40" s="1" t="inlineStr">
        <is>
          <t>Windows 11</t>
        </is>
      </c>
      <c r="I40" s="43" t="inlineStr">
        <is>
          <t>Office 2024</t>
        </is>
      </c>
      <c r="J40" s="43" t="inlineStr">
        <is>
          <t>RTX 3050A 4GB</t>
        </is>
      </c>
      <c r="K40" s="67" t="inlineStr">
        <is>
          <t>15.6_FHD_AG_300N_144_SRGB</t>
        </is>
      </c>
      <c r="L40" s="1" t="inlineStr">
        <is>
          <t>LUNA_GREY</t>
        </is>
      </c>
      <c r="M40" s="43" t="inlineStr">
        <is>
          <t>1.77kg</t>
        </is>
      </c>
      <c r="N40" s="1" t="inlineStr">
        <is>
          <t xml:space="preserve">GX40Q75210 </t>
        </is>
      </c>
      <c r="O40" s="43" t="inlineStr">
        <is>
          <t>1 year onsite</t>
        </is>
      </c>
      <c r="P40" s="43" t="n"/>
      <c r="Q40" s="1" t="inlineStr">
        <is>
          <t>1 Year ADP</t>
        </is>
      </c>
      <c r="R40" s="43" t="inlineStr">
        <is>
          <t>White Backlit</t>
        </is>
      </c>
      <c r="S40" s="43" t="n"/>
      <c r="T40" s="1" t="inlineStr">
        <is>
          <t>Premium</t>
        </is>
      </c>
      <c r="U40" s="72" t="n">
        <v>65617.92492530715</v>
      </c>
      <c r="V40" s="72" t="n">
        <v>999.4599999999999</v>
      </c>
      <c r="W40" s="72">
        <f>U40-V40</f>
        <v/>
      </c>
    </row>
    <row r="41">
      <c r="B41" s="43" t="inlineStr">
        <is>
          <t>Ideapad Slim 1</t>
        </is>
      </c>
      <c r="C41" s="43" t="inlineStr">
        <is>
          <t>Thin &amp; Light</t>
        </is>
      </c>
      <c r="D41" s="45" t="inlineStr">
        <is>
          <t>82LX00F7IN</t>
        </is>
      </c>
      <c r="E41" s="43" t="inlineStr">
        <is>
          <t>Celeron N4500</t>
        </is>
      </c>
      <c r="F41" s="43" t="n"/>
      <c r="G41" s="43" t="inlineStr">
        <is>
          <t>8GB, 512GB SSD</t>
        </is>
      </c>
      <c r="H41" s="43" t="inlineStr">
        <is>
          <t>WINDOWS 11 HOME 64 SL</t>
        </is>
      </c>
      <c r="I41" s="43" t="inlineStr">
        <is>
          <t>NA</t>
        </is>
      </c>
      <c r="J41" s="43" t="inlineStr">
        <is>
          <t>Integrated Intel UHD Graphics 600</t>
        </is>
      </c>
      <c r="K41" s="67" t="inlineStr">
        <is>
          <t>15.6" HD TN 220nits AG</t>
        </is>
      </c>
      <c r="L41" s="43" t="inlineStr">
        <is>
          <t>Cloud Grey</t>
        </is>
      </c>
      <c r="M41" s="43" t="inlineStr">
        <is>
          <t>1.55 Kg</t>
        </is>
      </c>
      <c r="N41" s="43" t="inlineStr">
        <is>
          <t>GX40Q75210</t>
        </is>
      </c>
      <c r="O41" s="43" t="inlineStr">
        <is>
          <t>1 Year Onsite</t>
        </is>
      </c>
      <c r="P41" s="1" t="inlineStr">
        <is>
          <t>-</t>
        </is>
      </c>
      <c r="Q41" s="1" t="inlineStr">
        <is>
          <t>-</t>
        </is>
      </c>
      <c r="R41" s="43" t="inlineStr">
        <is>
          <t xml:space="preserve">Non-backlit </t>
        </is>
      </c>
      <c r="S41" s="43" t="inlineStr">
        <is>
          <t>-</t>
        </is>
      </c>
      <c r="T41" s="43" t="inlineStr">
        <is>
          <t>Entry</t>
        </is>
      </c>
      <c r="U41" s="72" t="n">
        <v>27495.98154200535</v>
      </c>
      <c r="V41" s="72" t="n"/>
      <c r="W41" s="72">
        <f>U41-V41</f>
        <v/>
      </c>
    </row>
    <row r="42">
      <c r="B42" s="43" t="inlineStr">
        <is>
          <t>Ideapad Slim 3</t>
        </is>
      </c>
      <c r="C42" s="43" t="inlineStr">
        <is>
          <t>Thin &amp; Light</t>
        </is>
      </c>
      <c r="D42" s="45" t="inlineStr">
        <is>
          <t>82XQ00MDIN</t>
        </is>
      </c>
      <c r="E42" s="43" t="inlineStr">
        <is>
          <t>Ryzen 3 7320U</t>
        </is>
      </c>
      <c r="F42" s="43" t="n"/>
      <c r="G42" s="43" t="inlineStr">
        <is>
          <t>8GB,512GB SSD</t>
        </is>
      </c>
      <c r="H42" s="43" t="inlineStr">
        <is>
          <t>WINDOWS 11 HOME 64 SL</t>
        </is>
      </c>
      <c r="I42" s="43" t="inlineStr">
        <is>
          <t>OFFICE HOME 2024</t>
        </is>
      </c>
      <c r="J42" s="43" t="inlineStr">
        <is>
          <t>INTEGRATED GRAPHICS</t>
        </is>
      </c>
      <c r="K42" s="67" t="inlineStr">
        <is>
          <t>15.6" FHD (1920x1080) TN 250nits Anti-glare</t>
        </is>
      </c>
      <c r="L42" s="43" t="inlineStr">
        <is>
          <t>Arctic Grey</t>
        </is>
      </c>
      <c r="M42" s="43" t="inlineStr">
        <is>
          <t>1.62 kg</t>
        </is>
      </c>
      <c r="N42" s="43" t="inlineStr">
        <is>
          <t>GX40Q75210</t>
        </is>
      </c>
      <c r="O42" s="43" t="inlineStr">
        <is>
          <t>1 Years Onsite</t>
        </is>
      </c>
      <c r="P42" s="1" t="inlineStr">
        <is>
          <t>-</t>
        </is>
      </c>
      <c r="Q42" s="1" t="inlineStr">
        <is>
          <t>1 Year ADP</t>
        </is>
      </c>
      <c r="R42" s="43" t="inlineStr">
        <is>
          <t xml:space="preserve">Non-backlit </t>
        </is>
      </c>
      <c r="S42" s="43" t="inlineStr">
        <is>
          <t>-</t>
        </is>
      </c>
      <c r="T42" s="43" t="inlineStr">
        <is>
          <t>Entry</t>
        </is>
      </c>
      <c r="U42" s="72" t="n">
        <v>35363.84583126698</v>
      </c>
      <c r="V42" s="72" t="n"/>
      <c r="W42" s="72">
        <f>U42-V42</f>
        <v/>
      </c>
    </row>
    <row r="43">
      <c r="B43" s="43" t="inlineStr">
        <is>
          <t>Ideapad Slim 3</t>
        </is>
      </c>
      <c r="C43" s="43" t="inlineStr">
        <is>
          <t>Thin &amp; Light</t>
        </is>
      </c>
      <c r="D43" s="45" t="inlineStr">
        <is>
          <t>82XM00MTIN</t>
        </is>
      </c>
      <c r="E43" s="43" t="inlineStr">
        <is>
          <t>Ryzen 7 5825U</t>
        </is>
      </c>
      <c r="F43" s="43" t="n"/>
      <c r="G43" s="43" t="inlineStr">
        <is>
          <t>16GB,512GB SSD</t>
        </is>
      </c>
      <c r="H43" s="43" t="inlineStr">
        <is>
          <t>WINDOWS 11 HOME 64 SL</t>
        </is>
      </c>
      <c r="I43" s="43" t="inlineStr">
        <is>
          <t>OFFICE HOME 2024</t>
        </is>
      </c>
      <c r="J43" s="43" t="inlineStr">
        <is>
          <t>Integrated Intel® UHD Graphics</t>
        </is>
      </c>
      <c r="K43" s="67" t="inlineStr">
        <is>
          <t>15.6" FHD (1920x1080) IPS 250nits Anti-glare</t>
        </is>
      </c>
      <c r="L43" s="43" t="inlineStr">
        <is>
          <t>Arctic Grey</t>
        </is>
      </c>
      <c r="M43" s="43" t="inlineStr">
        <is>
          <t>1.62Kg</t>
        </is>
      </c>
      <c r="N43" s="43" t="inlineStr">
        <is>
          <t xml:space="preserve">GX40Q75210 </t>
        </is>
      </c>
      <c r="O43" s="43" t="inlineStr">
        <is>
          <t>1 Year Onsite</t>
        </is>
      </c>
      <c r="P43" s="1" t="n"/>
      <c r="Q43" s="1" t="inlineStr">
        <is>
          <t>1 Year ADP</t>
        </is>
      </c>
      <c r="R43" s="43" t="inlineStr">
        <is>
          <t xml:space="preserve">Backlit </t>
        </is>
      </c>
      <c r="S43" s="43" t="inlineStr">
        <is>
          <t>-</t>
        </is>
      </c>
      <c r="T43" s="43" t="inlineStr">
        <is>
          <t>Mainstream</t>
        </is>
      </c>
      <c r="U43" s="72" t="n">
        <v>50667.87330268865</v>
      </c>
      <c r="V43" s="72" t="n"/>
      <c r="W43" s="72">
        <f>U43-V43</f>
        <v/>
      </c>
    </row>
    <row r="44">
      <c r="B44" s="43" t="inlineStr">
        <is>
          <t>Ideapad Slim 3</t>
        </is>
      </c>
      <c r="C44" s="43" t="inlineStr">
        <is>
          <t>Thin &amp; Light</t>
        </is>
      </c>
      <c r="D44" s="45" t="inlineStr">
        <is>
          <t>82XM0113IN</t>
        </is>
      </c>
      <c r="E44" s="43" t="inlineStr">
        <is>
          <t>Ryzen 7 5825U</t>
        </is>
      </c>
      <c r="F44" s="43" t="n"/>
      <c r="G44" s="43" t="inlineStr">
        <is>
          <t>16GB,512GB SSD</t>
        </is>
      </c>
      <c r="H44" s="43" t="inlineStr">
        <is>
          <t>WINDOWS 11 HOME 64 SL</t>
        </is>
      </c>
      <c r="I44" s="43" t="inlineStr">
        <is>
          <t>OFFICE HOME 2024</t>
        </is>
      </c>
      <c r="J44" s="43" t="inlineStr">
        <is>
          <t>Integrated Intel® UHD Graphics</t>
        </is>
      </c>
      <c r="K44" s="67" t="inlineStr">
        <is>
          <t>15.6" FHD (1920x1080) IPS 250nits Anti-glare</t>
        </is>
      </c>
      <c r="L44" s="43" t="inlineStr">
        <is>
          <t>Arctic Grey</t>
        </is>
      </c>
      <c r="M44" s="43" t="inlineStr">
        <is>
          <t>1.62Kg</t>
        </is>
      </c>
      <c r="N44" s="43" t="inlineStr">
        <is>
          <t xml:space="preserve">GX40Q75210 </t>
        </is>
      </c>
      <c r="O44" s="43" t="inlineStr">
        <is>
          <t>1 Year Onsite</t>
        </is>
      </c>
      <c r="P44" s="1" t="n"/>
      <c r="Q44" s="1" t="inlineStr">
        <is>
          <t>1 Year ADP</t>
        </is>
      </c>
      <c r="R44" s="43" t="inlineStr">
        <is>
          <t xml:space="preserve">Backlit </t>
        </is>
      </c>
      <c r="S44" s="43" t="inlineStr">
        <is>
          <t>-</t>
        </is>
      </c>
      <c r="T44" s="43" t="inlineStr">
        <is>
          <t>Mainstream</t>
        </is>
      </c>
      <c r="U44" s="72" t="n">
        <v>50667.87330268865</v>
      </c>
      <c r="V44" s="72" t="n"/>
      <c r="W44" s="72">
        <f>U44-V44</f>
        <v/>
      </c>
    </row>
    <row r="45">
      <c r="B45" s="43" t="inlineStr">
        <is>
          <t>Ideapad Slim 3</t>
        </is>
      </c>
      <c r="C45" s="43" t="inlineStr">
        <is>
          <t>Thin &amp; Light</t>
        </is>
      </c>
      <c r="D45" s="45" t="inlineStr">
        <is>
          <t>82XM00UGIN</t>
        </is>
      </c>
      <c r="E45" s="43" t="inlineStr">
        <is>
          <t>Ryzen 5 5625U</t>
        </is>
      </c>
      <c r="F45" s="43" t="n"/>
      <c r="G45" s="43" t="inlineStr">
        <is>
          <t>16GB,512GB SSD</t>
        </is>
      </c>
      <c r="H45" s="43" t="inlineStr">
        <is>
          <t>WINDOWS 11 HOME 64 SL</t>
        </is>
      </c>
      <c r="I45" s="43" t="inlineStr">
        <is>
          <t>OFFICE HOME 2024</t>
        </is>
      </c>
      <c r="J45" s="43" t="inlineStr">
        <is>
          <t>INTEGRATED GRAPHICS</t>
        </is>
      </c>
      <c r="K45" s="67" t="inlineStr">
        <is>
          <t>15.6" FHD (1920x1080) IPS 250nits Anti-glare</t>
        </is>
      </c>
      <c r="L45" s="43" t="inlineStr">
        <is>
          <t>Arctic Grey</t>
        </is>
      </c>
      <c r="M45" s="43" t="inlineStr">
        <is>
          <t>1.62Kg</t>
        </is>
      </c>
      <c r="N45" s="43" t="inlineStr">
        <is>
          <t xml:space="preserve">GX40Q75210 </t>
        </is>
      </c>
      <c r="O45" s="43" t="inlineStr">
        <is>
          <t>1 Year Onsite</t>
        </is>
      </c>
      <c r="P45" s="1" t="inlineStr">
        <is>
          <t>-</t>
        </is>
      </c>
      <c r="Q45" s="1" t="inlineStr">
        <is>
          <t>1 Year ADP</t>
        </is>
      </c>
      <c r="R45" s="43" t="inlineStr">
        <is>
          <t xml:space="preserve">Backlit </t>
        </is>
      </c>
      <c r="S45" s="43" t="inlineStr">
        <is>
          <t>-</t>
        </is>
      </c>
      <c r="T45" s="43" t="inlineStr">
        <is>
          <t>Entry</t>
        </is>
      </c>
      <c r="U45" s="72" t="n">
        <v>43548.96547343443</v>
      </c>
      <c r="V45" s="72" t="n">
        <v>1972.96</v>
      </c>
      <c r="W45" s="72">
        <f>U45-V45</f>
        <v/>
      </c>
    </row>
    <row r="46">
      <c r="B46" s="43" t="inlineStr">
        <is>
          <t>Ideapad Slim 3</t>
        </is>
      </c>
      <c r="C46" s="43" t="inlineStr">
        <is>
          <t>Thin &amp; Light</t>
        </is>
      </c>
      <c r="D46" s="45" t="inlineStr">
        <is>
          <t>82XM0118IN</t>
        </is>
      </c>
      <c r="E46" s="43" t="inlineStr">
        <is>
          <t>Ryzen 5 5625U</t>
        </is>
      </c>
      <c r="F46" s="43" t="n"/>
      <c r="G46" s="43" t="inlineStr">
        <is>
          <t>16GB,512GB SSD</t>
        </is>
      </c>
      <c r="H46" s="43" t="inlineStr">
        <is>
          <t>WINDOWS 11 HOME 64 SL</t>
        </is>
      </c>
      <c r="I46" s="43" t="inlineStr">
        <is>
          <t>OFFICE HOME 2024</t>
        </is>
      </c>
      <c r="J46" s="43" t="inlineStr">
        <is>
          <t>INTEGRATED GRAPHICS</t>
        </is>
      </c>
      <c r="K46" s="67" t="inlineStr">
        <is>
          <t>15.6" FHD (1920x1080) IPS 250nits Anti-glare</t>
        </is>
      </c>
      <c r="L46" s="43" t="inlineStr">
        <is>
          <t>Arctic Grey</t>
        </is>
      </c>
      <c r="M46" s="43" t="inlineStr">
        <is>
          <t>1.62Kg</t>
        </is>
      </c>
      <c r="N46" s="43" t="inlineStr">
        <is>
          <t xml:space="preserve">GX40Q75210 </t>
        </is>
      </c>
      <c r="O46" s="43" t="inlineStr">
        <is>
          <t>1 Year Onsite</t>
        </is>
      </c>
      <c r="P46" s="1" t="inlineStr">
        <is>
          <t>-</t>
        </is>
      </c>
      <c r="Q46" s="1" t="inlineStr">
        <is>
          <t>1 Year ADP</t>
        </is>
      </c>
      <c r="R46" s="43" t="inlineStr">
        <is>
          <t xml:space="preserve">Backlit </t>
        </is>
      </c>
      <c r="S46" s="43" t="inlineStr">
        <is>
          <t>-</t>
        </is>
      </c>
      <c r="T46" s="43" t="inlineStr">
        <is>
          <t>Entry</t>
        </is>
      </c>
      <c r="U46" s="72" t="n">
        <v>43548.96547343443</v>
      </c>
      <c r="V46" s="72" t="n">
        <v>1972.96</v>
      </c>
      <c r="W46" s="72">
        <f>U46-V46</f>
        <v/>
      </c>
    </row>
    <row r="47">
      <c r="B47" s="43" t="inlineStr">
        <is>
          <t>Ideapad Slim 3</t>
        </is>
      </c>
      <c r="C47" s="43" t="inlineStr">
        <is>
          <t>Thin &amp; Light</t>
        </is>
      </c>
      <c r="D47" s="45" t="inlineStr">
        <is>
          <t>82X700G3IN</t>
        </is>
      </c>
      <c r="E47" s="43" t="inlineStr">
        <is>
          <t>i3-1315U</t>
        </is>
      </c>
      <c r="F47" s="43" t="n"/>
      <c r="G47" s="43" t="inlineStr">
        <is>
          <t>8GB,512GB SSD</t>
        </is>
      </c>
      <c r="H47" s="43" t="inlineStr">
        <is>
          <t>WINDOWS 11 HOME 64 SL</t>
        </is>
      </c>
      <c r="I47" s="43" t="inlineStr">
        <is>
          <t>OFFICE HOME 2024</t>
        </is>
      </c>
      <c r="J47" s="43" t="inlineStr">
        <is>
          <t>Integrated Intel UHD Graphics</t>
        </is>
      </c>
      <c r="K47" s="67" t="inlineStr">
        <is>
          <t>15.6" FHD (1920x1080) 250nits Anti-glare</t>
        </is>
      </c>
      <c r="L47" s="43" t="inlineStr">
        <is>
          <t>Arctic Grey</t>
        </is>
      </c>
      <c r="M47" s="43" t="inlineStr">
        <is>
          <t>1.62Kg</t>
        </is>
      </c>
      <c r="N47" s="43" t="inlineStr">
        <is>
          <t>GX40Q75210</t>
        </is>
      </c>
      <c r="O47" s="43" t="inlineStr">
        <is>
          <t>1 Years Onsite</t>
        </is>
      </c>
      <c r="P47" s="1" t="inlineStr">
        <is>
          <t>-</t>
        </is>
      </c>
      <c r="Q47" s="1" t="inlineStr">
        <is>
          <t>1 Year ADP</t>
        </is>
      </c>
      <c r="R47" s="43" t="inlineStr">
        <is>
          <t xml:space="preserve">Non-backlit </t>
        </is>
      </c>
      <c r="S47" s="43" t="inlineStr">
        <is>
          <t>-</t>
        </is>
      </c>
      <c r="T47" s="43" t="inlineStr">
        <is>
          <t>Entry</t>
        </is>
      </c>
      <c r="U47" s="72" t="n">
        <v>41652.90918553618</v>
      </c>
      <c r="V47" s="72" t="n"/>
      <c r="W47" s="72">
        <f>U47-V47</f>
        <v/>
      </c>
    </row>
    <row r="48">
      <c r="B48" s="43" t="inlineStr">
        <is>
          <t>Ideapad Slim 3</t>
        </is>
      </c>
      <c r="C48" s="43" t="inlineStr">
        <is>
          <t>Thin &amp; Light</t>
        </is>
      </c>
      <c r="D48" s="45" t="inlineStr">
        <is>
          <t>82X700HMIN</t>
        </is>
      </c>
      <c r="E48" s="43" t="inlineStr">
        <is>
          <t>i3-1315U</t>
        </is>
      </c>
      <c r="F48" s="43" t="n"/>
      <c r="G48" s="43" t="inlineStr">
        <is>
          <t>8GB,512GB SSD</t>
        </is>
      </c>
      <c r="H48" s="43" t="inlineStr">
        <is>
          <t>WINDOWS 11 HOME 64 SL</t>
        </is>
      </c>
      <c r="I48" s="43" t="inlineStr">
        <is>
          <t>OFFICE HOME 2024</t>
        </is>
      </c>
      <c r="J48" s="43" t="inlineStr">
        <is>
          <t>Integrated Intel UHD Graphics</t>
        </is>
      </c>
      <c r="K48" s="67" t="inlineStr">
        <is>
          <t>15.6" FHD (1920x1080) 250nits Anti-glare</t>
        </is>
      </c>
      <c r="L48" s="43" t="inlineStr">
        <is>
          <t>Arctic Grey</t>
        </is>
      </c>
      <c r="M48" s="43" t="inlineStr">
        <is>
          <t>1.62Kg</t>
        </is>
      </c>
      <c r="N48" s="43" t="inlineStr">
        <is>
          <t>GX40Q75210</t>
        </is>
      </c>
      <c r="O48" s="43" t="inlineStr">
        <is>
          <t>1 Years Onsite</t>
        </is>
      </c>
      <c r="P48" s="1" t="inlineStr">
        <is>
          <t>-</t>
        </is>
      </c>
      <c r="Q48" s="1" t="inlineStr">
        <is>
          <t>1 Year ADP</t>
        </is>
      </c>
      <c r="R48" s="43" t="inlineStr">
        <is>
          <t xml:space="preserve">Non-backlit </t>
        </is>
      </c>
      <c r="S48" s="43" t="inlineStr">
        <is>
          <t>-</t>
        </is>
      </c>
      <c r="T48" s="43" t="inlineStr">
        <is>
          <t>Entry</t>
        </is>
      </c>
      <c r="U48" s="72" t="n">
        <v>40961.86540333494</v>
      </c>
      <c r="V48" s="72" t="n"/>
      <c r="W48" s="72">
        <f>U48-V48</f>
        <v/>
      </c>
    </row>
    <row r="49">
      <c r="B49" s="43" t="inlineStr">
        <is>
          <t>Ideapad Slim 3</t>
        </is>
      </c>
      <c r="C49" s="43" t="inlineStr">
        <is>
          <t>Thin &amp; Light</t>
        </is>
      </c>
      <c r="D49" s="45" t="inlineStr">
        <is>
          <t>82X6005KIN</t>
        </is>
      </c>
      <c r="E49" s="43" t="inlineStr">
        <is>
          <t>i3-1315U</t>
        </is>
      </c>
      <c r="F49" s="43" t="n"/>
      <c r="G49" s="43" t="inlineStr">
        <is>
          <t>8GB,512GB SSD</t>
        </is>
      </c>
      <c r="H49" s="43" t="inlineStr">
        <is>
          <t>WINDOWS 11 HOME 64 SL</t>
        </is>
      </c>
      <c r="I49" s="43" t="inlineStr">
        <is>
          <t>OFFICE HOME 2024</t>
        </is>
      </c>
      <c r="J49" s="43" t="inlineStr">
        <is>
          <t>Integrated Intel UHD Graphics</t>
        </is>
      </c>
      <c r="K49" s="67" t="inlineStr">
        <is>
          <t>14" FHD (1920x1080) 250nits Anti-glare</t>
        </is>
      </c>
      <c r="L49" s="43" t="inlineStr">
        <is>
          <t>Arctic Grey</t>
        </is>
      </c>
      <c r="M49" s="43" t="inlineStr">
        <is>
          <t>1.62Kg</t>
        </is>
      </c>
      <c r="N49" s="43" t="inlineStr">
        <is>
          <t>GX40Q75210</t>
        </is>
      </c>
      <c r="O49" s="43" t="inlineStr">
        <is>
          <t>1 Years Onsite</t>
        </is>
      </c>
      <c r="P49" s="1" t="inlineStr">
        <is>
          <t>-</t>
        </is>
      </c>
      <c r="Q49" s="1" t="inlineStr">
        <is>
          <t>1 Year ADP</t>
        </is>
      </c>
      <c r="R49" s="43" t="inlineStr">
        <is>
          <t xml:space="preserve">Non-backlit </t>
        </is>
      </c>
      <c r="S49" s="43" t="inlineStr">
        <is>
          <t>-</t>
        </is>
      </c>
      <c r="T49" s="43" t="inlineStr">
        <is>
          <t>Entry</t>
        </is>
      </c>
      <c r="U49" s="72" t="n">
        <v>40519.45980333489</v>
      </c>
      <c r="V49" s="72" t="n"/>
      <c r="W49" s="72">
        <f>U49-V49</f>
        <v/>
      </c>
    </row>
    <row r="50">
      <c r="B50" s="43" t="inlineStr">
        <is>
          <t>Ideapad Slim 3</t>
        </is>
      </c>
      <c r="C50" s="43" t="inlineStr">
        <is>
          <t>Thin &amp; Light</t>
        </is>
      </c>
      <c r="D50" s="45" t="inlineStr">
        <is>
          <t>82RK019DIN</t>
        </is>
      </c>
      <c r="E50" s="43" t="inlineStr">
        <is>
          <t>i3-1215U</t>
        </is>
      </c>
      <c r="F50" s="43" t="n"/>
      <c r="G50" s="43" t="inlineStr">
        <is>
          <t>8GB,512GB SSD</t>
        </is>
      </c>
      <c r="H50" s="43" t="inlineStr">
        <is>
          <t>WINDOWS 11 HOME 64 SL</t>
        </is>
      </c>
      <c r="I50" s="43" t="inlineStr">
        <is>
          <t>OFFICE HOME 2024</t>
        </is>
      </c>
      <c r="J50" s="43" t="inlineStr">
        <is>
          <t>Integrated Intel UHD Graphics</t>
        </is>
      </c>
      <c r="K50" s="67" t="inlineStr">
        <is>
          <t>15.6" FHD (1920x1080) TN 250nits Anti-glare</t>
        </is>
      </c>
      <c r="L50" s="43" t="inlineStr">
        <is>
          <t>Arctic Grey</t>
        </is>
      </c>
      <c r="M50" s="43" t="inlineStr">
        <is>
          <t>1.63Kg</t>
        </is>
      </c>
      <c r="N50" s="43" t="inlineStr">
        <is>
          <t>GX40Q75210</t>
        </is>
      </c>
      <c r="O50" s="43" t="inlineStr">
        <is>
          <t>1 Year Onsite</t>
        </is>
      </c>
      <c r="P50" s="1" t="inlineStr">
        <is>
          <t>-</t>
        </is>
      </c>
      <c r="Q50" s="1" t="inlineStr">
        <is>
          <t>1 Year ADP</t>
        </is>
      </c>
      <c r="R50" s="43" t="inlineStr">
        <is>
          <t xml:space="preserve">Non-backlit </t>
        </is>
      </c>
      <c r="S50" s="43" t="inlineStr">
        <is>
          <t>-</t>
        </is>
      </c>
      <c r="T50" s="43" t="inlineStr">
        <is>
          <t>Entry</t>
        </is>
      </c>
      <c r="U50" s="72" t="n">
        <v>40561.96128754409</v>
      </c>
      <c r="V50" s="72" t="n"/>
      <c r="W50" s="72">
        <f>U50-V50</f>
        <v/>
      </c>
    </row>
    <row r="51">
      <c r="B51" s="43" t="inlineStr">
        <is>
          <t>Ideapad Slim 3</t>
        </is>
      </c>
      <c r="C51" s="43" t="inlineStr">
        <is>
          <t>Thin &amp; Light</t>
        </is>
      </c>
      <c r="D51" s="45" t="inlineStr">
        <is>
          <t>82RJ00G5IN</t>
        </is>
      </c>
      <c r="E51" s="43" t="inlineStr">
        <is>
          <t>i3-1215U</t>
        </is>
      </c>
      <c r="F51" s="43" t="n"/>
      <c r="G51" s="43" t="inlineStr">
        <is>
          <t>8GB,512GB SSD</t>
        </is>
      </c>
      <c r="H51" s="43" t="inlineStr">
        <is>
          <t>WINDOWS 11 HOME 64 SL</t>
        </is>
      </c>
      <c r="I51" s="43" t="inlineStr">
        <is>
          <t>OFFICE HOME 2024</t>
        </is>
      </c>
      <c r="J51" s="43" t="inlineStr">
        <is>
          <t>Integrated Intel UHD Graphics</t>
        </is>
      </c>
      <c r="K51" s="67" t="inlineStr">
        <is>
          <t>14" FHD (1920x1080) TN 250nits Anti-glare</t>
        </is>
      </c>
      <c r="L51" s="43" t="inlineStr">
        <is>
          <t>Arctic Grey</t>
        </is>
      </c>
      <c r="M51" s="43" t="inlineStr">
        <is>
          <t>1.43Kg</t>
        </is>
      </c>
      <c r="N51" s="43" t="inlineStr">
        <is>
          <t>GX40Q75210</t>
        </is>
      </c>
      <c r="O51" s="43" t="inlineStr">
        <is>
          <t>1 Year Onsite</t>
        </is>
      </c>
      <c r="P51" s="1" t="inlineStr">
        <is>
          <t>-</t>
        </is>
      </c>
      <c r="Q51" s="1" t="inlineStr">
        <is>
          <t>1 Year ADP</t>
        </is>
      </c>
      <c r="R51" s="43" t="inlineStr">
        <is>
          <t xml:space="preserve">Non-backlit </t>
        </is>
      </c>
      <c r="S51" s="43" t="inlineStr">
        <is>
          <t>-</t>
        </is>
      </c>
      <c r="T51" s="43" t="inlineStr">
        <is>
          <t>Entry</t>
        </is>
      </c>
      <c r="U51" s="72" t="n">
        <v>40560.9312875441</v>
      </c>
      <c r="V51" s="72" t="n"/>
      <c r="W51" s="72">
        <f>U51-V51</f>
        <v/>
      </c>
    </row>
    <row r="52">
      <c r="B52" s="43" t="inlineStr">
        <is>
          <t>Ideapad Slim 3</t>
        </is>
      </c>
      <c r="C52" s="43" t="inlineStr">
        <is>
          <t>Thin &amp; Light</t>
        </is>
      </c>
      <c r="D52" s="45" t="inlineStr">
        <is>
          <t>83K100C9IN</t>
        </is>
      </c>
      <c r="E52" s="43" t="inlineStr">
        <is>
          <t>i7-13620H</t>
        </is>
      </c>
      <c r="F52" s="43" t="n"/>
      <c r="G52" s="43" t="inlineStr">
        <is>
          <t>16GB,512GB SSD</t>
        </is>
      </c>
      <c r="H52" s="43" t="inlineStr">
        <is>
          <t>WINDOWS 11 HOME 64 SL</t>
        </is>
      </c>
      <c r="I52" s="43" t="inlineStr">
        <is>
          <t>OFFICE HOME 2024</t>
        </is>
      </c>
      <c r="J52" s="43" t="inlineStr">
        <is>
          <t>Integrated Intel® UHD Graphics</t>
        </is>
      </c>
      <c r="K52" s="67" t="inlineStr">
        <is>
          <t>15.3" WUXGA (1920x1200) IPS 300nits Anti-glare</t>
        </is>
      </c>
      <c r="L52" s="43" t="inlineStr">
        <is>
          <t>Luna_Grey</t>
        </is>
      </c>
      <c r="M52" s="43" t="inlineStr">
        <is>
          <t>1.59Kg</t>
        </is>
      </c>
      <c r="N52" s="43" t="inlineStr">
        <is>
          <t xml:space="preserve">GX40Q75210 </t>
        </is>
      </c>
      <c r="O52" s="43" t="inlineStr">
        <is>
          <t>1 Year Onsite</t>
        </is>
      </c>
      <c r="P52" s="1" t="n"/>
      <c r="Q52" s="1" t="inlineStr">
        <is>
          <t>1 Year ADP</t>
        </is>
      </c>
      <c r="R52" s="43" t="inlineStr">
        <is>
          <t xml:space="preserve">Backlit </t>
        </is>
      </c>
      <c r="S52" s="43" t="inlineStr">
        <is>
          <t>-</t>
        </is>
      </c>
      <c r="T52" s="43" t="inlineStr">
        <is>
          <t>Premium</t>
        </is>
      </c>
      <c r="U52" s="72" t="n">
        <v>72609.65658901891</v>
      </c>
      <c r="V52" s="72" t="n">
        <v>4448.599999999999</v>
      </c>
      <c r="W52" s="72">
        <f>U52-V52</f>
        <v/>
      </c>
    </row>
    <row r="53">
      <c r="B53" s="45" t="inlineStr">
        <is>
          <t>LoQ</t>
        </is>
      </c>
      <c r="C53" s="45" t="inlineStr">
        <is>
          <t>Gaming</t>
        </is>
      </c>
      <c r="D53" s="45" t="inlineStr">
        <is>
          <t>83JG008NIN</t>
        </is>
      </c>
      <c r="E53" s="45" t="inlineStr">
        <is>
          <t>R7 250</t>
        </is>
      </c>
      <c r="F53" s="45" t="n"/>
      <c r="G53" s="45" t="inlineStr">
        <is>
          <t>24GB, 1TB SSD</t>
        </is>
      </c>
      <c r="H53" s="45" t="inlineStr">
        <is>
          <t>Windows 11</t>
        </is>
      </c>
      <c r="I53" s="45" t="inlineStr">
        <is>
          <t>Office 2024</t>
        </is>
      </c>
      <c r="J53" s="45" t="inlineStr">
        <is>
          <t>RTX 5050 8GB</t>
        </is>
      </c>
      <c r="K53" s="63" t="inlineStr">
        <is>
          <t>15.6_FHD_AG_300N_144_SRGB</t>
        </is>
      </c>
      <c r="L53" s="63" t="inlineStr">
        <is>
          <t>LUNA_GREY</t>
        </is>
      </c>
      <c r="M53" s="45" t="inlineStr">
        <is>
          <t>2.38kg</t>
        </is>
      </c>
      <c r="N53" s="71" t="inlineStr">
        <is>
          <t>GX41T87387</t>
        </is>
      </c>
      <c r="O53" s="45" t="inlineStr">
        <is>
          <t>1 year onsite</t>
        </is>
      </c>
      <c r="P53" s="63" t="n"/>
      <c r="Q53" s="45" t="inlineStr">
        <is>
          <t>1 Year ADP</t>
        </is>
      </c>
      <c r="R53" s="45" t="inlineStr">
        <is>
          <t>24 Zone RGB</t>
        </is>
      </c>
      <c r="S53" s="45" t="n"/>
      <c r="T53" s="53" t="inlineStr">
        <is>
          <t>Premium</t>
        </is>
      </c>
      <c r="U53" s="72" t="n">
        <v>112341.6422009237</v>
      </c>
      <c r="V53" s="72" t="n"/>
      <c r="W53" s="72">
        <f>U53-V53</f>
        <v/>
      </c>
    </row>
    <row r="54">
      <c r="B54" s="45" t="inlineStr">
        <is>
          <t>LoQ</t>
        </is>
      </c>
      <c r="C54" s="45" t="inlineStr">
        <is>
          <t>Gaming</t>
        </is>
      </c>
      <c r="D54" s="45" t="inlineStr">
        <is>
          <t>83JG008MIN</t>
        </is>
      </c>
      <c r="E54" s="45" t="inlineStr">
        <is>
          <t>R7 250</t>
        </is>
      </c>
      <c r="F54" s="45" t="n"/>
      <c r="G54" s="45" t="inlineStr">
        <is>
          <t>24GB, 1TB SSD</t>
        </is>
      </c>
      <c r="H54" s="45" t="inlineStr">
        <is>
          <t>Windows 11</t>
        </is>
      </c>
      <c r="I54" s="45" t="inlineStr">
        <is>
          <t>Office 2024</t>
        </is>
      </c>
      <c r="J54" s="45" t="inlineStr">
        <is>
          <t>RTX 5060 8GB</t>
        </is>
      </c>
      <c r="K54" s="63" t="inlineStr">
        <is>
          <t>15.6_FHD_AG_300N_144_SRGB</t>
        </is>
      </c>
      <c r="L54" s="63" t="inlineStr">
        <is>
          <t>LUNA_GREY</t>
        </is>
      </c>
      <c r="M54" s="45" t="inlineStr">
        <is>
          <t>2.38kg</t>
        </is>
      </c>
      <c r="N54" s="71" t="inlineStr">
        <is>
          <t>GX41T87387</t>
        </is>
      </c>
      <c r="O54" s="45" t="inlineStr">
        <is>
          <t>1 year onsite</t>
        </is>
      </c>
      <c r="P54" s="63" t="n"/>
      <c r="Q54" s="45" t="inlineStr">
        <is>
          <t>1 Year ADP</t>
        </is>
      </c>
      <c r="R54" s="45" t="inlineStr">
        <is>
          <t>24 Zone RGB</t>
        </is>
      </c>
      <c r="S54" s="45" t="n"/>
      <c r="T54" s="53" t="inlineStr">
        <is>
          <t>Premium</t>
        </is>
      </c>
      <c r="U54" s="72" t="n">
        <v>121968.5748721858</v>
      </c>
      <c r="V54" s="72" t="n"/>
      <c r="W54" s="72">
        <f>U54-V54</f>
        <v/>
      </c>
    </row>
    <row r="55">
      <c r="B55" s="45" t="inlineStr">
        <is>
          <t>LOQ Essential</t>
        </is>
      </c>
      <c r="C55" s="45" t="inlineStr">
        <is>
          <t>Gaming</t>
        </is>
      </c>
      <c r="D55" s="45" t="inlineStr">
        <is>
          <t>83LK00D9IN</t>
        </is>
      </c>
      <c r="E55" s="45" t="inlineStr">
        <is>
          <t>i7 12650HX</t>
        </is>
      </c>
      <c r="F55" s="45" t="n"/>
      <c r="G55" s="45" t="inlineStr">
        <is>
          <t>16GB, 512GB SSD</t>
        </is>
      </c>
      <c r="H55" s="45" t="inlineStr">
        <is>
          <t>Windows 11</t>
        </is>
      </c>
      <c r="I55" s="45" t="inlineStr">
        <is>
          <t>Office 2024</t>
        </is>
      </c>
      <c r="J55" s="45" t="inlineStr">
        <is>
          <t>RTX 4050 6GB</t>
        </is>
      </c>
      <c r="K55" s="63" t="inlineStr">
        <is>
          <t>15.6_FHD_AG_300N_144_SRGB</t>
        </is>
      </c>
      <c r="L55" s="63" t="inlineStr">
        <is>
          <t>LUNA_GREY</t>
        </is>
      </c>
      <c r="M55" s="45" t="inlineStr">
        <is>
          <t>1.77kg</t>
        </is>
      </c>
      <c r="N55" s="71" t="inlineStr">
        <is>
          <t xml:space="preserve">GX40Q75210 </t>
        </is>
      </c>
      <c r="O55" s="45" t="inlineStr">
        <is>
          <t>1 year onsite</t>
        </is>
      </c>
      <c r="P55" s="63" t="n"/>
      <c r="Q55" s="45" t="inlineStr">
        <is>
          <t>1 Year ADP</t>
        </is>
      </c>
      <c r="R55" s="45" t="inlineStr">
        <is>
          <t>White Backlit</t>
        </is>
      </c>
      <c r="S55" s="45" t="n"/>
      <c r="T55" s="53" t="inlineStr">
        <is>
          <t>Premium</t>
        </is>
      </c>
      <c r="U55" s="72" t="n">
        <v>77676.96884344135</v>
      </c>
      <c r="V55" s="72" t="n"/>
      <c r="W55" s="72">
        <f>U55-V55</f>
        <v/>
      </c>
    </row>
    <row r="56">
      <c r="B56" s="45" t="inlineStr">
        <is>
          <t>IdeaPad Slim 1</t>
        </is>
      </c>
      <c r="C56" s="45" t="inlineStr">
        <is>
          <t>Thin &amp; Light</t>
        </is>
      </c>
      <c r="D56" s="45" t="inlineStr">
        <is>
          <t>83B40004IN</t>
        </is>
      </c>
      <c r="E56" s="45" t="inlineStr">
        <is>
          <t>i3 1315U</t>
        </is>
      </c>
      <c r="F56" s="45" t="n"/>
      <c r="G56" s="45" t="inlineStr">
        <is>
          <t>8GB 512GB SSD</t>
        </is>
      </c>
      <c r="H56" s="45" t="inlineStr">
        <is>
          <t>Windows 11</t>
        </is>
      </c>
      <c r="I56" s="45" t="inlineStr">
        <is>
          <t>OFFICE 2024</t>
        </is>
      </c>
      <c r="J56" s="45" t="inlineStr">
        <is>
          <t>Integrated Intel® UHD Graphics</t>
        </is>
      </c>
      <c r="K56" s="63" t="inlineStr">
        <is>
          <t>15.6FHD_TN_AG_250N_N</t>
        </is>
      </c>
      <c r="L56" s="63" t="inlineStr">
        <is>
          <t>CLOUD_GREY</t>
        </is>
      </c>
      <c r="M56" s="45" t="inlineStr">
        <is>
          <t>1.59KG</t>
        </is>
      </c>
      <c r="N56" s="71" t="inlineStr">
        <is>
          <t xml:space="preserve">GX40Q75210 </t>
        </is>
      </c>
      <c r="O56" s="45" t="inlineStr">
        <is>
          <t>1 year onsite</t>
        </is>
      </c>
      <c r="P56" s="63" t="n"/>
      <c r="Q56" s="45" t="inlineStr">
        <is>
          <t>1 Year ADP</t>
        </is>
      </c>
      <c r="R56" s="45" t="inlineStr">
        <is>
          <t>Non-backlit</t>
        </is>
      </c>
      <c r="S56" s="45" t="n"/>
      <c r="T56" s="53" t="inlineStr">
        <is>
          <t>Entry</t>
        </is>
      </c>
      <c r="U56" s="72" t="n">
        <v>40705.4786855194</v>
      </c>
      <c r="V56" s="72" t="n"/>
      <c r="W56" s="72">
        <f>U56-V56</f>
        <v/>
      </c>
    </row>
    <row r="57">
      <c r="B57" s="45" t="inlineStr">
        <is>
          <t xml:space="preserve">IdeaPad Slim 3 </t>
        </is>
      </c>
      <c r="C57" s="45" t="inlineStr">
        <is>
          <t>Thin &amp; Light</t>
        </is>
      </c>
      <c r="D57" s="45" t="inlineStr">
        <is>
          <t>83KA0048IN</t>
        </is>
      </c>
      <c r="E57" s="45" t="inlineStr">
        <is>
          <t>R7 8840HS</t>
        </is>
      </c>
      <c r="F57" s="45" t="n"/>
      <c r="G57" s="45" t="inlineStr">
        <is>
          <t>16GB 512GB SSD</t>
        </is>
      </c>
      <c r="H57" s="45" t="inlineStr">
        <is>
          <t>Windows 11</t>
        </is>
      </c>
      <c r="I57" s="45" t="inlineStr">
        <is>
          <t>OFFICE 2024</t>
        </is>
      </c>
      <c r="J57" s="45" t="inlineStr">
        <is>
          <t>Integrated Intel® UHD Graphics</t>
        </is>
      </c>
      <c r="K57" s="63" t="inlineStr">
        <is>
          <t>15.3WUXGA_AG_300N_N</t>
        </is>
      </c>
      <c r="L57" s="63" t="inlineStr">
        <is>
          <t>LUNA_GREY</t>
        </is>
      </c>
      <c r="M57" s="45" t="inlineStr">
        <is>
          <t>1.59KG</t>
        </is>
      </c>
      <c r="N57" s="71" t="inlineStr">
        <is>
          <t xml:space="preserve">GX40Q75210 </t>
        </is>
      </c>
      <c r="O57" s="45" t="inlineStr">
        <is>
          <t>1 year onsite</t>
        </is>
      </c>
      <c r="P57" s="63" t="n"/>
      <c r="Q57" s="45" t="inlineStr">
        <is>
          <t>1 Year ADP</t>
        </is>
      </c>
      <c r="R57" s="45" t="inlineStr">
        <is>
          <t xml:space="preserve">Backlit </t>
        </is>
      </c>
      <c r="S57" s="45" t="n"/>
      <c r="T57" s="53" t="inlineStr">
        <is>
          <t>Mainstream</t>
        </is>
      </c>
      <c r="U57" s="72" t="n">
        <v>65353.13879080069</v>
      </c>
      <c r="V57" s="72" t="n"/>
      <c r="W57" s="72">
        <f>U57-V57</f>
        <v/>
      </c>
    </row>
    <row r="58">
      <c r="B58" s="45" t="inlineStr">
        <is>
          <t xml:space="preserve">IdeaPad Slim 3 </t>
        </is>
      </c>
      <c r="C58" s="45" t="inlineStr">
        <is>
          <t>Thin &amp; Light</t>
        </is>
      </c>
      <c r="D58" s="45" t="inlineStr">
        <is>
          <t>82XQ00W4IN</t>
        </is>
      </c>
      <c r="E58" s="45" t="inlineStr">
        <is>
          <t>R5 7520U</t>
        </is>
      </c>
      <c r="F58" s="45" t="n"/>
      <c r="G58" s="45" t="inlineStr">
        <is>
          <t>16GB 512GB SSD</t>
        </is>
      </c>
      <c r="H58" s="45" t="inlineStr">
        <is>
          <t>Windows 11</t>
        </is>
      </c>
      <c r="I58" s="45" t="inlineStr">
        <is>
          <t>M365 B + Office 2024</t>
        </is>
      </c>
      <c r="J58" s="45" t="inlineStr">
        <is>
          <t>Integrated Intel® UHD Graphics</t>
        </is>
      </c>
      <c r="K58" s="63" t="inlineStr">
        <is>
          <t>15.6FHD_TN_AG_250N_N</t>
        </is>
      </c>
      <c r="L58" s="63" t="inlineStr">
        <is>
          <t>ARCTIC_GREY</t>
        </is>
      </c>
      <c r="M58" s="45" t="inlineStr">
        <is>
          <t>1.59KG</t>
        </is>
      </c>
      <c r="N58" s="71" t="inlineStr">
        <is>
          <t xml:space="preserve">GX40Q75210 </t>
        </is>
      </c>
      <c r="O58" s="45" t="inlineStr">
        <is>
          <t>1 year onsite</t>
        </is>
      </c>
      <c r="P58" s="63" t="n"/>
      <c r="Q58" s="45" t="inlineStr">
        <is>
          <t>1 Year ADP</t>
        </is>
      </c>
      <c r="R58" s="45" t="inlineStr">
        <is>
          <t xml:space="preserve">Backlit </t>
        </is>
      </c>
      <c r="S58" s="45" t="n"/>
      <c r="T58" s="53" t="inlineStr">
        <is>
          <t>Mainstream</t>
        </is>
      </c>
      <c r="U58" s="72" t="n">
        <v>45443.08845341696</v>
      </c>
      <c r="V58" s="72" t="n"/>
      <c r="W58" s="72">
        <f>U58-V58</f>
        <v/>
      </c>
    </row>
    <row r="59">
      <c r="B59" s="45" t="inlineStr">
        <is>
          <t xml:space="preserve">IdeaPad Slim 3 </t>
        </is>
      </c>
      <c r="C59" s="45" t="inlineStr">
        <is>
          <t>Thin &amp; Light</t>
        </is>
      </c>
      <c r="D59" s="45" t="inlineStr">
        <is>
          <t>82XB00HEIN</t>
        </is>
      </c>
      <c r="E59" s="45" t="inlineStr">
        <is>
          <t>N 100</t>
        </is>
      </c>
      <c r="F59" s="45" t="n"/>
      <c r="G59" s="45" t="inlineStr">
        <is>
          <t>8GB 512GB SSD</t>
        </is>
      </c>
      <c r="H59" s="45" t="inlineStr">
        <is>
          <t>Windows 11</t>
        </is>
      </c>
      <c r="I59" s="45" t="inlineStr">
        <is>
          <t>OFFICE TRIAL</t>
        </is>
      </c>
      <c r="J59" s="45" t="inlineStr">
        <is>
          <t>Integrated Intel® UHD Graphics</t>
        </is>
      </c>
      <c r="K59" s="63" t="inlineStr">
        <is>
          <t>15.6FHD_TN_AG_250N_N</t>
        </is>
      </c>
      <c r="L59" s="63" t="inlineStr">
        <is>
          <t>ARCTIC_GREY</t>
        </is>
      </c>
      <c r="M59" s="45" t="inlineStr">
        <is>
          <t>1.59KG</t>
        </is>
      </c>
      <c r="N59" s="71" t="inlineStr">
        <is>
          <t xml:space="preserve">GX40Q75210 </t>
        </is>
      </c>
      <c r="O59" s="45" t="inlineStr">
        <is>
          <t>1 year onsite</t>
        </is>
      </c>
      <c r="P59" s="63" t="n"/>
      <c r="Q59" s="45" t="inlineStr">
        <is>
          <t>1 Year ADP</t>
        </is>
      </c>
      <c r="R59" s="45" t="inlineStr">
        <is>
          <t>Non-backlit</t>
        </is>
      </c>
      <c r="S59" s="45" t="n"/>
      <c r="T59" s="53" t="inlineStr">
        <is>
          <t>Entry</t>
        </is>
      </c>
      <c r="U59" s="72" t="n">
        <v>27433.3731879921</v>
      </c>
      <c r="V59" s="72" t="n"/>
      <c r="W59" s="72">
        <f>U59-V59</f>
        <v/>
      </c>
    </row>
    <row r="60">
      <c r="B60" s="45" t="inlineStr">
        <is>
          <t xml:space="preserve">IdeaPad Slim 3 </t>
        </is>
      </c>
      <c r="C60" s="45" t="inlineStr">
        <is>
          <t>Thin &amp; Light</t>
        </is>
      </c>
      <c r="D60" s="45" t="inlineStr">
        <is>
          <t>83K100RVIN</t>
        </is>
      </c>
      <c r="E60" s="45" t="inlineStr">
        <is>
          <t>i7 13620H</t>
        </is>
      </c>
      <c r="F60" s="45" t="n"/>
      <c r="G60" s="45" t="inlineStr">
        <is>
          <t>16GB 512GB SSD</t>
        </is>
      </c>
      <c r="H60" s="45" t="inlineStr">
        <is>
          <t>Windows 11</t>
        </is>
      </c>
      <c r="I60" s="45" t="inlineStr">
        <is>
          <t>OFFICE 2024</t>
        </is>
      </c>
      <c r="J60" s="45" t="inlineStr">
        <is>
          <t>Integrated Intel® UHD Graphics</t>
        </is>
      </c>
      <c r="K60" s="63" t="inlineStr">
        <is>
          <t>15.3_WUXGA_AG_300N</t>
        </is>
      </c>
      <c r="L60" s="63" t="inlineStr">
        <is>
          <t>LUNA_GREY</t>
        </is>
      </c>
      <c r="M60" s="45" t="inlineStr">
        <is>
          <t>1.59KG</t>
        </is>
      </c>
      <c r="N60" s="71" t="inlineStr">
        <is>
          <t xml:space="preserve">GX40Q75210 </t>
        </is>
      </c>
      <c r="O60" s="45" t="inlineStr">
        <is>
          <t>1 year onsite</t>
        </is>
      </c>
      <c r="P60" s="63" t="n"/>
      <c r="Q60" s="45" t="inlineStr">
        <is>
          <t>1 Year ADP</t>
        </is>
      </c>
      <c r="R60" s="45" t="inlineStr">
        <is>
          <t xml:space="preserve">Backlit </t>
        </is>
      </c>
      <c r="S60" s="45" t="n"/>
      <c r="T60" s="53" t="inlineStr">
        <is>
          <t>Premium</t>
        </is>
      </c>
      <c r="U60" s="72" t="n">
        <v>75780.99498918896</v>
      </c>
      <c r="V60" s="72" t="n"/>
      <c r="W60" s="72">
        <f>U60-V60</f>
        <v/>
      </c>
    </row>
    <row r="61">
      <c r="B61" s="45" t="inlineStr">
        <is>
          <t xml:space="preserve">IdeaPad Slim 3 </t>
        </is>
      </c>
      <c r="C61" s="45" t="inlineStr">
        <is>
          <t>Thin &amp; Light</t>
        </is>
      </c>
      <c r="D61" s="45" t="inlineStr">
        <is>
          <t>83K100CAIN</t>
        </is>
      </c>
      <c r="E61" s="45" t="inlineStr">
        <is>
          <t>i5 13420H</t>
        </is>
      </c>
      <c r="F61" s="45" t="n"/>
      <c r="G61" s="45" t="inlineStr">
        <is>
          <t>8GB 512GB SSD</t>
        </is>
      </c>
      <c r="H61" s="45" t="inlineStr">
        <is>
          <t>Windows 11</t>
        </is>
      </c>
      <c r="I61" s="45" t="inlineStr">
        <is>
          <t>OFFICE 2024</t>
        </is>
      </c>
      <c r="J61" s="45" t="inlineStr">
        <is>
          <t>Integrated Intel® UHD Graphics</t>
        </is>
      </c>
      <c r="K61" s="63" t="inlineStr">
        <is>
          <t>15.3_WUXGA_AG_300N</t>
        </is>
      </c>
      <c r="L61" s="63" t="inlineStr">
        <is>
          <t>LUNA_GREY</t>
        </is>
      </c>
      <c r="M61" s="45" t="inlineStr">
        <is>
          <t>1.59KG</t>
        </is>
      </c>
      <c r="N61" s="71" t="inlineStr">
        <is>
          <t xml:space="preserve">GX40Q75210 </t>
        </is>
      </c>
      <c r="O61" s="45" t="inlineStr">
        <is>
          <t>1 year onsite</t>
        </is>
      </c>
      <c r="P61" s="63" t="n"/>
      <c r="Q61" s="45" t="inlineStr">
        <is>
          <t>1 Year ADP</t>
        </is>
      </c>
      <c r="R61" s="45" t="inlineStr">
        <is>
          <t xml:space="preserve">Backlit </t>
        </is>
      </c>
      <c r="S61" s="45" t="n"/>
      <c r="T61" s="53" t="inlineStr">
        <is>
          <t>Mainstream</t>
        </is>
      </c>
      <c r="U61" s="72" t="n">
        <v>54123.04337379105</v>
      </c>
      <c r="V61" s="72" t="n"/>
      <c r="W61" s="72">
        <f>U61-V61</f>
        <v/>
      </c>
    </row>
    <row r="62">
      <c r="B62" s="45" t="inlineStr">
        <is>
          <t>LOQ</t>
        </is>
      </c>
      <c r="C62" s="45" t="inlineStr">
        <is>
          <t>Thin &amp; Light</t>
        </is>
      </c>
      <c r="D62" s="45" t="inlineStr">
        <is>
          <t>83JC00LRIN</t>
        </is>
      </c>
      <c r="E62" s="45" t="inlineStr">
        <is>
          <t>R5 7235HS</t>
        </is>
      </c>
      <c r="F62" s="45" t="n"/>
      <c r="G62" s="45" t="inlineStr">
        <is>
          <t>16GB,512GB SSD</t>
        </is>
      </c>
      <c r="H62" s="45" t="inlineStr">
        <is>
          <t>Windows 11</t>
        </is>
      </c>
      <c r="I62" s="45" t="inlineStr">
        <is>
          <t>OFFICE 2024</t>
        </is>
      </c>
      <c r="J62" s="45" t="inlineStr">
        <is>
          <t>Integrated Intel® UHD Graphics</t>
        </is>
      </c>
      <c r="K62" s="63" t="inlineStr">
        <is>
          <t>15.6_FHD_AG_300N_144_SRGB</t>
        </is>
      </c>
      <c r="L62" s="63" t="inlineStr">
        <is>
          <t>LUNA_GREY</t>
        </is>
      </c>
      <c r="M62" s="45" t="inlineStr">
        <is>
          <t>2.38 Kg</t>
        </is>
      </c>
      <c r="N62" s="71" t="inlineStr">
        <is>
          <t>GX41T87387</t>
        </is>
      </c>
      <c r="O62" s="45" t="inlineStr">
        <is>
          <t>1 Year Onsite</t>
        </is>
      </c>
      <c r="P62" s="63" t="inlineStr">
        <is>
          <t>-</t>
        </is>
      </c>
      <c r="Q62" s="45" t="inlineStr">
        <is>
          <t>1 Year ADP</t>
        </is>
      </c>
      <c r="R62" s="45" t="inlineStr">
        <is>
          <t>White Backlit</t>
        </is>
      </c>
      <c r="S62" s="45" t="inlineStr">
        <is>
          <t>-</t>
        </is>
      </c>
      <c r="T62" s="53" t="inlineStr">
        <is>
          <t>Premium</t>
        </is>
      </c>
      <c r="U62" s="72" t="n">
        <v>72764.48488024452</v>
      </c>
      <c r="V62" s="72" t="n">
        <v>2634.94</v>
      </c>
      <c r="W62" s="72">
        <f>U62-V62</f>
        <v/>
      </c>
    </row>
    <row r="63">
      <c r="B63" s="45" t="inlineStr">
        <is>
          <t>LOQ</t>
        </is>
      </c>
      <c r="C63" s="45" t="inlineStr">
        <is>
          <t>Thin &amp; Light</t>
        </is>
      </c>
      <c r="D63" s="45" t="inlineStr">
        <is>
          <t>83JC00LSIN</t>
        </is>
      </c>
      <c r="E63" s="45" t="inlineStr">
        <is>
          <t>R5 7235HS</t>
        </is>
      </c>
      <c r="F63" s="45" t="n"/>
      <c r="G63" s="45" t="inlineStr">
        <is>
          <t>16GB,512GB SSD</t>
        </is>
      </c>
      <c r="H63" s="45" t="inlineStr">
        <is>
          <t>Windows 11</t>
        </is>
      </c>
      <c r="I63" s="45" t="inlineStr">
        <is>
          <t>OFFICE 2024</t>
        </is>
      </c>
      <c r="J63" s="45" t="inlineStr">
        <is>
          <t>Integrated Intel® UHD Graphics</t>
        </is>
      </c>
      <c r="K63" s="63" t="inlineStr">
        <is>
          <t>15.6_FHD_AG_300N_144_SRGB</t>
        </is>
      </c>
      <c r="L63" s="63" t="inlineStr">
        <is>
          <t>LUNA_GREY</t>
        </is>
      </c>
      <c r="M63" s="45" t="inlineStr">
        <is>
          <t>2.38 Kg</t>
        </is>
      </c>
      <c r="N63" s="71" t="inlineStr">
        <is>
          <t>GX41T87387</t>
        </is>
      </c>
      <c r="O63" s="45" t="inlineStr">
        <is>
          <t>1 Year Onsite</t>
        </is>
      </c>
      <c r="P63" s="63" t="inlineStr">
        <is>
          <t>-</t>
        </is>
      </c>
      <c r="Q63" s="45" t="inlineStr">
        <is>
          <t>1 Year ADP</t>
        </is>
      </c>
      <c r="R63" s="45" t="inlineStr">
        <is>
          <t>White Backlit</t>
        </is>
      </c>
      <c r="S63" s="45" t="inlineStr">
        <is>
          <t>-</t>
        </is>
      </c>
      <c r="T63" s="53" t="inlineStr">
        <is>
          <t>Mainstream</t>
        </is>
      </c>
      <c r="U63" s="72" t="n">
        <v>70868.51102599211</v>
      </c>
      <c r="V63" s="72" t="n">
        <v>6664.639999999999</v>
      </c>
      <c r="W63" s="72">
        <f>U63-V63</f>
        <v/>
      </c>
    </row>
  </sheetData>
  <autoFilter ref="A5:W63"/>
  <conditionalFormatting sqref="D4:D5">
    <cfRule type="duplicateValues" priority="1632" dxfId="0"/>
  </conditionalFormatting>
  <conditionalFormatting sqref="D10">
    <cfRule type="duplicateValues" priority="132" dxfId="0"/>
    <cfRule type="duplicateValues" priority="134" dxfId="0"/>
    <cfRule type="duplicateValues" priority="133" dxfId="0"/>
    <cfRule type="duplicateValues" priority="131" dxfId="0"/>
    <cfRule type="duplicateValues" priority="130" dxfId="0"/>
    <cfRule type="duplicateValues" priority="129" dxfId="0"/>
    <cfRule type="duplicateValues" priority="128" dxfId="0"/>
    <cfRule type="duplicateValues" priority="127" dxfId="0"/>
    <cfRule type="duplicateValues" priority="126" dxfId="0"/>
  </conditionalFormatting>
  <conditionalFormatting sqref="D11:D12">
    <cfRule type="duplicateValues" priority="193" dxfId="0"/>
    <cfRule type="duplicateValues" priority="192" dxfId="0"/>
    <cfRule type="duplicateValues" priority="204" dxfId="0"/>
    <cfRule type="duplicateValues" priority="203" dxfId="0"/>
    <cfRule type="duplicateValues" priority="202" dxfId="0"/>
    <cfRule type="duplicateValues" priority="201" dxfId="0"/>
    <cfRule type="duplicateValues" priority="200" dxfId="0"/>
    <cfRule type="duplicateValues" priority="199" dxfId="0"/>
    <cfRule type="duplicateValues" priority="198" dxfId="0"/>
    <cfRule type="duplicateValues" priority="197" dxfId="0"/>
    <cfRule type="duplicateValues" priority="196" dxfId="0"/>
    <cfRule type="duplicateValues" priority="195" dxfId="0"/>
    <cfRule type="duplicateValues" priority="194" dxfId="0"/>
  </conditionalFormatting>
  <conditionalFormatting sqref="D13">
    <cfRule type="duplicateValues" priority="116" dxfId="0"/>
    <cfRule type="duplicateValues" priority="115" dxfId="0"/>
    <cfRule type="duplicateValues" priority="114" dxfId="0"/>
    <cfRule type="duplicateValues" priority="113" dxfId="0"/>
    <cfRule type="duplicateValues" priority="122" dxfId="0"/>
    <cfRule type="duplicateValues" priority="112" dxfId="0"/>
    <cfRule type="duplicateValues" priority="125" dxfId="0"/>
    <cfRule type="duplicateValues" priority="124" dxfId="0"/>
    <cfRule type="duplicateValues" priority="123" dxfId="0"/>
    <cfRule type="duplicateValues" priority="121" dxfId="0"/>
    <cfRule type="duplicateValues" priority="120" dxfId="0"/>
    <cfRule type="duplicateValues" priority="119" dxfId="0"/>
    <cfRule type="duplicateValues" priority="118" dxfId="0"/>
    <cfRule type="duplicateValues" priority="117" dxfId="0"/>
  </conditionalFormatting>
  <conditionalFormatting sqref="D14">
    <cfRule type="duplicateValues" priority="136" dxfId="0"/>
  </conditionalFormatting>
  <conditionalFormatting sqref="D16">
    <cfRule type="duplicateValues" priority="191" dxfId="0"/>
  </conditionalFormatting>
  <conditionalFormatting sqref="D17">
    <cfRule type="duplicateValues" priority="135" dxfId="0"/>
  </conditionalFormatting>
  <conditionalFormatting sqref="D20">
    <cfRule type="duplicateValues" priority="137" dxfId="0"/>
  </conditionalFormatting>
  <conditionalFormatting sqref="D22">
    <cfRule type="duplicateValues" priority="111" dxfId="0"/>
  </conditionalFormatting>
  <conditionalFormatting sqref="D23">
    <cfRule type="duplicateValues" priority="108" dxfId="0"/>
    <cfRule type="duplicateValues" priority="107" dxfId="0"/>
    <cfRule type="duplicateValues" priority="110" dxfId="0"/>
    <cfRule type="duplicateValues" priority="109" dxfId="0"/>
  </conditionalFormatting>
  <conditionalFormatting sqref="D24:D26">
    <cfRule type="duplicateValues" priority="101" dxfId="0"/>
    <cfRule type="duplicateValues" priority="102" dxfId="0"/>
    <cfRule type="duplicateValues" priority="103" dxfId="0"/>
    <cfRule type="duplicateValues" priority="104" dxfId="0"/>
    <cfRule type="duplicateValues" priority="100" dxfId="0"/>
    <cfRule type="duplicateValues" priority="79" dxfId="0"/>
    <cfRule type="duplicateValues" priority="106" dxfId="0"/>
    <cfRule type="duplicateValues" priority="54" dxfId="0"/>
    <cfRule type="duplicateValues" priority="55" dxfId="0"/>
    <cfRule type="duplicateValues" priority="56" dxfId="0"/>
    <cfRule type="duplicateValues" priority="57" dxfId="0"/>
    <cfRule type="duplicateValues" priority="58" dxfId="0"/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  <cfRule type="duplicateValues" priority="64" dxfId="0"/>
    <cfRule type="duplicateValues" priority="65" dxfId="0"/>
    <cfRule type="duplicateValues" priority="66" dxfId="0"/>
    <cfRule type="duplicateValues" priority="67" dxfId="0"/>
    <cfRule type="duplicateValues" priority="68" dxfId="0"/>
    <cfRule type="duplicateValues" priority="69" dxfId="0"/>
    <cfRule type="duplicateValues" priority="70" dxfId="0"/>
    <cfRule type="duplicateValues" priority="71" dxfId="0"/>
    <cfRule type="duplicateValues" priority="72" dxfId="0"/>
    <cfRule type="duplicateValues" priority="73" dxfId="0"/>
    <cfRule type="duplicateValues" priority="74" dxfId="0"/>
    <cfRule type="duplicateValues" priority="75" dxfId="0"/>
    <cfRule type="duplicateValues" priority="76" dxfId="0"/>
    <cfRule type="duplicateValues" priority="77" dxfId="0"/>
    <cfRule type="duplicateValues" priority="78" dxfId="0"/>
    <cfRule type="duplicateValues" priority="105" dxfId="0"/>
    <cfRule type="duplicateValues" priority="80" dxfId="0"/>
    <cfRule type="duplicateValues" priority="81" dxfId="0"/>
    <cfRule type="duplicateValues" priority="82" dxfId="0"/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0"/>
    <cfRule type="duplicateValues" priority="94" dxfId="0"/>
    <cfRule type="duplicateValues" priority="95" dxfId="0"/>
    <cfRule type="duplicateValues" priority="96" dxfId="0"/>
    <cfRule type="duplicateValues" priority="97" dxfId="0"/>
    <cfRule type="duplicateValues" priority="98" dxfId="0"/>
    <cfRule type="duplicateValues" priority="99" dxfId="0"/>
  </conditionalFormatting>
  <conditionalFormatting sqref="D27:D30">
    <cfRule type="duplicateValues" priority="186" dxfId="0"/>
    <cfRule type="duplicateValues" priority="187" dxfId="0"/>
    <cfRule type="duplicateValues" priority="188" dxfId="0"/>
    <cfRule type="duplicateValues" priority="189" dxfId="0"/>
    <cfRule type="duplicateValues" priority="190" dxfId="0"/>
    <cfRule type="duplicateValues" priority="182" dxfId="0"/>
    <cfRule type="duplicateValues" priority="138" dxfId="0"/>
    <cfRule type="duplicateValues" priority="139" dxfId="0"/>
    <cfRule type="duplicateValues" priority="140" dxfId="0"/>
    <cfRule type="duplicateValues" priority="141" dxfId="0"/>
    <cfRule type="duplicateValues" priority="142" dxfId="0"/>
    <cfRule type="duplicateValues" priority="143" dxfId="0"/>
    <cfRule type="duplicateValues" priority="144" dxfId="0"/>
    <cfRule type="duplicateValues" priority="145" dxfId="0"/>
    <cfRule type="duplicateValues" priority="146" dxfId="0"/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2" dxfId="0"/>
    <cfRule type="duplicateValues" priority="153" dxfId="0"/>
    <cfRule type="duplicateValues" priority="154" dxfId="0"/>
    <cfRule type="duplicateValues" priority="155" dxfId="0"/>
    <cfRule type="duplicateValues" priority="156" dxfId="0"/>
    <cfRule type="duplicateValues" priority="157" dxfId="0"/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3" dxfId="0"/>
    <cfRule type="duplicateValues" priority="164" dxfId="0"/>
    <cfRule type="duplicateValues" priority="165" dxfId="0"/>
    <cfRule type="duplicateValues" priority="166" dxfId="0"/>
    <cfRule type="duplicateValues" priority="167" dxfId="0"/>
    <cfRule type="duplicateValues" priority="168" dxfId="0"/>
    <cfRule type="duplicateValues" priority="169" dxfId="0"/>
    <cfRule type="duplicateValues" priority="170" dxfId="0"/>
    <cfRule type="duplicateValues" priority="171" dxfId="0"/>
    <cfRule type="duplicateValues" priority="172" dxfId="0"/>
    <cfRule type="duplicateValues" priority="173" dxfId="0"/>
    <cfRule type="duplicateValues" priority="174" dxfId="0"/>
    <cfRule type="duplicateValues" priority="175" dxfId="0"/>
    <cfRule type="duplicateValues" priority="176" dxfId="0"/>
    <cfRule type="duplicateValues" priority="177" dxfId="0"/>
    <cfRule type="duplicateValues" priority="178" dxfId="0"/>
    <cfRule type="duplicateValues" priority="179" dxfId="0"/>
    <cfRule type="duplicateValues" priority="180" dxfId="0"/>
    <cfRule type="duplicateValues" priority="181" dxfId="0"/>
    <cfRule type="duplicateValues" priority="183" dxfId="0"/>
    <cfRule type="duplicateValues" priority="184" dxfId="0"/>
    <cfRule type="duplicateValues" priority="185" dxfId="0"/>
  </conditionalFormatting>
  <conditionalFormatting sqref="D32 D36:D37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33" dxfId="0"/>
    <cfRule type="duplicateValues" priority="32" dxfId="0"/>
    <cfRule type="duplicateValues" priority="31" dxfId="0"/>
    <cfRule type="duplicateValues" priority="30" dxfId="0"/>
    <cfRule type="duplicateValues" priority="29" dxfId="0"/>
    <cfRule type="duplicateValues" priority="28" dxfId="0"/>
    <cfRule type="duplicateValues" priority="26" dxfId="0"/>
    <cfRule type="duplicateValues" priority="25" dxfId="0"/>
    <cfRule type="duplicateValues" priority="24" dxfId="0"/>
    <cfRule type="duplicateValues" priority="23" dxfId="0"/>
    <cfRule type="duplicateValues" priority="22" dxfId="0"/>
    <cfRule type="duplicateValues" priority="21" dxfId="0"/>
    <cfRule type="duplicateValues" priority="53" dxfId="0"/>
    <cfRule type="duplicateValues" priority="52" dxfId="0"/>
    <cfRule type="duplicateValues" priority="51" dxfId="0"/>
    <cfRule type="duplicateValues" priority="50" dxfId="0"/>
    <cfRule type="duplicateValues" priority="49" dxfId="0"/>
    <cfRule type="duplicateValues" priority="48" dxfId="0"/>
    <cfRule type="duplicateValues" priority="47" dxfId="0"/>
    <cfRule type="duplicateValues" priority="46" dxfId="0"/>
    <cfRule type="duplicateValues" priority="45" dxfId="0"/>
    <cfRule type="duplicateValues" priority="44" dxfId="0"/>
    <cfRule type="duplicateValues" priority="43" dxfId="0"/>
    <cfRule type="duplicateValues" priority="42" dxfId="0"/>
    <cfRule type="duplicateValues" priority="27" dxfId="0"/>
    <cfRule type="duplicateValues" priority="41" dxfId="0"/>
    <cfRule type="duplicateValues" priority="40" dxfId="0"/>
    <cfRule type="duplicateValues" priority="39" dxfId="0"/>
    <cfRule type="duplicateValues" priority="38" dxfId="0"/>
    <cfRule type="duplicateValues" priority="37" dxfId="0"/>
    <cfRule type="duplicateValues" priority="36" dxfId="0"/>
    <cfRule type="duplicateValues" priority="35" dxfId="0"/>
    <cfRule type="duplicateValues" priority="34" dxfId="0"/>
    <cfRule type="duplicateValues" priority="20" dxfId="0"/>
    <cfRule type="duplicateValues" priority="19" dxfId="0"/>
    <cfRule type="duplicateValues" priority="18" dxfId="0"/>
    <cfRule type="duplicateValues" priority="17" dxfId="0"/>
    <cfRule type="duplicateValues" priority="16" dxfId="0"/>
    <cfRule type="duplicateValues" priority="15" dxfId="0"/>
    <cfRule type="duplicateValues" priority="14" dxfId="0"/>
    <cfRule type="duplicateValues" priority="13" dxfId="0"/>
    <cfRule type="duplicateValues" priority="12" dxfId="0"/>
    <cfRule type="duplicateValues" priority="11" dxfId="0"/>
    <cfRule type="duplicateValues" priority="10" dxfId="0"/>
    <cfRule type="duplicateValues" priority="9" dxfId="0"/>
    <cfRule type="duplicateValues" priority="8" dxfId="0"/>
    <cfRule type="duplicateValues" priority="7" dxfId="0"/>
    <cfRule type="duplicateValues" priority="6" dxfId="0"/>
  </conditionalFormatting>
  <conditionalFormatting sqref="D6:D23 D31 D33:D35 D38:D52">
    <cfRule type="duplicateValues" priority="205" dxfId="0"/>
  </conditionalFormatting>
  <conditionalFormatting sqref="D53:D63">
    <cfRule type="duplicateValues" priority="206" dxfId="0"/>
  </conditionalFormatting>
  <conditionalFormatting sqref="D1:D3 D64:D1048576">
    <cfRule type="duplicateValues" priority="2014" dxfId="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R216"/>
  <sheetViews>
    <sheetView workbookViewId="0">
      <selection activeCell="E1" sqref="E1"/>
    </sheetView>
  </sheetViews>
  <sheetFormatPr baseColWidth="8" defaultRowHeight="14.5"/>
  <cols>
    <col width="8.7265625" customWidth="1" min="6" max="6"/>
  </cols>
  <sheetData>
    <row r="2" ht="36" customHeight="1">
      <c r="A2" s="54" t="inlineStr">
        <is>
          <t>Program Code</t>
        </is>
      </c>
      <c r="B2" s="54" t="inlineStr">
        <is>
          <t>MTM</t>
        </is>
      </c>
      <c r="C2" s="54" t="inlineStr">
        <is>
          <t>Link Type</t>
        </is>
      </c>
      <c r="D2" s="54" t="inlineStr">
        <is>
          <t>Program Type</t>
        </is>
      </c>
      <c r="E2" s="54" t="inlineStr">
        <is>
          <t>GTN Reason</t>
        </is>
      </c>
      <c r="F2" s="54" t="inlineStr">
        <is>
          <t>T1 BP Name-Local</t>
        </is>
      </c>
      <c r="G2" s="54" t="inlineStr">
        <is>
          <t>T2 BP Vertical</t>
        </is>
      </c>
      <c r="H2" s="54" t="inlineStr">
        <is>
          <t>Sold to T2 BP Vertical</t>
        </is>
      </c>
      <c r="I2" s="54" t="inlineStr">
        <is>
          <t>Start Date</t>
        </is>
      </c>
      <c r="J2" s="54" t="inlineStr">
        <is>
          <t>End Date</t>
        </is>
      </c>
      <c r="K2" s="54" t="inlineStr">
        <is>
          <t>Region</t>
        </is>
      </c>
      <c r="L2" s="54" t="inlineStr">
        <is>
          <t>State</t>
        </is>
      </c>
      <c r="M2" s="54" t="inlineStr">
        <is>
          <t>Territory</t>
        </is>
      </c>
      <c r="N2" s="54" t="inlineStr">
        <is>
          <t>Min Qty</t>
        </is>
      </c>
      <c r="O2" s="54" t="inlineStr">
        <is>
          <t>Max Qty</t>
        </is>
      </c>
      <c r="P2" s="55" t="inlineStr">
        <is>
          <t>Support/Unit
(W/O Tax)</t>
        </is>
      </c>
      <c r="Q2" s="55" t="inlineStr">
        <is>
          <t>Tax Paid Support</t>
        </is>
      </c>
      <c r="R2" s="54" t="inlineStr">
        <is>
          <t>Source of data to be Picked by COS Team</t>
        </is>
      </c>
    </row>
    <row r="3">
      <c r="A3" s="57" t="n"/>
      <c r="B3" s="52" t="inlineStr">
        <is>
          <t>83D2004XIN</t>
        </is>
      </c>
      <c r="C3" s="52" t="inlineStr">
        <is>
          <t>T2 Green</t>
        </is>
      </c>
      <c r="D3" s="52" t="inlineStr">
        <is>
          <t>Activation</t>
        </is>
      </c>
      <c r="E3" s="52" t="inlineStr">
        <is>
          <t>Inventory Management - Tactical Support</t>
        </is>
      </c>
      <c r="F3" s="52" t="n"/>
      <c r="G3" s="52" t="inlineStr">
        <is>
          <t>All VAT1</t>
        </is>
      </c>
      <c r="H3" s="52" t="inlineStr">
        <is>
          <t>T3</t>
        </is>
      </c>
      <c r="I3" s="56" t="inlineStr">
        <is>
          <t>1.1.2026</t>
        </is>
      </c>
      <c r="J3" s="56" t="inlineStr">
        <is>
          <t>31.1.2026</t>
        </is>
      </c>
      <c r="K3" s="52" t="inlineStr">
        <is>
          <t>All</t>
        </is>
      </c>
      <c r="L3" s="52" t="inlineStr">
        <is>
          <t>All</t>
        </is>
      </c>
      <c r="M3" s="52" t="inlineStr">
        <is>
          <t>All</t>
        </is>
      </c>
      <c r="N3" s="52" t="n">
        <v>1</v>
      </c>
      <c r="O3" s="52" t="n">
        <v>0</v>
      </c>
      <c r="P3" s="58" t="n">
        <v>6780</v>
      </c>
      <c r="Q3" s="58">
        <f>P3*1.18</f>
        <v/>
      </c>
      <c r="R3" s="58" t="inlineStr">
        <is>
          <t>VAT1 activation data</t>
        </is>
      </c>
    </row>
    <row r="4">
      <c r="A4" s="57" t="n"/>
      <c r="B4" s="52" t="inlineStr">
        <is>
          <t>83D2001GIN</t>
        </is>
      </c>
      <c r="C4" s="52" t="inlineStr">
        <is>
          <t>T2 Green</t>
        </is>
      </c>
      <c r="D4" s="52" t="inlineStr">
        <is>
          <t>Activation</t>
        </is>
      </c>
      <c r="E4" s="52" t="inlineStr">
        <is>
          <t>Inventory Management - Tactical Support</t>
        </is>
      </c>
      <c r="F4" s="52" t="n"/>
      <c r="G4" s="52" t="inlineStr">
        <is>
          <t>All VAT1</t>
        </is>
      </c>
      <c r="H4" s="52" t="inlineStr">
        <is>
          <t>T3</t>
        </is>
      </c>
      <c r="I4" s="56" t="inlineStr">
        <is>
          <t>1.1.2026</t>
        </is>
      </c>
      <c r="J4" s="56" t="inlineStr">
        <is>
          <t>31.1.2026</t>
        </is>
      </c>
      <c r="K4" s="52" t="inlineStr">
        <is>
          <t>All</t>
        </is>
      </c>
      <c r="L4" s="52" t="inlineStr">
        <is>
          <t>All</t>
        </is>
      </c>
      <c r="M4" s="52" t="inlineStr">
        <is>
          <t>All</t>
        </is>
      </c>
      <c r="N4" s="52" t="n">
        <v>1</v>
      </c>
      <c r="O4" s="52" t="n">
        <v>0</v>
      </c>
      <c r="P4" s="58" t="n">
        <v>6780</v>
      </c>
      <c r="Q4" s="58">
        <f>P4*1.18</f>
        <v/>
      </c>
      <c r="R4" s="58" t="inlineStr">
        <is>
          <t>VAT1 activation data</t>
        </is>
      </c>
    </row>
    <row r="5">
      <c r="A5" s="57" t="n"/>
      <c r="B5" s="52" t="inlineStr">
        <is>
          <t>83D4002PIN</t>
        </is>
      </c>
      <c r="C5" s="52" t="inlineStr">
        <is>
          <t>T2 Green</t>
        </is>
      </c>
      <c r="D5" s="52" t="inlineStr">
        <is>
          <t>Activation</t>
        </is>
      </c>
      <c r="E5" s="52" t="inlineStr">
        <is>
          <t>Inventory Management - Tactical Support</t>
        </is>
      </c>
      <c r="F5" s="52" t="n"/>
      <c r="G5" s="52" t="inlineStr">
        <is>
          <t>All VAT1</t>
        </is>
      </c>
      <c r="H5" s="52" t="inlineStr">
        <is>
          <t>T3</t>
        </is>
      </c>
      <c r="I5" s="56" t="inlineStr">
        <is>
          <t>1.1.2026</t>
        </is>
      </c>
      <c r="J5" s="56" t="inlineStr">
        <is>
          <t>31.1.2026</t>
        </is>
      </c>
      <c r="K5" s="52" t="inlineStr">
        <is>
          <t>All</t>
        </is>
      </c>
      <c r="L5" s="52" t="inlineStr">
        <is>
          <t>All</t>
        </is>
      </c>
      <c r="M5" s="52" t="inlineStr">
        <is>
          <t>All</t>
        </is>
      </c>
      <c r="N5" s="52" t="n">
        <v>1</v>
      </c>
      <c r="O5" s="52" t="n">
        <v>0</v>
      </c>
      <c r="P5" s="58" t="n">
        <v>1695</v>
      </c>
      <c r="Q5" s="58">
        <f>P5*1.18</f>
        <v/>
      </c>
      <c r="R5" s="58" t="inlineStr">
        <is>
          <t>VAT1 activation data</t>
        </is>
      </c>
    </row>
    <row r="6">
      <c r="A6" s="57" t="n"/>
      <c r="B6" s="52" t="inlineStr">
        <is>
          <t>83HX00A5IN</t>
        </is>
      </c>
      <c r="C6" s="52" t="inlineStr">
        <is>
          <t>T2 Green</t>
        </is>
      </c>
      <c r="D6" s="52" t="inlineStr">
        <is>
          <t>Activation</t>
        </is>
      </c>
      <c r="E6" s="52" t="inlineStr">
        <is>
          <t>Inventory Management - Tactical Support</t>
        </is>
      </c>
      <c r="F6" s="52" t="n"/>
      <c r="G6" s="52" t="inlineStr">
        <is>
          <t>All VAT1</t>
        </is>
      </c>
      <c r="H6" s="52" t="inlineStr">
        <is>
          <t>T3</t>
        </is>
      </c>
      <c r="I6" s="56" t="inlineStr">
        <is>
          <t>1.1.2026</t>
        </is>
      </c>
      <c r="J6" s="56" t="inlineStr">
        <is>
          <t>31.1.2026</t>
        </is>
      </c>
      <c r="K6" s="52" t="inlineStr">
        <is>
          <t>All</t>
        </is>
      </c>
      <c r="L6" s="52" t="inlineStr">
        <is>
          <t>All</t>
        </is>
      </c>
      <c r="M6" s="52" t="inlineStr">
        <is>
          <t>All</t>
        </is>
      </c>
      <c r="N6" s="52" t="n">
        <v>1</v>
      </c>
      <c r="O6" s="52" t="n">
        <v>0</v>
      </c>
      <c r="P6" s="58" t="n">
        <v>3390</v>
      </c>
      <c r="Q6" s="58">
        <f>P6*1.18</f>
        <v/>
      </c>
      <c r="R6" s="58" t="inlineStr">
        <is>
          <t>VAT1 activation data</t>
        </is>
      </c>
    </row>
    <row r="7">
      <c r="A7" s="57" t="n"/>
      <c r="B7" s="52" t="inlineStr">
        <is>
          <t>83HR000WIN</t>
        </is>
      </c>
      <c r="C7" s="52" t="inlineStr">
        <is>
          <t>T2 Green</t>
        </is>
      </c>
      <c r="D7" s="52" t="inlineStr">
        <is>
          <t>Activation</t>
        </is>
      </c>
      <c r="E7" s="52" t="inlineStr">
        <is>
          <t>Inventory Management - Tactical Support</t>
        </is>
      </c>
      <c r="F7" s="52" t="n"/>
      <c r="G7" s="52" t="inlineStr">
        <is>
          <t>All VAT1</t>
        </is>
      </c>
      <c r="H7" s="52" t="inlineStr">
        <is>
          <t>T3</t>
        </is>
      </c>
      <c r="I7" s="56" t="inlineStr">
        <is>
          <t>1.1.2026</t>
        </is>
      </c>
      <c r="J7" s="56" t="inlineStr">
        <is>
          <t>31.1.2026</t>
        </is>
      </c>
      <c r="K7" s="52" t="inlineStr">
        <is>
          <t>All</t>
        </is>
      </c>
      <c r="L7" s="52" t="inlineStr">
        <is>
          <t>All</t>
        </is>
      </c>
      <c r="M7" s="52" t="inlineStr">
        <is>
          <t>All</t>
        </is>
      </c>
      <c r="N7" s="52" t="n">
        <v>1</v>
      </c>
      <c r="O7" s="52" t="n">
        <v>0</v>
      </c>
      <c r="P7" s="58" t="n">
        <v>4237</v>
      </c>
      <c r="Q7" s="58">
        <f>P7*1.18</f>
        <v/>
      </c>
      <c r="R7" s="58" t="inlineStr">
        <is>
          <t>VAT1 activation data</t>
        </is>
      </c>
    </row>
    <row r="8">
      <c r="A8" s="57" t="n"/>
      <c r="B8" s="52" t="inlineStr">
        <is>
          <t>83HR000YIN</t>
        </is>
      </c>
      <c r="C8" s="52" t="inlineStr">
        <is>
          <t>T2 Green</t>
        </is>
      </c>
      <c r="D8" s="52" t="inlineStr">
        <is>
          <t>Activation</t>
        </is>
      </c>
      <c r="E8" s="52" t="inlineStr">
        <is>
          <t>Inventory Management - Tactical Support</t>
        </is>
      </c>
      <c r="F8" s="52" t="n"/>
      <c r="G8" s="52" t="inlineStr">
        <is>
          <t>All VAT1</t>
        </is>
      </c>
      <c r="H8" s="52" t="inlineStr">
        <is>
          <t>T3</t>
        </is>
      </c>
      <c r="I8" s="56" t="inlineStr">
        <is>
          <t>1.1.2026</t>
        </is>
      </c>
      <c r="J8" s="56" t="inlineStr">
        <is>
          <t>31.1.2026</t>
        </is>
      </c>
      <c r="K8" s="52" t="inlineStr">
        <is>
          <t>All</t>
        </is>
      </c>
      <c r="L8" s="52" t="inlineStr">
        <is>
          <t>All</t>
        </is>
      </c>
      <c r="M8" s="52" t="inlineStr">
        <is>
          <t>All</t>
        </is>
      </c>
      <c r="N8" s="52" t="n">
        <v>1</v>
      </c>
      <c r="O8" s="52" t="n">
        <v>0</v>
      </c>
      <c r="P8" s="58" t="n">
        <v>4976</v>
      </c>
      <c r="Q8" s="58">
        <f>P8*1.18</f>
        <v/>
      </c>
      <c r="R8" s="58" t="inlineStr">
        <is>
          <t>VAT1 activation data</t>
        </is>
      </c>
    </row>
    <row r="9">
      <c r="A9" s="57" t="n"/>
      <c r="B9" s="52" t="inlineStr">
        <is>
          <t>83DA008VIN</t>
        </is>
      </c>
      <c r="C9" s="52" t="inlineStr">
        <is>
          <t>T2 Green</t>
        </is>
      </c>
      <c r="D9" s="52" t="inlineStr">
        <is>
          <t>Activation</t>
        </is>
      </c>
      <c r="E9" s="52" t="inlineStr">
        <is>
          <t>Inventory Management - Tactical Support</t>
        </is>
      </c>
      <c r="F9" s="52" t="n"/>
      <c r="G9" s="52" t="inlineStr">
        <is>
          <t>All VAT1</t>
        </is>
      </c>
      <c r="H9" s="52" t="inlineStr">
        <is>
          <t>T3</t>
        </is>
      </c>
      <c r="I9" s="56" t="inlineStr">
        <is>
          <t>1.1.2026</t>
        </is>
      </c>
      <c r="J9" s="56" t="inlineStr">
        <is>
          <t>31.1.2026</t>
        </is>
      </c>
      <c r="K9" s="52" t="inlineStr">
        <is>
          <t>All</t>
        </is>
      </c>
      <c r="L9" s="52" t="inlineStr">
        <is>
          <t>All</t>
        </is>
      </c>
      <c r="M9" s="52" t="inlineStr">
        <is>
          <t>All</t>
        </is>
      </c>
      <c r="N9" s="52" t="n">
        <v>1</v>
      </c>
      <c r="O9" s="52" t="n">
        <v>0</v>
      </c>
      <c r="P9" s="58" t="n">
        <v>1154</v>
      </c>
      <c r="Q9" s="58">
        <f>P9*1.18</f>
        <v/>
      </c>
      <c r="R9" s="58" t="inlineStr">
        <is>
          <t>VAT1 activation data</t>
        </is>
      </c>
    </row>
    <row r="10">
      <c r="A10" s="57" t="n"/>
      <c r="B10" s="52" t="inlineStr">
        <is>
          <t>83HX001NIN</t>
        </is>
      </c>
      <c r="C10" s="52" t="inlineStr">
        <is>
          <t>T2 Green</t>
        </is>
      </c>
      <c r="D10" s="52" t="inlineStr">
        <is>
          <t>Activation</t>
        </is>
      </c>
      <c r="E10" s="52" t="inlineStr">
        <is>
          <t>Inventory Management - Tactical Support</t>
        </is>
      </c>
      <c r="F10" s="52" t="n"/>
      <c r="G10" s="52" t="inlineStr">
        <is>
          <t>All VAT1</t>
        </is>
      </c>
      <c r="H10" s="52" t="inlineStr">
        <is>
          <t>T3</t>
        </is>
      </c>
      <c r="I10" s="56" t="inlineStr">
        <is>
          <t>1.1.2026</t>
        </is>
      </c>
      <c r="J10" s="56" t="inlineStr">
        <is>
          <t>31.1.2026</t>
        </is>
      </c>
      <c r="K10" s="52" t="inlineStr">
        <is>
          <t>All</t>
        </is>
      </c>
      <c r="L10" s="52" t="inlineStr">
        <is>
          <t>All</t>
        </is>
      </c>
      <c r="M10" s="52" t="inlineStr">
        <is>
          <t>All</t>
        </is>
      </c>
      <c r="N10" s="52" t="n">
        <v>1</v>
      </c>
      <c r="O10" s="52" t="n">
        <v>0</v>
      </c>
      <c r="P10" s="58" t="n">
        <v>3390</v>
      </c>
      <c r="Q10" s="58">
        <f>P10*1.18</f>
        <v/>
      </c>
      <c r="R10" s="58" t="inlineStr">
        <is>
          <t>VAT1 activation data</t>
        </is>
      </c>
    </row>
    <row r="11">
      <c r="A11" s="57" t="n"/>
      <c r="B11" s="52" t="inlineStr">
        <is>
          <t>83DC0042IN</t>
        </is>
      </c>
      <c r="C11" s="52" t="inlineStr">
        <is>
          <t>T2 Green</t>
        </is>
      </c>
      <c r="D11" s="52" t="inlineStr">
        <is>
          <t>Activation</t>
        </is>
      </c>
      <c r="E11" s="52" t="inlineStr">
        <is>
          <t>Inventory Management - Tactical Support</t>
        </is>
      </c>
      <c r="F11" s="52" t="n"/>
      <c r="G11" s="52" t="inlineStr">
        <is>
          <t>All VAT1</t>
        </is>
      </c>
      <c r="H11" s="52" t="inlineStr">
        <is>
          <t>T3</t>
        </is>
      </c>
      <c r="I11" s="56" t="inlineStr">
        <is>
          <t>1.1.2026</t>
        </is>
      </c>
      <c r="J11" s="56" t="inlineStr">
        <is>
          <t>31.1.2026</t>
        </is>
      </c>
      <c r="K11" s="52" t="inlineStr">
        <is>
          <t>All</t>
        </is>
      </c>
      <c r="L11" s="52" t="inlineStr">
        <is>
          <t>All</t>
        </is>
      </c>
      <c r="M11" s="52" t="inlineStr">
        <is>
          <t>All</t>
        </is>
      </c>
      <c r="N11" s="52" t="n">
        <v>1</v>
      </c>
      <c r="O11" s="52" t="n">
        <v>0</v>
      </c>
      <c r="P11" s="58" t="n">
        <v>2403</v>
      </c>
      <c r="Q11" s="58">
        <f>P11*1.18</f>
        <v/>
      </c>
      <c r="R11" s="58" t="inlineStr">
        <is>
          <t>VAT1 activation data</t>
        </is>
      </c>
    </row>
    <row r="12">
      <c r="A12" s="57" t="n"/>
      <c r="B12" s="52" t="inlineStr">
        <is>
          <t>83DC003GIN</t>
        </is>
      </c>
      <c r="C12" s="52" t="inlineStr">
        <is>
          <t>T2 Green</t>
        </is>
      </c>
      <c r="D12" s="52" t="inlineStr">
        <is>
          <t>Activation</t>
        </is>
      </c>
      <c r="E12" s="52" t="inlineStr">
        <is>
          <t>Inventory Management - Tactical Support</t>
        </is>
      </c>
      <c r="F12" s="52" t="n"/>
      <c r="G12" s="52" t="inlineStr">
        <is>
          <t>All VAT1</t>
        </is>
      </c>
      <c r="H12" s="52" t="inlineStr">
        <is>
          <t>T3</t>
        </is>
      </c>
      <c r="I12" s="56" t="inlineStr">
        <is>
          <t>1.1.2026</t>
        </is>
      </c>
      <c r="J12" s="56" t="inlineStr">
        <is>
          <t>31.1.2026</t>
        </is>
      </c>
      <c r="K12" s="52" t="inlineStr">
        <is>
          <t>All</t>
        </is>
      </c>
      <c r="L12" s="52" t="inlineStr">
        <is>
          <t>All</t>
        </is>
      </c>
      <c r="M12" s="52" t="inlineStr">
        <is>
          <t>All</t>
        </is>
      </c>
      <c r="N12" s="52" t="n">
        <v>1</v>
      </c>
      <c r="O12" s="52" t="n">
        <v>0</v>
      </c>
      <c r="P12" s="58" t="n">
        <v>5090</v>
      </c>
      <c r="Q12" s="58">
        <f>P12*1.18</f>
        <v/>
      </c>
      <c r="R12" s="58" t="inlineStr">
        <is>
          <t>VAT1 activation data</t>
        </is>
      </c>
    </row>
    <row r="13">
      <c r="A13" s="57" t="n"/>
      <c r="B13" s="52" t="inlineStr">
        <is>
          <t>83DC008VIN</t>
        </is>
      </c>
      <c r="C13" s="52" t="inlineStr">
        <is>
          <t>T2 Green</t>
        </is>
      </c>
      <c r="D13" s="52" t="inlineStr">
        <is>
          <t>Activation</t>
        </is>
      </c>
      <c r="E13" s="52" t="inlineStr">
        <is>
          <t>Inventory Management - Tactical Support</t>
        </is>
      </c>
      <c r="F13" s="52" t="n"/>
      <c r="G13" s="52" t="inlineStr">
        <is>
          <t>All VAT1</t>
        </is>
      </c>
      <c r="H13" s="52" t="inlineStr">
        <is>
          <t>T3</t>
        </is>
      </c>
      <c r="I13" s="56" t="inlineStr">
        <is>
          <t>1.1.2026</t>
        </is>
      </c>
      <c r="J13" s="56" t="inlineStr">
        <is>
          <t>31.1.2026</t>
        </is>
      </c>
      <c r="K13" s="52" t="inlineStr">
        <is>
          <t>All</t>
        </is>
      </c>
      <c r="L13" s="52" t="inlineStr">
        <is>
          <t>All</t>
        </is>
      </c>
      <c r="M13" s="52" t="inlineStr">
        <is>
          <t>All</t>
        </is>
      </c>
      <c r="N13" s="52" t="n">
        <v>1</v>
      </c>
      <c r="O13" s="52" t="n">
        <v>0</v>
      </c>
      <c r="P13" s="58" t="n">
        <v>455</v>
      </c>
      <c r="Q13" s="58">
        <f>P13*1.18</f>
        <v/>
      </c>
      <c r="R13" s="58" t="inlineStr">
        <is>
          <t>VAT1 activation data</t>
        </is>
      </c>
    </row>
    <row r="14">
      <c r="A14" s="57" t="n"/>
      <c r="B14" s="52" t="inlineStr">
        <is>
          <t>83DC0096IN</t>
        </is>
      </c>
      <c r="C14" s="52" t="inlineStr">
        <is>
          <t>T2 Green</t>
        </is>
      </c>
      <c r="D14" s="52" t="inlineStr">
        <is>
          <t>Activation</t>
        </is>
      </c>
      <c r="E14" s="52" t="inlineStr">
        <is>
          <t>Inventory Management - Tactical Support</t>
        </is>
      </c>
      <c r="F14" s="52" t="n"/>
      <c r="G14" s="52" t="inlineStr">
        <is>
          <t>All VAT1</t>
        </is>
      </c>
      <c r="H14" s="52" t="inlineStr">
        <is>
          <t>T3</t>
        </is>
      </c>
      <c r="I14" s="56" t="inlineStr">
        <is>
          <t>1.1.2026</t>
        </is>
      </c>
      <c r="J14" s="56" t="inlineStr">
        <is>
          <t>31.1.2026</t>
        </is>
      </c>
      <c r="K14" s="52" t="inlineStr">
        <is>
          <t>All</t>
        </is>
      </c>
      <c r="L14" s="52" t="inlineStr">
        <is>
          <t>All</t>
        </is>
      </c>
      <c r="M14" s="52" t="inlineStr">
        <is>
          <t>All</t>
        </is>
      </c>
      <c r="N14" s="52" t="n">
        <v>1</v>
      </c>
      <c r="O14" s="52" t="n">
        <v>0</v>
      </c>
      <c r="P14" s="58" t="n">
        <v>2403</v>
      </c>
      <c r="Q14" s="58">
        <f>P14*1.18</f>
        <v/>
      </c>
      <c r="R14" s="58" t="inlineStr">
        <is>
          <t>VAT1 activation data</t>
        </is>
      </c>
    </row>
    <row r="15">
      <c r="A15" s="57" t="n"/>
      <c r="B15" s="52" t="inlineStr">
        <is>
          <t>83HX009DIN</t>
        </is>
      </c>
      <c r="C15" s="52" t="inlineStr">
        <is>
          <t>T2 Green</t>
        </is>
      </c>
      <c r="D15" s="52" t="inlineStr">
        <is>
          <t>Activation</t>
        </is>
      </c>
      <c r="E15" s="52" t="inlineStr">
        <is>
          <t>Inventory Management - Tactical Support</t>
        </is>
      </c>
      <c r="F15" s="52" t="n"/>
      <c r="G15" s="52" t="inlineStr">
        <is>
          <t>All VAT1</t>
        </is>
      </c>
      <c r="H15" s="52" t="inlineStr">
        <is>
          <t>T3</t>
        </is>
      </c>
      <c r="I15" s="56" t="inlineStr">
        <is>
          <t>1.1.2026</t>
        </is>
      </c>
      <c r="J15" s="56" t="inlineStr">
        <is>
          <t>31.1.2026</t>
        </is>
      </c>
      <c r="K15" s="52" t="inlineStr">
        <is>
          <t>All</t>
        </is>
      </c>
      <c r="L15" s="52" t="inlineStr">
        <is>
          <t>All</t>
        </is>
      </c>
      <c r="M15" s="52" t="inlineStr">
        <is>
          <t>All</t>
        </is>
      </c>
      <c r="N15" s="52" t="n">
        <v>1</v>
      </c>
      <c r="O15" s="52" t="n">
        <v>0</v>
      </c>
      <c r="P15" s="58" t="n">
        <v>3390</v>
      </c>
      <c r="Q15" s="58">
        <f>P15*1.18</f>
        <v/>
      </c>
      <c r="R15" s="58" t="inlineStr">
        <is>
          <t>VAT1 activation data</t>
        </is>
      </c>
    </row>
    <row r="16">
      <c r="A16" s="57" t="n"/>
      <c r="B16" s="52" t="inlineStr">
        <is>
          <t>82XE006XIN</t>
        </is>
      </c>
      <c r="C16" s="52" t="inlineStr">
        <is>
          <t>T2 Green</t>
        </is>
      </c>
      <c r="D16" s="52" t="inlineStr">
        <is>
          <t>Activation</t>
        </is>
      </c>
      <c r="E16" s="52" t="inlineStr">
        <is>
          <t>Inventory Management - Tactical Support</t>
        </is>
      </c>
      <c r="F16" s="52" t="n"/>
      <c r="G16" s="52" t="inlineStr">
        <is>
          <t>All VAT1</t>
        </is>
      </c>
      <c r="H16" s="52" t="inlineStr">
        <is>
          <t>T3</t>
        </is>
      </c>
      <c r="I16" s="56" t="inlineStr">
        <is>
          <t>1.1.2026</t>
        </is>
      </c>
      <c r="J16" s="56" t="inlineStr">
        <is>
          <t>31.1.2026</t>
        </is>
      </c>
      <c r="K16" s="52" t="inlineStr">
        <is>
          <t>All</t>
        </is>
      </c>
      <c r="L16" s="52" t="inlineStr">
        <is>
          <t>All</t>
        </is>
      </c>
      <c r="M16" s="52" t="inlineStr">
        <is>
          <t>All</t>
        </is>
      </c>
      <c r="N16" s="52" t="n">
        <v>1</v>
      </c>
      <c r="O16" s="52" t="n">
        <v>0</v>
      </c>
      <c r="P16" s="58" t="n">
        <v>1695</v>
      </c>
      <c r="Q16" s="58">
        <f>P16*1.18</f>
        <v/>
      </c>
      <c r="R16" s="58" t="inlineStr">
        <is>
          <t>VAT1 activation data</t>
        </is>
      </c>
    </row>
    <row r="17">
      <c r="A17" s="57" t="n"/>
      <c r="B17" s="52" t="inlineStr">
        <is>
          <t>83DC0003IN</t>
        </is>
      </c>
      <c r="C17" s="52" t="inlineStr">
        <is>
          <t>T2 Green</t>
        </is>
      </c>
      <c r="D17" s="52" t="inlineStr">
        <is>
          <t>Activation</t>
        </is>
      </c>
      <c r="E17" s="52" t="inlineStr">
        <is>
          <t>Inventory Management - Tactical Support</t>
        </is>
      </c>
      <c r="F17" s="52" t="n"/>
      <c r="G17" s="52" t="inlineStr">
        <is>
          <t>All VAT1</t>
        </is>
      </c>
      <c r="H17" s="52" t="inlineStr">
        <is>
          <t>T3</t>
        </is>
      </c>
      <c r="I17" s="56" t="inlineStr">
        <is>
          <t>1.1.2026</t>
        </is>
      </c>
      <c r="J17" s="56" t="inlineStr">
        <is>
          <t>31.1.2026</t>
        </is>
      </c>
      <c r="K17" s="52" t="inlineStr">
        <is>
          <t>All</t>
        </is>
      </c>
      <c r="L17" s="52" t="inlineStr">
        <is>
          <t>All</t>
        </is>
      </c>
      <c r="M17" s="52" t="inlineStr">
        <is>
          <t>All</t>
        </is>
      </c>
      <c r="N17" s="52" t="n">
        <v>1</v>
      </c>
      <c r="O17" s="52" t="n">
        <v>0</v>
      </c>
      <c r="P17" s="58" t="n">
        <v>5556</v>
      </c>
      <c r="Q17" s="58">
        <f>P17*1.18</f>
        <v/>
      </c>
      <c r="R17" s="58" t="inlineStr">
        <is>
          <t>VAT1 activation data</t>
        </is>
      </c>
    </row>
    <row r="18">
      <c r="A18" s="57" t="n"/>
      <c r="B18" s="52" t="inlineStr">
        <is>
          <t>83BG000PIN</t>
        </is>
      </c>
      <c r="C18" s="52" t="inlineStr">
        <is>
          <t>T2 Green</t>
        </is>
      </c>
      <c r="D18" s="52" t="inlineStr">
        <is>
          <t>Activation</t>
        </is>
      </c>
      <c r="E18" s="52" t="inlineStr">
        <is>
          <t>Inventory Management - Tactical Support</t>
        </is>
      </c>
      <c r="F18" s="52" t="n"/>
      <c r="G18" s="52" t="inlineStr">
        <is>
          <t>All VAT1</t>
        </is>
      </c>
      <c r="H18" s="52" t="inlineStr">
        <is>
          <t>T3</t>
        </is>
      </c>
      <c r="I18" s="56" t="inlineStr">
        <is>
          <t>1.1.2026</t>
        </is>
      </c>
      <c r="J18" s="56" t="inlineStr">
        <is>
          <t>31.1.2026</t>
        </is>
      </c>
      <c r="K18" s="52" t="inlineStr">
        <is>
          <t>All</t>
        </is>
      </c>
      <c r="L18" s="52" t="inlineStr">
        <is>
          <t>All</t>
        </is>
      </c>
      <c r="M18" s="52" t="inlineStr">
        <is>
          <t>All</t>
        </is>
      </c>
      <c r="N18" s="52" t="n">
        <v>1</v>
      </c>
      <c r="O18" s="52" t="n">
        <v>0</v>
      </c>
      <c r="P18" s="58" t="n">
        <v>1695</v>
      </c>
      <c r="Q18" s="58">
        <f>P18*1.18</f>
        <v/>
      </c>
      <c r="R18" s="58" t="inlineStr">
        <is>
          <t>VAT1 activation data</t>
        </is>
      </c>
    </row>
    <row r="19">
      <c r="A19" s="57" t="n"/>
      <c r="B19" s="52" t="inlineStr">
        <is>
          <t>83DA0043IN</t>
        </is>
      </c>
      <c r="C19" s="52" t="inlineStr">
        <is>
          <t>T2 Green</t>
        </is>
      </c>
      <c r="D19" s="52" t="inlineStr">
        <is>
          <t>Activation</t>
        </is>
      </c>
      <c r="E19" s="52" t="inlineStr">
        <is>
          <t>Inventory Management - Tactical Support</t>
        </is>
      </c>
      <c r="F19" s="52" t="n"/>
      <c r="G19" s="52" t="inlineStr">
        <is>
          <t>All VAT1</t>
        </is>
      </c>
      <c r="H19" s="52" t="inlineStr">
        <is>
          <t>T3</t>
        </is>
      </c>
      <c r="I19" s="56" t="inlineStr">
        <is>
          <t>1.1.2026</t>
        </is>
      </c>
      <c r="J19" s="56" t="inlineStr">
        <is>
          <t>31.1.2026</t>
        </is>
      </c>
      <c r="K19" s="52" t="inlineStr">
        <is>
          <t>All</t>
        </is>
      </c>
      <c r="L19" s="52" t="inlineStr">
        <is>
          <t>All</t>
        </is>
      </c>
      <c r="M19" s="52" t="inlineStr">
        <is>
          <t>All</t>
        </is>
      </c>
      <c r="N19" s="52" t="n">
        <v>1</v>
      </c>
      <c r="O19" s="52" t="n">
        <v>0</v>
      </c>
      <c r="P19" s="58" t="n">
        <v>1388</v>
      </c>
      <c r="Q19" s="58">
        <f>P19*1.18</f>
        <v/>
      </c>
      <c r="R19" s="58" t="inlineStr">
        <is>
          <t>VAT1 activation data</t>
        </is>
      </c>
    </row>
    <row r="20">
      <c r="A20" s="57" t="n"/>
      <c r="B20" s="52" t="inlineStr">
        <is>
          <t>83DC007LIN</t>
        </is>
      </c>
      <c r="C20" s="52" t="inlineStr">
        <is>
          <t>T2 Green</t>
        </is>
      </c>
      <c r="D20" s="52" t="inlineStr">
        <is>
          <t>Activation</t>
        </is>
      </c>
      <c r="E20" s="52" t="inlineStr">
        <is>
          <t>Inventory Management - Tactical Support</t>
        </is>
      </c>
      <c r="F20" s="52" t="n"/>
      <c r="G20" s="52" t="inlineStr">
        <is>
          <t>All VAT1</t>
        </is>
      </c>
      <c r="H20" s="52" t="inlineStr">
        <is>
          <t>T3</t>
        </is>
      </c>
      <c r="I20" s="56" t="inlineStr">
        <is>
          <t>1.1.2026</t>
        </is>
      </c>
      <c r="J20" s="56" t="inlineStr">
        <is>
          <t>31.1.2026</t>
        </is>
      </c>
      <c r="K20" s="52" t="inlineStr">
        <is>
          <t>All</t>
        </is>
      </c>
      <c r="L20" s="52" t="inlineStr">
        <is>
          <t>All</t>
        </is>
      </c>
      <c r="M20" s="52" t="inlineStr">
        <is>
          <t>All</t>
        </is>
      </c>
      <c r="N20" s="52" t="n">
        <v>1</v>
      </c>
      <c r="O20" s="52" t="n">
        <v>0</v>
      </c>
      <c r="P20" s="58" t="n">
        <v>3813</v>
      </c>
      <c r="Q20" s="58">
        <f>P20*1.18</f>
        <v/>
      </c>
      <c r="R20" s="58" t="inlineStr">
        <is>
          <t>VAT1 activation data</t>
        </is>
      </c>
    </row>
    <row r="21">
      <c r="A21" s="57" t="n"/>
      <c r="B21" s="52" t="inlineStr">
        <is>
          <t>83BG000DIN</t>
        </is>
      </c>
      <c r="C21" s="52" t="inlineStr">
        <is>
          <t>T2 Green</t>
        </is>
      </c>
      <c r="D21" s="52" t="inlineStr">
        <is>
          <t>Activation</t>
        </is>
      </c>
      <c r="E21" s="52" t="inlineStr">
        <is>
          <t>Inventory Management - Tactical Support</t>
        </is>
      </c>
      <c r="F21" s="52" t="n"/>
      <c r="G21" s="52" t="inlineStr">
        <is>
          <t>All VAT1</t>
        </is>
      </c>
      <c r="H21" s="52" t="inlineStr">
        <is>
          <t>T3</t>
        </is>
      </c>
      <c r="I21" s="56" t="inlineStr">
        <is>
          <t>1.1.2026</t>
        </is>
      </c>
      <c r="J21" s="56" t="inlineStr">
        <is>
          <t>31.1.2026</t>
        </is>
      </c>
      <c r="K21" s="52" t="inlineStr">
        <is>
          <t>All</t>
        </is>
      </c>
      <c r="L21" s="52" t="inlineStr">
        <is>
          <t>All</t>
        </is>
      </c>
      <c r="M21" s="52" t="inlineStr">
        <is>
          <t>All</t>
        </is>
      </c>
      <c r="N21" s="52" t="n">
        <v>1</v>
      </c>
      <c r="O21" s="52" t="n">
        <v>0</v>
      </c>
      <c r="P21" s="58" t="n">
        <v>3814</v>
      </c>
      <c r="Q21" s="58">
        <f>P21*1.18</f>
        <v/>
      </c>
      <c r="R21" s="58" t="inlineStr">
        <is>
          <t>VAT1 activation data</t>
        </is>
      </c>
    </row>
    <row r="22">
      <c r="A22" s="57" t="n"/>
      <c r="B22" s="52" t="inlineStr">
        <is>
          <t>83DC0093IN</t>
        </is>
      </c>
      <c r="C22" s="52" t="inlineStr">
        <is>
          <t>T2 Green</t>
        </is>
      </c>
      <c r="D22" s="52" t="inlineStr">
        <is>
          <t>Activation</t>
        </is>
      </c>
      <c r="E22" s="52" t="inlineStr">
        <is>
          <t>Inventory Management - Tactical Support</t>
        </is>
      </c>
      <c r="F22" s="52" t="n"/>
      <c r="G22" s="52" t="inlineStr">
        <is>
          <t>All VAT1</t>
        </is>
      </c>
      <c r="H22" s="52" t="inlineStr">
        <is>
          <t>T3</t>
        </is>
      </c>
      <c r="I22" s="56" t="inlineStr">
        <is>
          <t>1.1.2026</t>
        </is>
      </c>
      <c r="J22" s="56" t="inlineStr">
        <is>
          <t>31.1.2026</t>
        </is>
      </c>
      <c r="K22" s="52" t="inlineStr">
        <is>
          <t>All</t>
        </is>
      </c>
      <c r="L22" s="52" t="inlineStr">
        <is>
          <t>All</t>
        </is>
      </c>
      <c r="M22" s="52" t="inlineStr">
        <is>
          <t>All</t>
        </is>
      </c>
      <c r="N22" s="52" t="n">
        <v>1</v>
      </c>
      <c r="O22" s="52" t="n">
        <v>0</v>
      </c>
      <c r="P22" s="58" t="n">
        <v>5556</v>
      </c>
      <c r="Q22" s="58">
        <f>P22*1.18</f>
        <v/>
      </c>
      <c r="R22" s="58" t="inlineStr">
        <is>
          <t>VAT1 activation data</t>
        </is>
      </c>
    </row>
    <row r="23">
      <c r="A23" s="57" t="n"/>
      <c r="B23" s="52" t="inlineStr">
        <is>
          <t>82XF0077IN</t>
        </is>
      </c>
      <c r="C23" s="52" t="inlineStr">
        <is>
          <t>T2 Green</t>
        </is>
      </c>
      <c r="D23" s="52" t="inlineStr">
        <is>
          <t>Activation</t>
        </is>
      </c>
      <c r="E23" s="52" t="inlineStr">
        <is>
          <t>Inventory Management - Tactical Support</t>
        </is>
      </c>
      <c r="F23" s="52" t="n"/>
      <c r="G23" s="52" t="inlineStr">
        <is>
          <t>All VAT1</t>
        </is>
      </c>
      <c r="H23" s="52" t="inlineStr">
        <is>
          <t>T3</t>
        </is>
      </c>
      <c r="I23" s="56" t="inlineStr">
        <is>
          <t>1.1.2026</t>
        </is>
      </c>
      <c r="J23" s="56" t="inlineStr">
        <is>
          <t>31.1.2026</t>
        </is>
      </c>
      <c r="K23" s="52" t="inlineStr">
        <is>
          <t>All</t>
        </is>
      </c>
      <c r="L23" s="52" t="inlineStr">
        <is>
          <t>All</t>
        </is>
      </c>
      <c r="M23" s="52" t="inlineStr">
        <is>
          <t>All</t>
        </is>
      </c>
      <c r="N23" s="52" t="n">
        <v>1</v>
      </c>
      <c r="O23" s="52" t="n">
        <v>0</v>
      </c>
      <c r="P23" s="58" t="n">
        <v>3390</v>
      </c>
      <c r="Q23" s="58">
        <f>P23*1.18</f>
        <v/>
      </c>
      <c r="R23" s="58" t="inlineStr">
        <is>
          <t>VAT1 activation data</t>
        </is>
      </c>
    </row>
    <row r="24">
      <c r="A24" s="57" t="n"/>
      <c r="B24" s="52" t="inlineStr">
        <is>
          <t>83BF0043IN</t>
        </is>
      </c>
      <c r="C24" s="52" t="inlineStr">
        <is>
          <t>T2 Green</t>
        </is>
      </c>
      <c r="D24" s="52" t="inlineStr">
        <is>
          <t>Activation</t>
        </is>
      </c>
      <c r="E24" s="52" t="inlineStr">
        <is>
          <t>Inventory Management - Tactical Support</t>
        </is>
      </c>
      <c r="F24" s="52" t="n"/>
      <c r="G24" s="52" t="inlineStr">
        <is>
          <t>All VAT1</t>
        </is>
      </c>
      <c r="H24" s="52" t="inlineStr">
        <is>
          <t>T3</t>
        </is>
      </c>
      <c r="I24" s="56" t="inlineStr">
        <is>
          <t>1.1.2026</t>
        </is>
      </c>
      <c r="J24" s="56" t="inlineStr">
        <is>
          <t>31.1.2026</t>
        </is>
      </c>
      <c r="K24" s="52" t="inlineStr">
        <is>
          <t>All</t>
        </is>
      </c>
      <c r="L24" s="52" t="inlineStr">
        <is>
          <t>All</t>
        </is>
      </c>
      <c r="M24" s="52" t="inlineStr">
        <is>
          <t>All</t>
        </is>
      </c>
      <c r="N24" s="52" t="n">
        <v>1</v>
      </c>
      <c r="O24" s="52" t="n">
        <v>0</v>
      </c>
      <c r="P24" s="58" t="n">
        <v>3836</v>
      </c>
      <c r="Q24" s="58">
        <f>P24*1.18</f>
        <v/>
      </c>
      <c r="R24" s="58" t="inlineStr">
        <is>
          <t>VAT1 activation data</t>
        </is>
      </c>
    </row>
    <row r="25">
      <c r="A25" s="57" t="n"/>
      <c r="B25" s="52" t="inlineStr">
        <is>
          <t>83DA008SIN</t>
        </is>
      </c>
      <c r="C25" s="52" t="inlineStr">
        <is>
          <t>T2 Green</t>
        </is>
      </c>
      <c r="D25" s="52" t="inlineStr">
        <is>
          <t>Activation</t>
        </is>
      </c>
      <c r="E25" s="52" t="inlineStr">
        <is>
          <t>Inventory Management - Tactical Support</t>
        </is>
      </c>
      <c r="F25" s="52" t="n"/>
      <c r="G25" s="52" t="inlineStr">
        <is>
          <t>All VAT1</t>
        </is>
      </c>
      <c r="H25" s="52" t="inlineStr">
        <is>
          <t>T3</t>
        </is>
      </c>
      <c r="I25" s="56" t="inlineStr">
        <is>
          <t>1.1.2026</t>
        </is>
      </c>
      <c r="J25" s="56" t="inlineStr">
        <is>
          <t>31.1.2026</t>
        </is>
      </c>
      <c r="K25" s="52" t="inlineStr">
        <is>
          <t>All</t>
        </is>
      </c>
      <c r="L25" s="52" t="inlineStr">
        <is>
          <t>All</t>
        </is>
      </c>
      <c r="M25" s="52" t="inlineStr">
        <is>
          <t>All</t>
        </is>
      </c>
      <c r="N25" s="52" t="n">
        <v>1</v>
      </c>
      <c r="O25" s="52" t="n">
        <v>0</v>
      </c>
      <c r="P25" s="58" t="n">
        <v>6310</v>
      </c>
      <c r="Q25" s="58">
        <f>P25*1.18</f>
        <v/>
      </c>
      <c r="R25" s="58" t="inlineStr">
        <is>
          <t>VAT1 activation data</t>
        </is>
      </c>
    </row>
    <row r="26">
      <c r="A26" s="57" t="n"/>
      <c r="B26" s="52" t="inlineStr">
        <is>
          <t>83DA003GIN</t>
        </is>
      </c>
      <c r="C26" s="52" t="inlineStr">
        <is>
          <t>T2 Green</t>
        </is>
      </c>
      <c r="D26" s="52" t="inlineStr">
        <is>
          <t>Activation</t>
        </is>
      </c>
      <c r="E26" s="52" t="inlineStr">
        <is>
          <t>Inventory Management - Tactical Support</t>
        </is>
      </c>
      <c r="F26" s="52" t="n"/>
      <c r="G26" s="52" t="inlineStr">
        <is>
          <t>All VAT1</t>
        </is>
      </c>
      <c r="H26" s="52" t="inlineStr">
        <is>
          <t>T3</t>
        </is>
      </c>
      <c r="I26" s="56" t="inlineStr">
        <is>
          <t>1.1.2026</t>
        </is>
      </c>
      <c r="J26" s="56" t="inlineStr">
        <is>
          <t>31.1.2026</t>
        </is>
      </c>
      <c r="K26" s="52" t="inlineStr">
        <is>
          <t>All</t>
        </is>
      </c>
      <c r="L26" s="52" t="inlineStr">
        <is>
          <t>All</t>
        </is>
      </c>
      <c r="M26" s="52" t="inlineStr">
        <is>
          <t>All</t>
        </is>
      </c>
      <c r="N26" s="52" t="n">
        <v>1</v>
      </c>
      <c r="O26" s="52" t="n">
        <v>0</v>
      </c>
      <c r="P26" s="58" t="n">
        <v>6310</v>
      </c>
      <c r="Q26" s="58">
        <f>P26*1.18</f>
        <v/>
      </c>
      <c r="R26" s="58" t="inlineStr">
        <is>
          <t>VAT1 activation data</t>
        </is>
      </c>
    </row>
    <row r="27">
      <c r="A27" s="57" t="n"/>
      <c r="B27" s="52" t="inlineStr">
        <is>
          <t>82XD003MIN</t>
        </is>
      </c>
      <c r="C27" s="52" t="inlineStr">
        <is>
          <t>T2 Green</t>
        </is>
      </c>
      <c r="D27" s="52" t="inlineStr">
        <is>
          <t>Activation</t>
        </is>
      </c>
      <c r="E27" s="52" t="inlineStr">
        <is>
          <t>Inventory Management - Tactical Support</t>
        </is>
      </c>
      <c r="F27" s="52" t="n"/>
      <c r="G27" s="52" t="inlineStr">
        <is>
          <t>All VAT1</t>
        </is>
      </c>
      <c r="H27" s="52" t="inlineStr">
        <is>
          <t>T3</t>
        </is>
      </c>
      <c r="I27" s="56" t="inlineStr">
        <is>
          <t>1.1.2026</t>
        </is>
      </c>
      <c r="J27" s="56" t="inlineStr">
        <is>
          <t>31.1.2026</t>
        </is>
      </c>
      <c r="K27" s="52" t="inlineStr">
        <is>
          <t>All</t>
        </is>
      </c>
      <c r="L27" s="52" t="inlineStr">
        <is>
          <t>All</t>
        </is>
      </c>
      <c r="M27" s="52" t="inlineStr">
        <is>
          <t>All</t>
        </is>
      </c>
      <c r="N27" s="52" t="n">
        <v>1</v>
      </c>
      <c r="O27" s="52" t="n">
        <v>0</v>
      </c>
      <c r="P27" s="58" t="n">
        <v>2542</v>
      </c>
      <c r="Q27" s="58">
        <f>P27*1.18</f>
        <v/>
      </c>
      <c r="R27" s="58" t="inlineStr">
        <is>
          <t>VAT1 activation data</t>
        </is>
      </c>
    </row>
    <row r="28">
      <c r="A28" s="57" t="n"/>
      <c r="B28" s="52" t="inlineStr">
        <is>
          <t>82XF003HIN</t>
        </is>
      </c>
      <c r="C28" s="52" t="inlineStr">
        <is>
          <t>T2 Green</t>
        </is>
      </c>
      <c r="D28" s="52" t="inlineStr">
        <is>
          <t>Activation</t>
        </is>
      </c>
      <c r="E28" s="52" t="inlineStr">
        <is>
          <t>Inventory Management - Tactical Support</t>
        </is>
      </c>
      <c r="F28" s="52" t="n"/>
      <c r="G28" s="52" t="inlineStr">
        <is>
          <t>All VAT1</t>
        </is>
      </c>
      <c r="H28" s="52" t="inlineStr">
        <is>
          <t>T3</t>
        </is>
      </c>
      <c r="I28" s="56" t="inlineStr">
        <is>
          <t>1.1.2026</t>
        </is>
      </c>
      <c r="J28" s="56" t="inlineStr">
        <is>
          <t>31.1.2026</t>
        </is>
      </c>
      <c r="K28" s="52" t="inlineStr">
        <is>
          <t>All</t>
        </is>
      </c>
      <c r="L28" s="52" t="inlineStr">
        <is>
          <t>All</t>
        </is>
      </c>
      <c r="M28" s="52" t="inlineStr">
        <is>
          <t>All</t>
        </is>
      </c>
      <c r="N28" s="52" t="n">
        <v>1</v>
      </c>
      <c r="O28" s="52" t="n">
        <v>0</v>
      </c>
      <c r="P28" s="58" t="n">
        <v>4237</v>
      </c>
      <c r="Q28" s="58">
        <f>P28*1.18</f>
        <v/>
      </c>
      <c r="R28" s="58" t="inlineStr">
        <is>
          <t>VAT1 activation data</t>
        </is>
      </c>
    </row>
    <row r="29">
      <c r="A29" s="57" t="n"/>
      <c r="B29" s="52" t="inlineStr">
        <is>
          <t>83DA0049IN</t>
        </is>
      </c>
      <c r="C29" s="52" t="inlineStr">
        <is>
          <t>T2 Green</t>
        </is>
      </c>
      <c r="D29" s="52" t="inlineStr">
        <is>
          <t>Activation</t>
        </is>
      </c>
      <c r="E29" s="52" t="inlineStr">
        <is>
          <t>Inventory Management - Tactical Support</t>
        </is>
      </c>
      <c r="F29" s="52" t="n"/>
      <c r="G29" s="52" t="inlineStr">
        <is>
          <t>All VAT1</t>
        </is>
      </c>
      <c r="H29" s="52" t="inlineStr">
        <is>
          <t>T3</t>
        </is>
      </c>
      <c r="I29" s="56" t="inlineStr">
        <is>
          <t>1.1.2026</t>
        </is>
      </c>
      <c r="J29" s="56" t="inlineStr">
        <is>
          <t>31.1.2026</t>
        </is>
      </c>
      <c r="K29" s="52" t="inlineStr">
        <is>
          <t>All</t>
        </is>
      </c>
      <c r="L29" s="52" t="inlineStr">
        <is>
          <t>All</t>
        </is>
      </c>
      <c r="M29" s="52" t="inlineStr">
        <is>
          <t>All</t>
        </is>
      </c>
      <c r="N29" s="52" t="n">
        <v>1</v>
      </c>
      <c r="O29" s="52" t="n">
        <v>0</v>
      </c>
      <c r="P29" s="58" t="n">
        <v>3154</v>
      </c>
      <c r="Q29" s="58">
        <f>P29*1.18</f>
        <v/>
      </c>
      <c r="R29" s="58" t="inlineStr">
        <is>
          <t>VAT1 activation data</t>
        </is>
      </c>
    </row>
    <row r="30">
      <c r="A30" s="57" t="n"/>
      <c r="B30" s="52" t="inlineStr">
        <is>
          <t>82XD004RIN</t>
        </is>
      </c>
      <c r="C30" s="52" t="inlineStr">
        <is>
          <t>T2 Green</t>
        </is>
      </c>
      <c r="D30" s="52" t="inlineStr">
        <is>
          <t>Activation</t>
        </is>
      </c>
      <c r="E30" s="52" t="inlineStr">
        <is>
          <t>Inventory Management - Tactical Support</t>
        </is>
      </c>
      <c r="F30" s="52" t="n"/>
      <c r="G30" s="52" t="inlineStr">
        <is>
          <t>All VAT1</t>
        </is>
      </c>
      <c r="H30" s="52" t="inlineStr">
        <is>
          <t>T3</t>
        </is>
      </c>
      <c r="I30" s="56" t="inlineStr">
        <is>
          <t>1.1.2026</t>
        </is>
      </c>
      <c r="J30" s="56" t="inlineStr">
        <is>
          <t>31.1.2026</t>
        </is>
      </c>
      <c r="K30" s="52" t="inlineStr">
        <is>
          <t>All</t>
        </is>
      </c>
      <c r="L30" s="52" t="inlineStr">
        <is>
          <t>All</t>
        </is>
      </c>
      <c r="M30" s="52" t="inlineStr">
        <is>
          <t>All</t>
        </is>
      </c>
      <c r="N30" s="52" t="n">
        <v>1</v>
      </c>
      <c r="O30" s="52" t="n">
        <v>0</v>
      </c>
      <c r="P30" s="58" t="n">
        <v>4237</v>
      </c>
      <c r="Q30" s="58">
        <f>P30*1.18</f>
        <v/>
      </c>
      <c r="R30" s="58" t="inlineStr">
        <is>
          <t>VAT1 activation data</t>
        </is>
      </c>
    </row>
    <row r="31">
      <c r="A31" s="57" t="n"/>
      <c r="B31" s="52" t="inlineStr">
        <is>
          <t>82XF007FIN</t>
        </is>
      </c>
      <c r="C31" s="52" t="inlineStr">
        <is>
          <t>T2 Green</t>
        </is>
      </c>
      <c r="D31" s="52" t="inlineStr">
        <is>
          <t>Activation</t>
        </is>
      </c>
      <c r="E31" s="52" t="inlineStr">
        <is>
          <t>Inventory Management - Tactical Support</t>
        </is>
      </c>
      <c r="F31" s="52" t="n"/>
      <c r="G31" s="52" t="inlineStr">
        <is>
          <t>All VAT1</t>
        </is>
      </c>
      <c r="H31" s="52" t="inlineStr">
        <is>
          <t>T3</t>
        </is>
      </c>
      <c r="I31" s="56" t="inlineStr">
        <is>
          <t>1.1.2026</t>
        </is>
      </c>
      <c r="J31" s="56" t="inlineStr">
        <is>
          <t>31.1.2026</t>
        </is>
      </c>
      <c r="K31" s="52" t="inlineStr">
        <is>
          <t>All</t>
        </is>
      </c>
      <c r="L31" s="52" t="inlineStr">
        <is>
          <t>All</t>
        </is>
      </c>
      <c r="M31" s="52" t="inlineStr">
        <is>
          <t>All</t>
        </is>
      </c>
      <c r="N31" s="52" t="n">
        <v>1</v>
      </c>
      <c r="O31" s="52" t="n">
        <v>0</v>
      </c>
      <c r="P31" s="58" t="n">
        <v>4237</v>
      </c>
      <c r="Q31" s="58">
        <f>P31*1.18</f>
        <v/>
      </c>
      <c r="R31" s="58" t="inlineStr">
        <is>
          <t>VAT1 activation data</t>
        </is>
      </c>
    </row>
    <row r="32">
      <c r="A32" s="57" t="n"/>
      <c r="B32" s="52" t="inlineStr">
        <is>
          <t>83DA008UIN</t>
        </is>
      </c>
      <c r="C32" s="52" t="inlineStr">
        <is>
          <t>T2 Green</t>
        </is>
      </c>
      <c r="D32" s="52" t="inlineStr">
        <is>
          <t>Activation</t>
        </is>
      </c>
      <c r="E32" s="52" t="inlineStr">
        <is>
          <t>Inventory Management - Tactical Support</t>
        </is>
      </c>
      <c r="F32" s="52" t="n"/>
      <c r="G32" s="52" t="inlineStr">
        <is>
          <t>All VAT1</t>
        </is>
      </c>
      <c r="H32" s="52" t="inlineStr">
        <is>
          <t>T3</t>
        </is>
      </c>
      <c r="I32" s="56" t="inlineStr">
        <is>
          <t>1.1.2026</t>
        </is>
      </c>
      <c r="J32" s="56" t="inlineStr">
        <is>
          <t>31.1.2026</t>
        </is>
      </c>
      <c r="K32" s="52" t="inlineStr">
        <is>
          <t>All</t>
        </is>
      </c>
      <c r="L32" s="52" t="inlineStr">
        <is>
          <t>All</t>
        </is>
      </c>
      <c r="M32" s="52" t="inlineStr">
        <is>
          <t>All</t>
        </is>
      </c>
      <c r="N32" s="52" t="n">
        <v>1</v>
      </c>
      <c r="O32" s="52" t="n">
        <v>0</v>
      </c>
      <c r="P32" s="58" t="n">
        <v>1353</v>
      </c>
      <c r="Q32" s="58">
        <f>P32*1.18</f>
        <v/>
      </c>
      <c r="R32" s="58" t="inlineStr">
        <is>
          <t>VAT1 activation data</t>
        </is>
      </c>
    </row>
    <row r="33">
      <c r="A33" s="57" t="n"/>
      <c r="B33" s="52" t="inlineStr">
        <is>
          <t>83HL003NIN</t>
        </is>
      </c>
      <c r="C33" s="52" t="inlineStr">
        <is>
          <t>T2 Green</t>
        </is>
      </c>
      <c r="D33" s="52" t="inlineStr">
        <is>
          <t>Activation</t>
        </is>
      </c>
      <c r="E33" s="52" t="inlineStr">
        <is>
          <t>Inventory Management - Tactical Support</t>
        </is>
      </c>
      <c r="F33" s="52" t="n"/>
      <c r="G33" s="52" t="inlineStr">
        <is>
          <t>All VAT1</t>
        </is>
      </c>
      <c r="H33" s="52" t="inlineStr">
        <is>
          <t>T3</t>
        </is>
      </c>
      <c r="I33" s="56" t="inlineStr">
        <is>
          <t>1.1.2026</t>
        </is>
      </c>
      <c r="J33" s="56" t="inlineStr">
        <is>
          <t>31.1.2026</t>
        </is>
      </c>
      <c r="K33" s="52" t="inlineStr">
        <is>
          <t>All</t>
        </is>
      </c>
      <c r="L33" s="52" t="inlineStr">
        <is>
          <t>All</t>
        </is>
      </c>
      <c r="M33" s="52" t="inlineStr">
        <is>
          <t>All</t>
        </is>
      </c>
      <c r="N33" s="52" t="n">
        <v>1</v>
      </c>
      <c r="O33" s="52" t="n">
        <v>0</v>
      </c>
      <c r="P33" s="58" t="n">
        <v>5932</v>
      </c>
      <c r="Q33" s="58">
        <f>P33*1.18</f>
        <v/>
      </c>
      <c r="R33" s="58" t="inlineStr">
        <is>
          <t>VAT1 activation data</t>
        </is>
      </c>
    </row>
    <row r="34">
      <c r="A34" s="57" t="n"/>
      <c r="B34" s="52" t="inlineStr">
        <is>
          <t>83HL0035IN</t>
        </is>
      </c>
      <c r="C34" s="52" t="inlineStr">
        <is>
          <t>T2 Green</t>
        </is>
      </c>
      <c r="D34" s="52" t="inlineStr">
        <is>
          <t>Activation</t>
        </is>
      </c>
      <c r="E34" s="52" t="inlineStr">
        <is>
          <t>Inventory Management - Tactical Support</t>
        </is>
      </c>
      <c r="F34" s="52" t="n"/>
      <c r="G34" s="52" t="inlineStr">
        <is>
          <t>All VAT1</t>
        </is>
      </c>
      <c r="H34" s="52" t="inlineStr">
        <is>
          <t>T3</t>
        </is>
      </c>
      <c r="I34" s="56" t="inlineStr">
        <is>
          <t>1.1.2026</t>
        </is>
      </c>
      <c r="J34" s="56" t="inlineStr">
        <is>
          <t>31.1.2026</t>
        </is>
      </c>
      <c r="K34" s="52" t="inlineStr">
        <is>
          <t>All</t>
        </is>
      </c>
      <c r="L34" s="52" t="inlineStr">
        <is>
          <t>All</t>
        </is>
      </c>
      <c r="M34" s="52" t="inlineStr">
        <is>
          <t>All</t>
        </is>
      </c>
      <c r="N34" s="52" t="n">
        <v>1</v>
      </c>
      <c r="O34" s="52" t="n">
        <v>0</v>
      </c>
      <c r="P34" s="58" t="n">
        <v>5932</v>
      </c>
      <c r="Q34" s="58">
        <f>P34*1.18</f>
        <v/>
      </c>
      <c r="R34" s="58" t="inlineStr">
        <is>
          <t>VAT1 activation data</t>
        </is>
      </c>
    </row>
    <row r="35">
      <c r="A35" s="57" t="n"/>
      <c r="B35" s="52" t="inlineStr">
        <is>
          <t>83E00012IN</t>
        </is>
      </c>
      <c r="C35" s="52" t="inlineStr">
        <is>
          <t>T2 Green</t>
        </is>
      </c>
      <c r="D35" s="52" t="inlineStr">
        <is>
          <t>Activation</t>
        </is>
      </c>
      <c r="E35" s="52" t="inlineStr">
        <is>
          <t>Inventory Management - Tactical Support</t>
        </is>
      </c>
      <c r="F35" s="52" t="n"/>
      <c r="G35" s="52" t="inlineStr">
        <is>
          <t>All VAT1</t>
        </is>
      </c>
      <c r="H35" s="52" t="inlineStr">
        <is>
          <t>T3</t>
        </is>
      </c>
      <c r="I35" s="56" t="inlineStr">
        <is>
          <t>1.1.2026</t>
        </is>
      </c>
      <c r="J35" s="56" t="inlineStr">
        <is>
          <t>31.1.2026</t>
        </is>
      </c>
      <c r="K35" s="52" t="inlineStr">
        <is>
          <t>All</t>
        </is>
      </c>
      <c r="L35" s="52" t="inlineStr">
        <is>
          <t>All</t>
        </is>
      </c>
      <c r="M35" s="52" t="inlineStr">
        <is>
          <t>All</t>
        </is>
      </c>
      <c r="N35" s="52" t="n">
        <v>1</v>
      </c>
      <c r="O35" s="52" t="n">
        <v>0</v>
      </c>
      <c r="P35" s="58" t="n">
        <v>3738</v>
      </c>
      <c r="Q35" s="58">
        <f>P35*1.18</f>
        <v/>
      </c>
      <c r="R35" s="58" t="inlineStr">
        <is>
          <t>VAT1 activation data</t>
        </is>
      </c>
    </row>
    <row r="36">
      <c r="A36" s="57" t="n"/>
      <c r="B36" s="52" t="inlineStr">
        <is>
          <t>83ED003BIN</t>
        </is>
      </c>
      <c r="C36" s="52" t="inlineStr">
        <is>
          <t>T2 Green</t>
        </is>
      </c>
      <c r="D36" s="52" t="inlineStr">
        <is>
          <t>Activation</t>
        </is>
      </c>
      <c r="E36" s="52" t="inlineStr">
        <is>
          <t>Inventory Management - Tactical Support</t>
        </is>
      </c>
      <c r="F36" s="52" t="n"/>
      <c r="G36" s="52" t="inlineStr">
        <is>
          <t>All VAT1</t>
        </is>
      </c>
      <c r="H36" s="52" t="inlineStr">
        <is>
          <t>T3</t>
        </is>
      </c>
      <c r="I36" s="56" t="inlineStr">
        <is>
          <t>1.1.2026</t>
        </is>
      </c>
      <c r="J36" s="56" t="inlineStr">
        <is>
          <t>31.1.2026</t>
        </is>
      </c>
      <c r="K36" s="52" t="inlineStr">
        <is>
          <t>All</t>
        </is>
      </c>
      <c r="L36" s="52" t="inlineStr">
        <is>
          <t>All</t>
        </is>
      </c>
      <c r="M36" s="52" t="inlineStr">
        <is>
          <t>All</t>
        </is>
      </c>
      <c r="N36" s="52" t="n">
        <v>1</v>
      </c>
      <c r="O36" s="52" t="n">
        <v>0</v>
      </c>
      <c r="P36" s="58" t="n">
        <v>5932</v>
      </c>
      <c r="Q36" s="58">
        <f>P36*1.18</f>
        <v/>
      </c>
      <c r="R36" s="58" t="inlineStr">
        <is>
          <t>VAT1 activation data</t>
        </is>
      </c>
    </row>
    <row r="37">
      <c r="A37" s="57" t="n"/>
      <c r="B37" s="52" t="inlineStr">
        <is>
          <t>83ED0065IN</t>
        </is>
      </c>
      <c r="C37" s="52" t="inlineStr">
        <is>
          <t>T2 Green</t>
        </is>
      </c>
      <c r="D37" s="52" t="inlineStr">
        <is>
          <t>Activation</t>
        </is>
      </c>
      <c r="E37" s="52" t="inlineStr">
        <is>
          <t>Inventory Management - Tactical Support</t>
        </is>
      </c>
      <c r="F37" s="52" t="n"/>
      <c r="G37" s="52" t="inlineStr">
        <is>
          <t>All VAT1</t>
        </is>
      </c>
      <c r="H37" s="52" t="inlineStr">
        <is>
          <t>T3</t>
        </is>
      </c>
      <c r="I37" s="56" t="inlineStr">
        <is>
          <t>1.1.2026</t>
        </is>
      </c>
      <c r="J37" s="56" t="inlineStr">
        <is>
          <t>31.1.2026</t>
        </is>
      </c>
      <c r="K37" s="52" t="inlineStr">
        <is>
          <t>All</t>
        </is>
      </c>
      <c r="L37" s="52" t="inlineStr">
        <is>
          <t>All</t>
        </is>
      </c>
      <c r="M37" s="52" t="inlineStr">
        <is>
          <t>All</t>
        </is>
      </c>
      <c r="N37" s="52" t="n">
        <v>1</v>
      </c>
      <c r="O37" s="52" t="n">
        <v>0</v>
      </c>
      <c r="P37" s="58" t="n">
        <v>5932</v>
      </c>
      <c r="Q37" s="58">
        <f>P37*1.18</f>
        <v/>
      </c>
      <c r="R37" s="58" t="inlineStr">
        <is>
          <t>VAT1 activation data</t>
        </is>
      </c>
    </row>
    <row r="38">
      <c r="A38" s="57" t="n"/>
      <c r="B38" s="52" t="inlineStr">
        <is>
          <t>82X6004GIN</t>
        </is>
      </c>
      <c r="C38" s="52" t="inlineStr">
        <is>
          <t>T2 Green</t>
        </is>
      </c>
      <c r="D38" s="52" t="inlineStr">
        <is>
          <t>Activation</t>
        </is>
      </c>
      <c r="E38" s="52" t="inlineStr">
        <is>
          <t>Inventory Management - Tactical Support</t>
        </is>
      </c>
      <c r="F38" s="52" t="n"/>
      <c r="G38" s="52" t="inlineStr">
        <is>
          <t>All VAT1</t>
        </is>
      </c>
      <c r="H38" s="52" t="inlineStr">
        <is>
          <t>T3</t>
        </is>
      </c>
      <c r="I38" s="56" t="inlineStr">
        <is>
          <t>1.1.2026</t>
        </is>
      </c>
      <c r="J38" s="56" t="inlineStr">
        <is>
          <t>31.1.2026</t>
        </is>
      </c>
      <c r="K38" s="52" t="inlineStr">
        <is>
          <t>All</t>
        </is>
      </c>
      <c r="L38" s="52" t="inlineStr">
        <is>
          <t>All</t>
        </is>
      </c>
      <c r="M38" s="52" t="inlineStr">
        <is>
          <t>All</t>
        </is>
      </c>
      <c r="N38" s="52" t="n">
        <v>1</v>
      </c>
      <c r="O38" s="52" t="n">
        <v>0</v>
      </c>
      <c r="P38" s="58" t="n">
        <v>1271</v>
      </c>
      <c r="Q38" s="58">
        <f>P38*1.18</f>
        <v/>
      </c>
      <c r="R38" s="58" t="inlineStr">
        <is>
          <t>VAT1 activation data</t>
        </is>
      </c>
    </row>
    <row r="39">
      <c r="A39" s="57" t="n"/>
      <c r="B39" s="52" t="inlineStr">
        <is>
          <t>82X700C7IN</t>
        </is>
      </c>
      <c r="C39" s="52" t="inlineStr">
        <is>
          <t>T2 Green</t>
        </is>
      </c>
      <c r="D39" s="52" t="inlineStr">
        <is>
          <t>Activation</t>
        </is>
      </c>
      <c r="E39" s="52" t="inlineStr">
        <is>
          <t>Inventory Management - Tactical Support</t>
        </is>
      </c>
      <c r="F39" s="52" t="n"/>
      <c r="G39" s="52" t="inlineStr">
        <is>
          <t>All VAT1</t>
        </is>
      </c>
      <c r="H39" s="52" t="inlineStr">
        <is>
          <t>T3</t>
        </is>
      </c>
      <c r="I39" s="56" t="inlineStr">
        <is>
          <t>1.1.2026</t>
        </is>
      </c>
      <c r="J39" s="56" t="inlineStr">
        <is>
          <t>31.1.2026</t>
        </is>
      </c>
      <c r="K39" s="52" t="inlineStr">
        <is>
          <t>All</t>
        </is>
      </c>
      <c r="L39" s="52" t="inlineStr">
        <is>
          <t>All</t>
        </is>
      </c>
      <c r="M39" s="52" t="inlineStr">
        <is>
          <t>All</t>
        </is>
      </c>
      <c r="N39" s="52" t="n">
        <v>1</v>
      </c>
      <c r="O39" s="52" t="n">
        <v>0</v>
      </c>
      <c r="P39" s="58" t="n">
        <v>1271</v>
      </c>
      <c r="Q39" s="58">
        <f>P39*1.18</f>
        <v/>
      </c>
      <c r="R39" s="58" t="inlineStr">
        <is>
          <t>VAT1 activation data</t>
        </is>
      </c>
    </row>
    <row r="40">
      <c r="A40" s="57" t="n"/>
      <c r="B40" s="52" t="inlineStr">
        <is>
          <t>82X700E0IN</t>
        </is>
      </c>
      <c r="C40" s="52" t="inlineStr">
        <is>
          <t>T2 Green</t>
        </is>
      </c>
      <c r="D40" s="52" t="inlineStr">
        <is>
          <t>Activation</t>
        </is>
      </c>
      <c r="E40" s="52" t="inlineStr">
        <is>
          <t>Inventory Management - Tactical Support</t>
        </is>
      </c>
      <c r="F40" s="52" t="n"/>
      <c r="G40" s="52" t="inlineStr">
        <is>
          <t>All VAT1</t>
        </is>
      </c>
      <c r="H40" s="52" t="inlineStr">
        <is>
          <t>T3</t>
        </is>
      </c>
      <c r="I40" s="56" t="inlineStr">
        <is>
          <t>1.1.2026</t>
        </is>
      </c>
      <c r="J40" s="56" t="inlineStr">
        <is>
          <t>31.1.2026</t>
        </is>
      </c>
      <c r="K40" s="52" t="inlineStr">
        <is>
          <t>All</t>
        </is>
      </c>
      <c r="L40" s="52" t="inlineStr">
        <is>
          <t>All</t>
        </is>
      </c>
      <c r="M40" s="52" t="inlineStr">
        <is>
          <t>All</t>
        </is>
      </c>
      <c r="N40" s="52" t="n">
        <v>1</v>
      </c>
      <c r="O40" s="52" t="n">
        <v>0</v>
      </c>
      <c r="P40" s="58" t="n">
        <v>846</v>
      </c>
      <c r="Q40" s="58">
        <f>P40*1.18</f>
        <v/>
      </c>
      <c r="R40" s="58" t="inlineStr">
        <is>
          <t>VAT1 activation data</t>
        </is>
      </c>
    </row>
    <row r="41">
      <c r="A41" s="57" t="n"/>
      <c r="B41" s="52" t="inlineStr">
        <is>
          <t>82X700F0IN</t>
        </is>
      </c>
      <c r="C41" s="52" t="inlineStr">
        <is>
          <t>T2 Green</t>
        </is>
      </c>
      <c r="D41" s="52" t="inlineStr">
        <is>
          <t>Activation</t>
        </is>
      </c>
      <c r="E41" s="52" t="inlineStr">
        <is>
          <t>Inventory Management - Tactical Support</t>
        </is>
      </c>
      <c r="F41" s="52" t="n"/>
      <c r="G41" s="52" t="inlineStr">
        <is>
          <t>All VAT1</t>
        </is>
      </c>
      <c r="H41" s="52" t="inlineStr">
        <is>
          <t>T3</t>
        </is>
      </c>
      <c r="I41" s="56" t="inlineStr">
        <is>
          <t>1.1.2026</t>
        </is>
      </c>
      <c r="J41" s="56" t="inlineStr">
        <is>
          <t>31.1.2026</t>
        </is>
      </c>
      <c r="K41" s="52" t="inlineStr">
        <is>
          <t>All</t>
        </is>
      </c>
      <c r="L41" s="52" t="inlineStr">
        <is>
          <t>All</t>
        </is>
      </c>
      <c r="M41" s="52" t="inlineStr">
        <is>
          <t>All</t>
        </is>
      </c>
      <c r="N41" s="52" t="n">
        <v>1</v>
      </c>
      <c r="O41" s="52" t="n">
        <v>0</v>
      </c>
      <c r="P41" s="58" t="n">
        <v>302</v>
      </c>
      <c r="Q41" s="58">
        <f>P41*1.18</f>
        <v/>
      </c>
      <c r="R41" s="58" t="inlineStr">
        <is>
          <t>VAT1 activation data</t>
        </is>
      </c>
    </row>
    <row r="42">
      <c r="A42" s="57" t="n"/>
      <c r="B42" s="52" t="inlineStr">
        <is>
          <t>82X700HLIN</t>
        </is>
      </c>
      <c r="C42" s="52" t="inlineStr">
        <is>
          <t>T2 Green</t>
        </is>
      </c>
      <c r="D42" s="52" t="inlineStr">
        <is>
          <t>Activation</t>
        </is>
      </c>
      <c r="E42" s="52" t="inlineStr">
        <is>
          <t>Inventory Management - Tactical Support</t>
        </is>
      </c>
      <c r="F42" s="52" t="n"/>
      <c r="G42" s="52" t="inlineStr">
        <is>
          <t>All VAT1</t>
        </is>
      </c>
      <c r="H42" s="52" t="inlineStr">
        <is>
          <t>T3</t>
        </is>
      </c>
      <c r="I42" s="56" t="inlineStr">
        <is>
          <t>1.1.2026</t>
        </is>
      </c>
      <c r="J42" s="56" t="inlineStr">
        <is>
          <t>31.1.2026</t>
        </is>
      </c>
      <c r="K42" s="52" t="inlineStr">
        <is>
          <t>All</t>
        </is>
      </c>
      <c r="L42" s="52" t="inlineStr">
        <is>
          <t>All</t>
        </is>
      </c>
      <c r="M42" s="52" t="inlineStr">
        <is>
          <t>All</t>
        </is>
      </c>
      <c r="N42" s="52" t="n">
        <v>1</v>
      </c>
      <c r="O42" s="52" t="n">
        <v>0</v>
      </c>
      <c r="P42" s="58" t="n">
        <v>453</v>
      </c>
      <c r="Q42" s="58">
        <f>P42*1.18</f>
        <v/>
      </c>
      <c r="R42" s="58" t="inlineStr">
        <is>
          <t>VAT1 activation data</t>
        </is>
      </c>
    </row>
    <row r="43">
      <c r="A43" s="57" t="n"/>
      <c r="B43" s="52" t="inlineStr">
        <is>
          <t>82X60013IN</t>
        </is>
      </c>
      <c r="C43" s="52" t="inlineStr">
        <is>
          <t>T2 Green</t>
        </is>
      </c>
      <c r="D43" s="52" t="inlineStr">
        <is>
          <t>Activation</t>
        </is>
      </c>
      <c r="E43" s="52" t="inlineStr">
        <is>
          <t>Inventory Management - Tactical Support</t>
        </is>
      </c>
      <c r="F43" s="52" t="n"/>
      <c r="G43" s="52" t="inlineStr">
        <is>
          <t>All VAT1</t>
        </is>
      </c>
      <c r="H43" s="52" t="inlineStr">
        <is>
          <t>T3</t>
        </is>
      </c>
      <c r="I43" s="56" t="inlineStr">
        <is>
          <t>1.1.2026</t>
        </is>
      </c>
      <c r="J43" s="56" t="inlineStr">
        <is>
          <t>31.1.2026</t>
        </is>
      </c>
      <c r="K43" s="52" t="inlineStr">
        <is>
          <t>All</t>
        </is>
      </c>
      <c r="L43" s="52" t="inlineStr">
        <is>
          <t>All</t>
        </is>
      </c>
      <c r="M43" s="52" t="inlineStr">
        <is>
          <t>All</t>
        </is>
      </c>
      <c r="N43" s="52" t="n">
        <v>1</v>
      </c>
      <c r="O43" s="52" t="n">
        <v>0</v>
      </c>
      <c r="P43" s="58" t="n">
        <v>1271</v>
      </c>
      <c r="Q43" s="58">
        <f>P43*1.18</f>
        <v/>
      </c>
      <c r="R43" s="58" t="inlineStr">
        <is>
          <t>VAT1 activation data</t>
        </is>
      </c>
    </row>
    <row r="44">
      <c r="A44" s="57" t="n"/>
      <c r="B44" s="52" t="inlineStr">
        <is>
          <t>82X700C8IN</t>
        </is>
      </c>
      <c r="C44" s="52" t="inlineStr">
        <is>
          <t>T2 Green</t>
        </is>
      </c>
      <c r="D44" s="52" t="inlineStr">
        <is>
          <t>Activation</t>
        </is>
      </c>
      <c r="E44" s="52" t="inlineStr">
        <is>
          <t>Inventory Management - Tactical Support</t>
        </is>
      </c>
      <c r="F44" s="52" t="n"/>
      <c r="G44" s="52" t="inlineStr">
        <is>
          <t>All VAT1</t>
        </is>
      </c>
      <c r="H44" s="52" t="inlineStr">
        <is>
          <t>T3</t>
        </is>
      </c>
      <c r="I44" s="56" t="inlineStr">
        <is>
          <t>1.1.2026</t>
        </is>
      </c>
      <c r="J44" s="56" t="inlineStr">
        <is>
          <t>31.1.2026</t>
        </is>
      </c>
      <c r="K44" s="52" t="inlineStr">
        <is>
          <t>All</t>
        </is>
      </c>
      <c r="L44" s="52" t="inlineStr">
        <is>
          <t>All</t>
        </is>
      </c>
      <c r="M44" s="52" t="inlineStr">
        <is>
          <t>All</t>
        </is>
      </c>
      <c r="N44" s="52" t="n">
        <v>1</v>
      </c>
      <c r="O44" s="52" t="n">
        <v>0</v>
      </c>
      <c r="P44" s="58" t="n">
        <v>1271</v>
      </c>
      <c r="Q44" s="58">
        <f>P44*1.18</f>
        <v/>
      </c>
      <c r="R44" s="58" t="inlineStr">
        <is>
          <t>VAT1 activation data</t>
        </is>
      </c>
    </row>
    <row r="45">
      <c r="A45" s="57" t="n"/>
      <c r="B45" s="52" t="inlineStr">
        <is>
          <t>82X70032IN</t>
        </is>
      </c>
      <c r="C45" s="52" t="inlineStr">
        <is>
          <t>T2 Green</t>
        </is>
      </c>
      <c r="D45" s="52" t="inlineStr">
        <is>
          <t>Activation</t>
        </is>
      </c>
      <c r="E45" s="52" t="inlineStr">
        <is>
          <t>Inventory Management - Tactical Support</t>
        </is>
      </c>
      <c r="F45" s="52" t="n"/>
      <c r="G45" s="52" t="inlineStr">
        <is>
          <t>All VAT1</t>
        </is>
      </c>
      <c r="H45" s="52" t="inlineStr">
        <is>
          <t>T3</t>
        </is>
      </c>
      <c r="I45" s="56" t="inlineStr">
        <is>
          <t>1.1.2026</t>
        </is>
      </c>
      <c r="J45" s="56" t="inlineStr">
        <is>
          <t>31.1.2026</t>
        </is>
      </c>
      <c r="K45" s="52" t="inlineStr">
        <is>
          <t>All</t>
        </is>
      </c>
      <c r="L45" s="52" t="inlineStr">
        <is>
          <t>All</t>
        </is>
      </c>
      <c r="M45" s="52" t="inlineStr">
        <is>
          <t>All</t>
        </is>
      </c>
      <c r="N45" s="52" t="n">
        <v>1</v>
      </c>
      <c r="O45" s="52" t="n">
        <v>0</v>
      </c>
      <c r="P45" s="58" t="n">
        <v>1271</v>
      </c>
      <c r="Q45" s="58">
        <f>P45*1.18</f>
        <v/>
      </c>
      <c r="R45" s="58" t="inlineStr">
        <is>
          <t>VAT1 activation data</t>
        </is>
      </c>
    </row>
    <row r="46">
      <c r="A46" s="57" t="n"/>
      <c r="B46" s="52" t="inlineStr">
        <is>
          <t>82X70033IN</t>
        </is>
      </c>
      <c r="C46" s="52" t="inlineStr">
        <is>
          <t>T2 Green</t>
        </is>
      </c>
      <c r="D46" s="52" t="inlineStr">
        <is>
          <t>Activation</t>
        </is>
      </c>
      <c r="E46" s="52" t="inlineStr">
        <is>
          <t>Inventory Management - Tactical Support</t>
        </is>
      </c>
      <c r="F46" s="52" t="n"/>
      <c r="G46" s="52" t="inlineStr">
        <is>
          <t>All VAT1</t>
        </is>
      </c>
      <c r="H46" s="52" t="inlineStr">
        <is>
          <t>T3</t>
        </is>
      </c>
      <c r="I46" s="56" t="inlineStr">
        <is>
          <t>1.1.2026</t>
        </is>
      </c>
      <c r="J46" s="56" t="inlineStr">
        <is>
          <t>31.1.2026</t>
        </is>
      </c>
      <c r="K46" s="52" t="inlineStr">
        <is>
          <t>All</t>
        </is>
      </c>
      <c r="L46" s="52" t="inlineStr">
        <is>
          <t>All</t>
        </is>
      </c>
      <c r="M46" s="52" t="inlineStr">
        <is>
          <t>All</t>
        </is>
      </c>
      <c r="N46" s="52" t="n">
        <v>1</v>
      </c>
      <c r="O46" s="52" t="n">
        <v>0</v>
      </c>
      <c r="P46" s="58" t="n">
        <v>1271</v>
      </c>
      <c r="Q46" s="58">
        <f>P46*1.18</f>
        <v/>
      </c>
      <c r="R46" s="58" t="inlineStr">
        <is>
          <t>VAT1 activation data</t>
        </is>
      </c>
    </row>
    <row r="47">
      <c r="A47" s="57" t="n"/>
      <c r="B47" s="52" t="inlineStr">
        <is>
          <t>82X70034IN</t>
        </is>
      </c>
      <c r="C47" s="52" t="inlineStr">
        <is>
          <t>T2 Green</t>
        </is>
      </c>
      <c r="D47" s="52" t="inlineStr">
        <is>
          <t>Activation</t>
        </is>
      </c>
      <c r="E47" s="52" t="inlineStr">
        <is>
          <t>Inventory Management - Tactical Support</t>
        </is>
      </c>
      <c r="F47" s="52" t="n"/>
      <c r="G47" s="52" t="inlineStr">
        <is>
          <t>All VAT1</t>
        </is>
      </c>
      <c r="H47" s="52" t="inlineStr">
        <is>
          <t>T3</t>
        </is>
      </c>
      <c r="I47" s="56" t="inlineStr">
        <is>
          <t>1.1.2026</t>
        </is>
      </c>
      <c r="J47" s="56" t="inlineStr">
        <is>
          <t>31.1.2026</t>
        </is>
      </c>
      <c r="K47" s="52" t="inlineStr">
        <is>
          <t>All</t>
        </is>
      </c>
      <c r="L47" s="52" t="inlineStr">
        <is>
          <t>All</t>
        </is>
      </c>
      <c r="M47" s="52" t="inlineStr">
        <is>
          <t>All</t>
        </is>
      </c>
      <c r="N47" s="52" t="n">
        <v>1</v>
      </c>
      <c r="O47" s="52" t="n">
        <v>0</v>
      </c>
      <c r="P47" s="58" t="n">
        <v>3051</v>
      </c>
      <c r="Q47" s="58">
        <f>P47*1.18</f>
        <v/>
      </c>
      <c r="R47" s="58" t="inlineStr">
        <is>
          <t>VAT1 activation data</t>
        </is>
      </c>
    </row>
    <row r="48">
      <c r="A48" s="57" t="n"/>
      <c r="B48" s="52" t="inlineStr">
        <is>
          <t>83EQ005TIN</t>
        </is>
      </c>
      <c r="C48" s="52" t="inlineStr">
        <is>
          <t>T2 Green</t>
        </is>
      </c>
      <c r="D48" s="52" t="inlineStr">
        <is>
          <t>Activation</t>
        </is>
      </c>
      <c r="E48" s="52" t="inlineStr">
        <is>
          <t>Inventory Management - Tactical Support</t>
        </is>
      </c>
      <c r="F48" s="52" t="n"/>
      <c r="G48" s="52" t="inlineStr">
        <is>
          <t>All VAT1</t>
        </is>
      </c>
      <c r="H48" s="52" t="inlineStr">
        <is>
          <t>T3</t>
        </is>
      </c>
      <c r="I48" s="56" t="inlineStr">
        <is>
          <t>1.1.2026</t>
        </is>
      </c>
      <c r="J48" s="56" t="inlineStr">
        <is>
          <t>31.1.2026</t>
        </is>
      </c>
      <c r="K48" s="52" t="inlineStr">
        <is>
          <t>All</t>
        </is>
      </c>
      <c r="L48" s="52" t="inlineStr">
        <is>
          <t>All</t>
        </is>
      </c>
      <c r="M48" s="52" t="inlineStr">
        <is>
          <t>All</t>
        </is>
      </c>
      <c r="N48" s="52" t="n">
        <v>1</v>
      </c>
      <c r="O48" s="52" t="n">
        <v>0</v>
      </c>
      <c r="P48" s="58" t="n">
        <v>2674</v>
      </c>
      <c r="Q48" s="58">
        <f>P48*1.18</f>
        <v/>
      </c>
      <c r="R48" s="58" t="inlineStr">
        <is>
          <t>VAT1 activation data</t>
        </is>
      </c>
    </row>
    <row r="49">
      <c r="A49" s="57" t="n"/>
      <c r="B49" s="52" t="inlineStr">
        <is>
          <t>83EQ0063IN</t>
        </is>
      </c>
      <c r="C49" s="52" t="inlineStr">
        <is>
          <t>T2 Green</t>
        </is>
      </c>
      <c r="D49" s="52" t="inlineStr">
        <is>
          <t>Activation</t>
        </is>
      </c>
      <c r="E49" s="52" t="inlineStr">
        <is>
          <t>Inventory Management - Tactical Support</t>
        </is>
      </c>
      <c r="F49" s="52" t="n"/>
      <c r="G49" s="52" t="inlineStr">
        <is>
          <t>All VAT1</t>
        </is>
      </c>
      <c r="H49" s="52" t="inlineStr">
        <is>
          <t>T3</t>
        </is>
      </c>
      <c r="I49" s="56" t="inlineStr">
        <is>
          <t>1.1.2026</t>
        </is>
      </c>
      <c r="J49" s="56" t="inlineStr">
        <is>
          <t>31.1.2026</t>
        </is>
      </c>
      <c r="K49" s="52" t="inlineStr">
        <is>
          <t>All</t>
        </is>
      </c>
      <c r="L49" s="52" t="inlineStr">
        <is>
          <t>All</t>
        </is>
      </c>
      <c r="M49" s="52" t="inlineStr">
        <is>
          <t>All</t>
        </is>
      </c>
      <c r="N49" s="52" t="n">
        <v>1</v>
      </c>
      <c r="O49" s="52" t="n">
        <v>0</v>
      </c>
      <c r="P49" s="58" t="n">
        <v>2912</v>
      </c>
      <c r="Q49" s="58">
        <f>P49*1.18</f>
        <v/>
      </c>
      <c r="R49" s="58" t="inlineStr">
        <is>
          <t>VAT1 activation data</t>
        </is>
      </c>
    </row>
    <row r="50">
      <c r="A50" s="57" t="n"/>
      <c r="B50" s="52" t="inlineStr">
        <is>
          <t>83ER00F2IN</t>
        </is>
      </c>
      <c r="C50" s="52" t="inlineStr">
        <is>
          <t>T2 Green</t>
        </is>
      </c>
      <c r="D50" s="52" t="inlineStr">
        <is>
          <t>Activation</t>
        </is>
      </c>
      <c r="E50" s="52" t="inlineStr">
        <is>
          <t>Inventory Management - Tactical Support</t>
        </is>
      </c>
      <c r="F50" s="52" t="n"/>
      <c r="G50" s="52" t="inlineStr">
        <is>
          <t>All VAT1</t>
        </is>
      </c>
      <c r="H50" s="52" t="inlineStr">
        <is>
          <t>T3</t>
        </is>
      </c>
      <c r="I50" s="56" t="inlineStr">
        <is>
          <t>1.1.2026</t>
        </is>
      </c>
      <c r="J50" s="56" t="inlineStr">
        <is>
          <t>31.1.2026</t>
        </is>
      </c>
      <c r="K50" s="52" t="inlineStr">
        <is>
          <t>All</t>
        </is>
      </c>
      <c r="L50" s="52" t="inlineStr">
        <is>
          <t>All</t>
        </is>
      </c>
      <c r="M50" s="52" t="inlineStr">
        <is>
          <t>All</t>
        </is>
      </c>
      <c r="N50" s="52" t="n">
        <v>1</v>
      </c>
      <c r="O50" s="52" t="n">
        <v>0</v>
      </c>
      <c r="P50" s="58" t="n">
        <v>2645</v>
      </c>
      <c r="Q50" s="58">
        <f>P50*1.18</f>
        <v/>
      </c>
      <c r="R50" s="58" t="inlineStr">
        <is>
          <t>VAT1 activation data</t>
        </is>
      </c>
    </row>
    <row r="51">
      <c r="A51" s="57" t="n"/>
      <c r="B51" s="52" t="inlineStr">
        <is>
          <t>83ER00M2IN</t>
        </is>
      </c>
      <c r="C51" s="52" t="inlineStr">
        <is>
          <t>T2 Green</t>
        </is>
      </c>
      <c r="D51" s="52" t="inlineStr">
        <is>
          <t>Activation</t>
        </is>
      </c>
      <c r="E51" s="52" t="inlineStr">
        <is>
          <t>Inventory Management - Tactical Support</t>
        </is>
      </c>
      <c r="F51" s="52" t="n"/>
      <c r="G51" s="52" t="inlineStr">
        <is>
          <t>All VAT1</t>
        </is>
      </c>
      <c r="H51" s="52" t="inlineStr">
        <is>
          <t>T3</t>
        </is>
      </c>
      <c r="I51" s="56" t="inlineStr">
        <is>
          <t>1.1.2026</t>
        </is>
      </c>
      <c r="J51" s="56" t="inlineStr">
        <is>
          <t>31.1.2026</t>
        </is>
      </c>
      <c r="K51" s="52" t="inlineStr">
        <is>
          <t>All</t>
        </is>
      </c>
      <c r="L51" s="52" t="inlineStr">
        <is>
          <t>All</t>
        </is>
      </c>
      <c r="M51" s="52" t="inlineStr">
        <is>
          <t>All</t>
        </is>
      </c>
      <c r="N51" s="52" t="n">
        <v>1</v>
      </c>
      <c r="O51" s="52" t="n">
        <v>0</v>
      </c>
      <c r="P51" s="58" t="n">
        <v>2220</v>
      </c>
      <c r="Q51" s="58">
        <f>P51*1.18</f>
        <v/>
      </c>
      <c r="R51" s="58" t="inlineStr">
        <is>
          <t>VAT1 activation data</t>
        </is>
      </c>
    </row>
    <row r="52">
      <c r="A52" s="57" t="n"/>
      <c r="B52" s="52" t="inlineStr">
        <is>
          <t>83EQ005KIN</t>
        </is>
      </c>
      <c r="C52" s="52" t="inlineStr">
        <is>
          <t>T2 Green</t>
        </is>
      </c>
      <c r="D52" s="52" t="inlineStr">
        <is>
          <t>Activation</t>
        </is>
      </c>
      <c r="E52" s="52" t="inlineStr">
        <is>
          <t>Inventory Management - Tactical Support</t>
        </is>
      </c>
      <c r="F52" s="52" t="n"/>
      <c r="G52" s="52" t="inlineStr">
        <is>
          <t>All VAT1</t>
        </is>
      </c>
      <c r="H52" s="52" t="inlineStr">
        <is>
          <t>T3</t>
        </is>
      </c>
      <c r="I52" s="56" t="inlineStr">
        <is>
          <t>1.1.2026</t>
        </is>
      </c>
      <c r="J52" s="56" t="inlineStr">
        <is>
          <t>31.1.2026</t>
        </is>
      </c>
      <c r="K52" s="52" t="inlineStr">
        <is>
          <t>All</t>
        </is>
      </c>
      <c r="L52" s="52" t="inlineStr">
        <is>
          <t>All</t>
        </is>
      </c>
      <c r="M52" s="52" t="inlineStr">
        <is>
          <t>All</t>
        </is>
      </c>
      <c r="N52" s="52" t="n">
        <v>1</v>
      </c>
      <c r="O52" s="52" t="n">
        <v>0</v>
      </c>
      <c r="P52" s="58" t="n">
        <v>3225</v>
      </c>
      <c r="Q52" s="58">
        <f>P52*1.18</f>
        <v/>
      </c>
      <c r="R52" s="58" t="inlineStr">
        <is>
          <t>VAT1 activation data</t>
        </is>
      </c>
    </row>
    <row r="53">
      <c r="A53" s="57" t="n"/>
      <c r="B53" s="52" t="inlineStr">
        <is>
          <t>83EQ0074IN</t>
        </is>
      </c>
      <c r="C53" s="52" t="inlineStr">
        <is>
          <t>T2 Green</t>
        </is>
      </c>
      <c r="D53" s="52" t="inlineStr">
        <is>
          <t>Activation</t>
        </is>
      </c>
      <c r="E53" s="52" t="inlineStr">
        <is>
          <t>Inventory Management - Tactical Support</t>
        </is>
      </c>
      <c r="F53" s="52" t="n"/>
      <c r="G53" s="52" t="inlineStr">
        <is>
          <t>All VAT1</t>
        </is>
      </c>
      <c r="H53" s="52" t="inlineStr">
        <is>
          <t>T3</t>
        </is>
      </c>
      <c r="I53" s="56" t="inlineStr">
        <is>
          <t>1.1.2026</t>
        </is>
      </c>
      <c r="J53" s="56" t="inlineStr">
        <is>
          <t>31.1.2026</t>
        </is>
      </c>
      <c r="K53" s="52" t="inlineStr">
        <is>
          <t>All</t>
        </is>
      </c>
      <c r="L53" s="52" t="inlineStr">
        <is>
          <t>All</t>
        </is>
      </c>
      <c r="M53" s="52" t="inlineStr">
        <is>
          <t>All</t>
        </is>
      </c>
      <c r="N53" s="52" t="n">
        <v>1</v>
      </c>
      <c r="O53" s="52" t="n">
        <v>0</v>
      </c>
      <c r="P53" s="58" t="n">
        <v>3246</v>
      </c>
      <c r="Q53" s="58">
        <f>P53*1.18</f>
        <v/>
      </c>
      <c r="R53" s="58" t="inlineStr">
        <is>
          <t>VAT1 activation data</t>
        </is>
      </c>
    </row>
    <row r="54">
      <c r="A54" s="57" t="n"/>
      <c r="B54" s="52" t="inlineStr">
        <is>
          <t>83EQ005VIN</t>
        </is>
      </c>
      <c r="C54" s="52" t="inlineStr">
        <is>
          <t>T2 Green</t>
        </is>
      </c>
      <c r="D54" s="52" t="inlineStr">
        <is>
          <t>Activation</t>
        </is>
      </c>
      <c r="E54" s="52" t="inlineStr">
        <is>
          <t>Inventory Management - Tactical Support</t>
        </is>
      </c>
      <c r="F54" s="52" t="n"/>
      <c r="G54" s="52" t="inlineStr">
        <is>
          <t>All VAT1</t>
        </is>
      </c>
      <c r="H54" s="52" t="inlineStr">
        <is>
          <t>T3</t>
        </is>
      </c>
      <c r="I54" s="56" t="inlineStr">
        <is>
          <t>1.1.2026</t>
        </is>
      </c>
      <c r="J54" s="56" t="inlineStr">
        <is>
          <t>31.1.2026</t>
        </is>
      </c>
      <c r="K54" s="52" t="inlineStr">
        <is>
          <t>All</t>
        </is>
      </c>
      <c r="L54" s="52" t="inlineStr">
        <is>
          <t>All</t>
        </is>
      </c>
      <c r="M54" s="52" t="inlineStr">
        <is>
          <t>All</t>
        </is>
      </c>
      <c r="N54" s="52" t="n">
        <v>1</v>
      </c>
      <c r="O54" s="52" t="n">
        <v>0</v>
      </c>
      <c r="P54" s="58" t="n">
        <v>3102</v>
      </c>
      <c r="Q54" s="58">
        <f>P54*1.18</f>
        <v/>
      </c>
      <c r="R54" s="58" t="inlineStr">
        <is>
          <t>VAT1 activation data</t>
        </is>
      </c>
    </row>
    <row r="55">
      <c r="A55" s="57" t="n"/>
      <c r="B55" s="52" t="inlineStr">
        <is>
          <t>83EQ0072IN</t>
        </is>
      </c>
      <c r="C55" s="52" t="inlineStr">
        <is>
          <t>T2 Green</t>
        </is>
      </c>
      <c r="D55" s="52" t="inlineStr">
        <is>
          <t>Activation</t>
        </is>
      </c>
      <c r="E55" s="52" t="inlineStr">
        <is>
          <t>Inventory Management - Tactical Support</t>
        </is>
      </c>
      <c r="F55" s="52" t="n"/>
      <c r="G55" s="52" t="inlineStr">
        <is>
          <t>All VAT1</t>
        </is>
      </c>
      <c r="H55" s="52" t="inlineStr">
        <is>
          <t>T3</t>
        </is>
      </c>
      <c r="I55" s="56" t="inlineStr">
        <is>
          <t>1.1.2026</t>
        </is>
      </c>
      <c r="J55" s="56" t="inlineStr">
        <is>
          <t>31.1.2026</t>
        </is>
      </c>
      <c r="K55" s="52" t="inlineStr">
        <is>
          <t>All</t>
        </is>
      </c>
      <c r="L55" s="52" t="inlineStr">
        <is>
          <t>All</t>
        </is>
      </c>
      <c r="M55" s="52" t="inlineStr">
        <is>
          <t>All</t>
        </is>
      </c>
      <c r="N55" s="52" t="n">
        <v>1</v>
      </c>
      <c r="O55" s="52" t="n">
        <v>0</v>
      </c>
      <c r="P55" s="58" t="n">
        <v>3547</v>
      </c>
      <c r="Q55" s="58">
        <f>P55*1.18</f>
        <v/>
      </c>
      <c r="R55" s="58" t="inlineStr">
        <is>
          <t>VAT1 activation data</t>
        </is>
      </c>
    </row>
    <row r="56">
      <c r="A56" s="57" t="n"/>
      <c r="B56" s="52" t="inlineStr">
        <is>
          <t>83EQ0044IN</t>
        </is>
      </c>
      <c r="C56" s="52" t="inlineStr">
        <is>
          <t>T2 Green</t>
        </is>
      </c>
      <c r="D56" s="52" t="inlineStr">
        <is>
          <t>Activation</t>
        </is>
      </c>
      <c r="E56" s="52" t="inlineStr">
        <is>
          <t>Inventory Management - Tactical Support</t>
        </is>
      </c>
      <c r="F56" s="52" t="n"/>
      <c r="G56" s="52" t="inlineStr">
        <is>
          <t>All VAT1</t>
        </is>
      </c>
      <c r="H56" s="52" t="inlineStr">
        <is>
          <t>T3</t>
        </is>
      </c>
      <c r="I56" s="56" t="inlineStr">
        <is>
          <t>1.1.2026</t>
        </is>
      </c>
      <c r="J56" s="56" t="inlineStr">
        <is>
          <t>31.1.2026</t>
        </is>
      </c>
      <c r="K56" s="52" t="inlineStr">
        <is>
          <t>All</t>
        </is>
      </c>
      <c r="L56" s="52" t="inlineStr">
        <is>
          <t>All</t>
        </is>
      </c>
      <c r="M56" s="52" t="inlineStr">
        <is>
          <t>All</t>
        </is>
      </c>
      <c r="N56" s="52" t="n">
        <v>1</v>
      </c>
      <c r="O56" s="52" t="n">
        <v>0</v>
      </c>
      <c r="P56" s="58" t="n">
        <v>3103</v>
      </c>
      <c r="Q56" s="58">
        <f>P56*1.18</f>
        <v/>
      </c>
      <c r="R56" s="58" t="inlineStr">
        <is>
          <t>VAT1 activation data</t>
        </is>
      </c>
    </row>
    <row r="57">
      <c r="A57" s="57" t="n"/>
      <c r="B57" s="52" t="inlineStr">
        <is>
          <t>83EQ0073IN</t>
        </is>
      </c>
      <c r="C57" s="52" t="inlineStr">
        <is>
          <t>T2 Green</t>
        </is>
      </c>
      <c r="D57" s="52" t="inlineStr">
        <is>
          <t>Activation</t>
        </is>
      </c>
      <c r="E57" s="52" t="inlineStr">
        <is>
          <t>Inventory Management - Tactical Support</t>
        </is>
      </c>
      <c r="F57" s="52" t="n"/>
      <c r="G57" s="52" t="inlineStr">
        <is>
          <t>All VAT1</t>
        </is>
      </c>
      <c r="H57" s="52" t="inlineStr">
        <is>
          <t>T3</t>
        </is>
      </c>
      <c r="I57" s="56" t="inlineStr">
        <is>
          <t>1.1.2026</t>
        </is>
      </c>
      <c r="J57" s="56" t="inlineStr">
        <is>
          <t>31.1.2026</t>
        </is>
      </c>
      <c r="K57" s="52" t="inlineStr">
        <is>
          <t>All</t>
        </is>
      </c>
      <c r="L57" s="52" t="inlineStr">
        <is>
          <t>All</t>
        </is>
      </c>
      <c r="M57" s="52" t="inlineStr">
        <is>
          <t>All</t>
        </is>
      </c>
      <c r="N57" s="52" t="n">
        <v>1</v>
      </c>
      <c r="O57" s="52" t="n">
        <v>0</v>
      </c>
      <c r="P57" s="58" t="n">
        <v>3124</v>
      </c>
      <c r="Q57" s="58">
        <f>P57*1.18</f>
        <v/>
      </c>
      <c r="R57" s="58" t="inlineStr">
        <is>
          <t>VAT1 activation data</t>
        </is>
      </c>
    </row>
    <row r="58">
      <c r="A58" s="57" t="n"/>
      <c r="B58" s="52" t="inlineStr">
        <is>
          <t>83ER008HIN</t>
        </is>
      </c>
      <c r="C58" s="52" t="inlineStr">
        <is>
          <t>T2 Green</t>
        </is>
      </c>
      <c r="D58" s="52" t="inlineStr">
        <is>
          <t>Activation</t>
        </is>
      </c>
      <c r="E58" s="52" t="inlineStr">
        <is>
          <t>Inventory Management - Tactical Support</t>
        </is>
      </c>
      <c r="F58" s="52" t="n"/>
      <c r="G58" s="52" t="inlineStr">
        <is>
          <t>All VAT1</t>
        </is>
      </c>
      <c r="H58" s="52" t="inlineStr">
        <is>
          <t>T3</t>
        </is>
      </c>
      <c r="I58" s="56" t="inlineStr">
        <is>
          <t>1.1.2026</t>
        </is>
      </c>
      <c r="J58" s="56" t="inlineStr">
        <is>
          <t>31.1.2026</t>
        </is>
      </c>
      <c r="K58" s="52" t="inlineStr">
        <is>
          <t>All</t>
        </is>
      </c>
      <c r="L58" s="52" t="inlineStr">
        <is>
          <t>All</t>
        </is>
      </c>
      <c r="M58" s="52" t="inlineStr">
        <is>
          <t>All</t>
        </is>
      </c>
      <c r="N58" s="52" t="n">
        <v>1</v>
      </c>
      <c r="O58" s="52" t="n">
        <v>0</v>
      </c>
      <c r="P58" s="58" t="n">
        <v>5423</v>
      </c>
      <c r="Q58" s="58">
        <f>P58*1.18</f>
        <v/>
      </c>
      <c r="R58" s="58" t="inlineStr">
        <is>
          <t>VAT1 activation data</t>
        </is>
      </c>
    </row>
    <row r="59">
      <c r="A59" s="57" t="n"/>
      <c r="B59" s="52" t="inlineStr">
        <is>
          <t>83ER008GIN</t>
        </is>
      </c>
      <c r="C59" s="52" t="inlineStr">
        <is>
          <t>T2 Green</t>
        </is>
      </c>
      <c r="D59" s="52" t="inlineStr">
        <is>
          <t>Activation</t>
        </is>
      </c>
      <c r="E59" s="52" t="inlineStr">
        <is>
          <t>Inventory Management - Tactical Support</t>
        </is>
      </c>
      <c r="F59" s="52" t="n"/>
      <c r="G59" s="52" t="inlineStr">
        <is>
          <t>All VAT1</t>
        </is>
      </c>
      <c r="H59" s="52" t="inlineStr">
        <is>
          <t>T3</t>
        </is>
      </c>
      <c r="I59" s="56" t="inlineStr">
        <is>
          <t>1.1.2026</t>
        </is>
      </c>
      <c r="J59" s="56" t="inlineStr">
        <is>
          <t>31.1.2026</t>
        </is>
      </c>
      <c r="K59" s="52" t="inlineStr">
        <is>
          <t>All</t>
        </is>
      </c>
      <c r="L59" s="52" t="inlineStr">
        <is>
          <t>All</t>
        </is>
      </c>
      <c r="M59" s="52" t="inlineStr">
        <is>
          <t>All</t>
        </is>
      </c>
      <c r="N59" s="52" t="n">
        <v>1</v>
      </c>
      <c r="O59" s="52" t="n">
        <v>0</v>
      </c>
      <c r="P59" s="58" t="n">
        <v>3728</v>
      </c>
      <c r="Q59" s="58">
        <f>P59*1.18</f>
        <v/>
      </c>
      <c r="R59" s="58" t="inlineStr">
        <is>
          <t>VAT1 activation data</t>
        </is>
      </c>
    </row>
    <row r="60">
      <c r="A60" s="57" t="n"/>
      <c r="B60" s="52" t="inlineStr">
        <is>
          <t>83ER008DIN</t>
        </is>
      </c>
      <c r="C60" s="52" t="inlineStr">
        <is>
          <t>T2 Green</t>
        </is>
      </c>
      <c r="D60" s="52" t="inlineStr">
        <is>
          <t>Activation</t>
        </is>
      </c>
      <c r="E60" s="52" t="inlineStr">
        <is>
          <t>Inventory Management - Tactical Support</t>
        </is>
      </c>
      <c r="F60" s="52" t="n"/>
      <c r="G60" s="52" t="inlineStr">
        <is>
          <t>All VAT1</t>
        </is>
      </c>
      <c r="H60" s="52" t="inlineStr">
        <is>
          <t>T3</t>
        </is>
      </c>
      <c r="I60" s="56" t="inlineStr">
        <is>
          <t>1.1.2026</t>
        </is>
      </c>
      <c r="J60" s="56" t="inlineStr">
        <is>
          <t>31.1.2026</t>
        </is>
      </c>
      <c r="K60" s="52" t="inlineStr">
        <is>
          <t>All</t>
        </is>
      </c>
      <c r="L60" s="52" t="inlineStr">
        <is>
          <t>All</t>
        </is>
      </c>
      <c r="M60" s="52" t="inlineStr">
        <is>
          <t>All</t>
        </is>
      </c>
      <c r="N60" s="52" t="n">
        <v>1</v>
      </c>
      <c r="O60" s="52" t="n">
        <v>0</v>
      </c>
      <c r="P60" s="58" t="n">
        <v>3141</v>
      </c>
      <c r="Q60" s="58">
        <f>P60*1.18</f>
        <v/>
      </c>
      <c r="R60" s="58" t="inlineStr">
        <is>
          <t>VAT1 activation data</t>
        </is>
      </c>
    </row>
    <row r="61">
      <c r="A61" s="57" t="n"/>
      <c r="B61" s="52" t="inlineStr">
        <is>
          <t>83ER00BCIN</t>
        </is>
      </c>
      <c r="C61" s="52" t="inlineStr">
        <is>
          <t>T2 Green</t>
        </is>
      </c>
      <c r="D61" s="52" t="inlineStr">
        <is>
          <t>Activation</t>
        </is>
      </c>
      <c r="E61" s="52" t="inlineStr">
        <is>
          <t>Inventory Management - Tactical Support</t>
        </is>
      </c>
      <c r="F61" s="52" t="n"/>
      <c r="G61" s="52" t="inlineStr">
        <is>
          <t>All VAT1</t>
        </is>
      </c>
      <c r="H61" s="52" t="inlineStr">
        <is>
          <t>T3</t>
        </is>
      </c>
      <c r="I61" s="56" t="inlineStr">
        <is>
          <t>1.1.2026</t>
        </is>
      </c>
      <c r="J61" s="56" t="inlineStr">
        <is>
          <t>31.1.2026</t>
        </is>
      </c>
      <c r="K61" s="52" t="inlineStr">
        <is>
          <t>All</t>
        </is>
      </c>
      <c r="L61" s="52" t="inlineStr">
        <is>
          <t>All</t>
        </is>
      </c>
      <c r="M61" s="52" t="inlineStr">
        <is>
          <t>All</t>
        </is>
      </c>
      <c r="N61" s="52" t="n">
        <v>1</v>
      </c>
      <c r="O61" s="52" t="n">
        <v>0</v>
      </c>
      <c r="P61" s="58" t="n">
        <v>3728</v>
      </c>
      <c r="Q61" s="58">
        <f>P61*1.18</f>
        <v/>
      </c>
      <c r="R61" s="58" t="inlineStr">
        <is>
          <t>VAT1 activation data</t>
        </is>
      </c>
    </row>
    <row r="62">
      <c r="A62" s="57" t="n"/>
      <c r="B62" s="52" t="inlineStr">
        <is>
          <t>83ER00MCIN</t>
        </is>
      </c>
      <c r="C62" s="52" t="inlineStr">
        <is>
          <t>T2 Green</t>
        </is>
      </c>
      <c r="D62" s="52" t="inlineStr">
        <is>
          <t>Activation</t>
        </is>
      </c>
      <c r="E62" s="52" t="inlineStr">
        <is>
          <t>Inventory Management - Tactical Support</t>
        </is>
      </c>
      <c r="F62" s="52" t="n"/>
      <c r="G62" s="52" t="inlineStr">
        <is>
          <t>All VAT1</t>
        </is>
      </c>
      <c r="H62" s="52" t="inlineStr">
        <is>
          <t>T3</t>
        </is>
      </c>
      <c r="I62" s="56" t="inlineStr">
        <is>
          <t>1.1.2026</t>
        </is>
      </c>
      <c r="J62" s="56" t="inlineStr">
        <is>
          <t>31.1.2026</t>
        </is>
      </c>
      <c r="K62" s="52" t="inlineStr">
        <is>
          <t>All</t>
        </is>
      </c>
      <c r="L62" s="52" t="inlineStr">
        <is>
          <t>All</t>
        </is>
      </c>
      <c r="M62" s="52" t="inlineStr">
        <is>
          <t>All</t>
        </is>
      </c>
      <c r="N62" s="52" t="n">
        <v>1</v>
      </c>
      <c r="O62" s="52" t="n">
        <v>0</v>
      </c>
      <c r="P62" s="58" t="n">
        <v>1609</v>
      </c>
      <c r="Q62" s="58">
        <f>P62*1.18</f>
        <v/>
      </c>
      <c r="R62" s="58" t="inlineStr">
        <is>
          <t>VAT1 activation data</t>
        </is>
      </c>
    </row>
    <row r="63">
      <c r="A63" s="57" t="n"/>
      <c r="B63" s="52" t="inlineStr">
        <is>
          <t>83ER00KPIN</t>
        </is>
      </c>
      <c r="C63" s="52" t="inlineStr">
        <is>
          <t>T2 Green</t>
        </is>
      </c>
      <c r="D63" s="52" t="inlineStr">
        <is>
          <t>Activation</t>
        </is>
      </c>
      <c r="E63" s="52" t="inlineStr">
        <is>
          <t>Inventory Management - Tactical Support</t>
        </is>
      </c>
      <c r="F63" s="52" t="n"/>
      <c r="G63" s="52" t="inlineStr">
        <is>
          <t>All VAT1</t>
        </is>
      </c>
      <c r="H63" s="52" t="inlineStr">
        <is>
          <t>T3</t>
        </is>
      </c>
      <c r="I63" s="56" t="inlineStr">
        <is>
          <t>1.1.2026</t>
        </is>
      </c>
      <c r="J63" s="56" t="inlineStr">
        <is>
          <t>31.1.2026</t>
        </is>
      </c>
      <c r="K63" s="52" t="inlineStr">
        <is>
          <t>All</t>
        </is>
      </c>
      <c r="L63" s="52" t="inlineStr">
        <is>
          <t>All</t>
        </is>
      </c>
      <c r="M63" s="52" t="inlineStr">
        <is>
          <t>All</t>
        </is>
      </c>
      <c r="N63" s="52" t="n">
        <v>1</v>
      </c>
      <c r="O63" s="52" t="n">
        <v>0</v>
      </c>
      <c r="P63" s="58" t="n">
        <v>2359</v>
      </c>
      <c r="Q63" s="58">
        <f>P63*1.18</f>
        <v/>
      </c>
      <c r="R63" s="58" t="inlineStr">
        <is>
          <t>VAT1 activation data</t>
        </is>
      </c>
    </row>
    <row r="64">
      <c r="A64" s="57" t="n"/>
      <c r="B64" s="52" t="inlineStr">
        <is>
          <t>83ER00KSIN</t>
        </is>
      </c>
      <c r="C64" s="52" t="inlineStr">
        <is>
          <t>T2 Green</t>
        </is>
      </c>
      <c r="D64" s="52" t="inlineStr">
        <is>
          <t>Activation</t>
        </is>
      </c>
      <c r="E64" s="52" t="inlineStr">
        <is>
          <t>Inventory Management - Tactical Support</t>
        </is>
      </c>
      <c r="F64" s="52" t="n"/>
      <c r="G64" s="52" t="inlineStr">
        <is>
          <t>All VAT1</t>
        </is>
      </c>
      <c r="H64" s="52" t="inlineStr">
        <is>
          <t>T3</t>
        </is>
      </c>
      <c r="I64" s="56" t="inlineStr">
        <is>
          <t>1.1.2026</t>
        </is>
      </c>
      <c r="J64" s="56" t="inlineStr">
        <is>
          <t>31.1.2026</t>
        </is>
      </c>
      <c r="K64" s="52" t="inlineStr">
        <is>
          <t>All</t>
        </is>
      </c>
      <c r="L64" s="52" t="inlineStr">
        <is>
          <t>All</t>
        </is>
      </c>
      <c r="M64" s="52" t="inlineStr">
        <is>
          <t>All</t>
        </is>
      </c>
      <c r="N64" s="52" t="n">
        <v>1</v>
      </c>
      <c r="O64" s="52" t="n">
        <v>0</v>
      </c>
      <c r="P64" s="58" t="n">
        <v>3728</v>
      </c>
      <c r="Q64" s="58">
        <f>P64*1.18</f>
        <v/>
      </c>
      <c r="R64" s="58" t="inlineStr">
        <is>
          <t>VAT1 activation data</t>
        </is>
      </c>
    </row>
    <row r="65">
      <c r="A65" s="57" t="n"/>
      <c r="B65" s="52" t="inlineStr">
        <is>
          <t>83EL0053IN</t>
        </is>
      </c>
      <c r="C65" s="52" t="inlineStr">
        <is>
          <t>T2 Green</t>
        </is>
      </c>
      <c r="D65" s="52" t="inlineStr">
        <is>
          <t>Activation</t>
        </is>
      </c>
      <c r="E65" s="52" t="inlineStr">
        <is>
          <t>Inventory Management - Tactical Support</t>
        </is>
      </c>
      <c r="F65" s="52" t="n"/>
      <c r="G65" s="52" t="inlineStr">
        <is>
          <t>All VAT1</t>
        </is>
      </c>
      <c r="H65" s="52" t="inlineStr">
        <is>
          <t>T3</t>
        </is>
      </c>
      <c r="I65" s="56" t="inlineStr">
        <is>
          <t>1.1.2026</t>
        </is>
      </c>
      <c r="J65" s="56" t="inlineStr">
        <is>
          <t>31.1.2026</t>
        </is>
      </c>
      <c r="K65" s="52" t="inlineStr">
        <is>
          <t>All</t>
        </is>
      </c>
      <c r="L65" s="52" t="inlineStr">
        <is>
          <t>All</t>
        </is>
      </c>
      <c r="M65" s="52" t="inlineStr">
        <is>
          <t>All</t>
        </is>
      </c>
      <c r="N65" s="52" t="n">
        <v>1</v>
      </c>
      <c r="O65" s="52" t="n">
        <v>0</v>
      </c>
      <c r="P65" s="58" t="n">
        <v>847</v>
      </c>
      <c r="Q65" s="58">
        <f>P65*1.18</f>
        <v/>
      </c>
      <c r="R65" s="58" t="inlineStr">
        <is>
          <t>VAT1 activation data</t>
        </is>
      </c>
    </row>
    <row r="66">
      <c r="A66" s="57" t="n"/>
      <c r="B66" s="52" t="inlineStr">
        <is>
          <t>83EM0023IN</t>
        </is>
      </c>
      <c r="C66" s="52" t="inlineStr">
        <is>
          <t>T2 Green</t>
        </is>
      </c>
      <c r="D66" s="52" t="inlineStr">
        <is>
          <t>Activation</t>
        </is>
      </c>
      <c r="E66" s="52" t="inlineStr">
        <is>
          <t>Inventory Management - Tactical Support</t>
        </is>
      </c>
      <c r="F66" s="52" t="n"/>
      <c r="G66" s="52" t="inlineStr">
        <is>
          <t>All VAT1</t>
        </is>
      </c>
      <c r="H66" s="52" t="inlineStr">
        <is>
          <t>T3</t>
        </is>
      </c>
      <c r="I66" s="56" t="inlineStr">
        <is>
          <t>1.1.2026</t>
        </is>
      </c>
      <c r="J66" s="56" t="inlineStr">
        <is>
          <t>31.1.2026</t>
        </is>
      </c>
      <c r="K66" s="52" t="inlineStr">
        <is>
          <t>All</t>
        </is>
      </c>
      <c r="L66" s="52" t="inlineStr">
        <is>
          <t>All</t>
        </is>
      </c>
      <c r="M66" s="52" t="inlineStr">
        <is>
          <t>All</t>
        </is>
      </c>
      <c r="N66" s="52" t="n">
        <v>1</v>
      </c>
      <c r="O66" s="52" t="n">
        <v>0</v>
      </c>
      <c r="P66" s="58" t="n">
        <v>1694</v>
      </c>
      <c r="Q66" s="58">
        <f>P66*1.18</f>
        <v/>
      </c>
      <c r="R66" s="58" t="inlineStr">
        <is>
          <t>VAT1 activation data</t>
        </is>
      </c>
    </row>
    <row r="67">
      <c r="A67" s="57" t="n"/>
      <c r="B67" s="52" t="inlineStr">
        <is>
          <t>83EM00GSIN</t>
        </is>
      </c>
      <c r="C67" s="52" t="inlineStr">
        <is>
          <t>T2 Green</t>
        </is>
      </c>
      <c r="D67" s="52" t="inlineStr">
        <is>
          <t>Activation</t>
        </is>
      </c>
      <c r="E67" s="52" t="inlineStr">
        <is>
          <t>Inventory Management - Tactical Support</t>
        </is>
      </c>
      <c r="F67" s="52" t="n"/>
      <c r="G67" s="52" t="inlineStr">
        <is>
          <t>All VAT1</t>
        </is>
      </c>
      <c r="H67" s="52" t="inlineStr">
        <is>
          <t>T3</t>
        </is>
      </c>
      <c r="I67" s="56" t="inlineStr">
        <is>
          <t>1.1.2026</t>
        </is>
      </c>
      <c r="J67" s="56" t="inlineStr">
        <is>
          <t>31.1.2026</t>
        </is>
      </c>
      <c r="K67" s="52" t="inlineStr">
        <is>
          <t>All</t>
        </is>
      </c>
      <c r="L67" s="52" t="inlineStr">
        <is>
          <t>All</t>
        </is>
      </c>
      <c r="M67" s="52" t="inlineStr">
        <is>
          <t>All</t>
        </is>
      </c>
      <c r="N67" s="52" t="n">
        <v>1</v>
      </c>
      <c r="O67" s="52" t="n">
        <v>0</v>
      </c>
      <c r="P67" s="58" t="n">
        <v>1694</v>
      </c>
      <c r="Q67" s="58">
        <f>P67*1.18</f>
        <v/>
      </c>
      <c r="R67" s="58" t="inlineStr">
        <is>
          <t>VAT1 activation data</t>
        </is>
      </c>
    </row>
    <row r="68">
      <c r="A68" s="57" t="n"/>
      <c r="B68" s="52" t="inlineStr">
        <is>
          <t>83EM00H0IN</t>
        </is>
      </c>
      <c r="C68" s="52" t="inlineStr">
        <is>
          <t>T2 Green</t>
        </is>
      </c>
      <c r="D68" s="52" t="inlineStr">
        <is>
          <t>Activation</t>
        </is>
      </c>
      <c r="E68" s="52" t="inlineStr">
        <is>
          <t>Inventory Management - Tactical Support</t>
        </is>
      </c>
      <c r="F68" s="52" t="n"/>
      <c r="G68" s="52" t="inlineStr">
        <is>
          <t>All VAT1</t>
        </is>
      </c>
      <c r="H68" s="52" t="inlineStr">
        <is>
          <t>T3</t>
        </is>
      </c>
      <c r="I68" s="56" t="inlineStr">
        <is>
          <t>1.1.2026</t>
        </is>
      </c>
      <c r="J68" s="56" t="inlineStr">
        <is>
          <t>31.1.2026</t>
        </is>
      </c>
      <c r="K68" s="52" t="inlineStr">
        <is>
          <t>All</t>
        </is>
      </c>
      <c r="L68" s="52" t="inlineStr">
        <is>
          <t>All</t>
        </is>
      </c>
      <c r="M68" s="52" t="inlineStr">
        <is>
          <t>All</t>
        </is>
      </c>
      <c r="N68" s="52" t="n">
        <v>1</v>
      </c>
      <c r="O68" s="52" t="n">
        <v>0</v>
      </c>
      <c r="P68" s="58" t="n">
        <v>2543</v>
      </c>
      <c r="Q68" s="58">
        <f>P68*1.18</f>
        <v/>
      </c>
      <c r="R68" s="58" t="inlineStr">
        <is>
          <t>VAT1 activation data</t>
        </is>
      </c>
    </row>
    <row r="69">
      <c r="A69" s="57" t="n"/>
      <c r="B69" s="52" t="inlineStr">
        <is>
          <t>83K100C6IN</t>
        </is>
      </c>
      <c r="C69" s="52" t="inlineStr">
        <is>
          <t>T2 Green</t>
        </is>
      </c>
      <c r="D69" s="52" t="inlineStr">
        <is>
          <t>Activation</t>
        </is>
      </c>
      <c r="E69" s="52" t="inlineStr">
        <is>
          <t>Inventory Management - Tactical Support</t>
        </is>
      </c>
      <c r="F69" s="52" t="n"/>
      <c r="G69" s="52" t="inlineStr">
        <is>
          <t>All VAT1</t>
        </is>
      </c>
      <c r="H69" s="52" t="inlineStr">
        <is>
          <t>T3</t>
        </is>
      </c>
      <c r="I69" s="56" t="inlineStr">
        <is>
          <t>1.1.2026</t>
        </is>
      </c>
      <c r="J69" s="56" t="inlineStr">
        <is>
          <t>31.1.2026</t>
        </is>
      </c>
      <c r="K69" s="52" t="inlineStr">
        <is>
          <t>All</t>
        </is>
      </c>
      <c r="L69" s="52" t="inlineStr">
        <is>
          <t>All</t>
        </is>
      </c>
      <c r="M69" s="52" t="inlineStr">
        <is>
          <t>All</t>
        </is>
      </c>
      <c r="N69" s="52" t="n">
        <v>1</v>
      </c>
      <c r="O69" s="52" t="n">
        <v>0</v>
      </c>
      <c r="P69" s="58" t="n">
        <v>2542</v>
      </c>
      <c r="Q69" s="58">
        <f>P69*1.18</f>
        <v/>
      </c>
      <c r="R69" s="58" t="inlineStr">
        <is>
          <t>VAT1 activation data</t>
        </is>
      </c>
    </row>
    <row r="70">
      <c r="A70" s="57" t="n"/>
      <c r="B70" s="52" t="inlineStr">
        <is>
          <t>83K100CGIN</t>
        </is>
      </c>
      <c r="C70" s="52" t="inlineStr">
        <is>
          <t>T2 Green</t>
        </is>
      </c>
      <c r="D70" s="52" t="inlineStr">
        <is>
          <t>Activation</t>
        </is>
      </c>
      <c r="E70" s="52" t="inlineStr">
        <is>
          <t>Inventory Management - Tactical Support</t>
        </is>
      </c>
      <c r="F70" s="52" t="n"/>
      <c r="G70" s="52" t="inlineStr">
        <is>
          <t>All VAT1</t>
        </is>
      </c>
      <c r="H70" s="52" t="inlineStr">
        <is>
          <t>T3</t>
        </is>
      </c>
      <c r="I70" s="56" t="inlineStr">
        <is>
          <t>1.1.2026</t>
        </is>
      </c>
      <c r="J70" s="56" t="inlineStr">
        <is>
          <t>31.1.2026</t>
        </is>
      </c>
      <c r="K70" s="52" t="inlineStr">
        <is>
          <t>All</t>
        </is>
      </c>
      <c r="L70" s="52" t="inlineStr">
        <is>
          <t>All</t>
        </is>
      </c>
      <c r="M70" s="52" t="inlineStr">
        <is>
          <t>All</t>
        </is>
      </c>
      <c r="N70" s="52" t="n">
        <v>1</v>
      </c>
      <c r="O70" s="52" t="n">
        <v>0</v>
      </c>
      <c r="P70" s="58" t="n">
        <v>1101</v>
      </c>
      <c r="Q70" s="58">
        <f>P70*1.18</f>
        <v/>
      </c>
      <c r="R70" s="58" t="inlineStr">
        <is>
          <t>VAT1 activation data</t>
        </is>
      </c>
    </row>
    <row r="71">
      <c r="A71" s="57" t="n"/>
      <c r="B71" s="52" t="inlineStr">
        <is>
          <t>83K000B8IN</t>
        </is>
      </c>
      <c r="C71" s="52" t="inlineStr">
        <is>
          <t>T2 Green</t>
        </is>
      </c>
      <c r="D71" s="52" t="inlineStr">
        <is>
          <t>Activation</t>
        </is>
      </c>
      <c r="E71" s="52" t="inlineStr">
        <is>
          <t>Inventory Management - Tactical Support</t>
        </is>
      </c>
      <c r="F71" s="52" t="n"/>
      <c r="G71" s="52" t="inlineStr">
        <is>
          <t>All VAT1</t>
        </is>
      </c>
      <c r="H71" s="52" t="inlineStr">
        <is>
          <t>T3</t>
        </is>
      </c>
      <c r="I71" s="56" t="inlineStr">
        <is>
          <t>1.1.2026</t>
        </is>
      </c>
      <c r="J71" s="56" t="inlineStr">
        <is>
          <t>31.1.2026</t>
        </is>
      </c>
      <c r="K71" s="52" t="inlineStr">
        <is>
          <t>All</t>
        </is>
      </c>
      <c r="L71" s="52" t="inlineStr">
        <is>
          <t>All</t>
        </is>
      </c>
      <c r="M71" s="52" t="inlineStr">
        <is>
          <t>All</t>
        </is>
      </c>
      <c r="N71" s="52" t="n">
        <v>1</v>
      </c>
      <c r="O71" s="52" t="n">
        <v>0</v>
      </c>
      <c r="P71" s="58" t="n">
        <v>1695</v>
      </c>
      <c r="Q71" s="58">
        <f>P71*1.18</f>
        <v/>
      </c>
      <c r="R71" s="58" t="inlineStr">
        <is>
          <t>VAT1 activation data</t>
        </is>
      </c>
    </row>
    <row r="72">
      <c r="A72" s="57" t="n"/>
      <c r="B72" s="52" t="inlineStr">
        <is>
          <t>83K100C7IN</t>
        </is>
      </c>
      <c r="C72" s="52" t="inlineStr">
        <is>
          <t>T2 Green</t>
        </is>
      </c>
      <c r="D72" s="52" t="inlineStr">
        <is>
          <t>Activation</t>
        </is>
      </c>
      <c r="E72" s="52" t="inlineStr">
        <is>
          <t>Inventory Management - Tactical Support</t>
        </is>
      </c>
      <c r="F72" s="52" t="n"/>
      <c r="G72" s="52" t="inlineStr">
        <is>
          <t>All VAT1</t>
        </is>
      </c>
      <c r="H72" s="52" t="inlineStr">
        <is>
          <t>T3</t>
        </is>
      </c>
      <c r="I72" s="56" t="inlineStr">
        <is>
          <t>1.1.2026</t>
        </is>
      </c>
      <c r="J72" s="56" t="inlineStr">
        <is>
          <t>31.1.2026</t>
        </is>
      </c>
      <c r="K72" s="52" t="inlineStr">
        <is>
          <t>All</t>
        </is>
      </c>
      <c r="L72" s="52" t="inlineStr">
        <is>
          <t>All</t>
        </is>
      </c>
      <c r="M72" s="52" t="inlineStr">
        <is>
          <t>All</t>
        </is>
      </c>
      <c r="N72" s="52" t="n">
        <v>1</v>
      </c>
      <c r="O72" s="52" t="n">
        <v>0</v>
      </c>
      <c r="P72" s="58" t="n">
        <v>2542</v>
      </c>
      <c r="Q72" s="58">
        <f>P72*1.18</f>
        <v/>
      </c>
      <c r="R72" s="58" t="inlineStr">
        <is>
          <t>VAT1 activation data</t>
        </is>
      </c>
    </row>
    <row r="73">
      <c r="A73" s="57" t="n"/>
      <c r="B73" s="52" t="inlineStr">
        <is>
          <t>83K100HSIN</t>
        </is>
      </c>
      <c r="C73" s="52" t="inlineStr">
        <is>
          <t>T2 Green</t>
        </is>
      </c>
      <c r="D73" s="52" t="inlineStr">
        <is>
          <t>Activation</t>
        </is>
      </c>
      <c r="E73" s="52" t="inlineStr">
        <is>
          <t>Inventory Management - Tactical Support</t>
        </is>
      </c>
      <c r="F73" s="52" t="n"/>
      <c r="G73" s="52" t="inlineStr">
        <is>
          <t>All VAT1</t>
        </is>
      </c>
      <c r="H73" s="52" t="inlineStr">
        <is>
          <t>T3</t>
        </is>
      </c>
      <c r="I73" s="56" t="inlineStr">
        <is>
          <t>1.1.2026</t>
        </is>
      </c>
      <c r="J73" s="56" t="inlineStr">
        <is>
          <t>31.1.2026</t>
        </is>
      </c>
      <c r="K73" s="52" t="inlineStr">
        <is>
          <t>All</t>
        </is>
      </c>
      <c r="L73" s="52" t="inlineStr">
        <is>
          <t>All</t>
        </is>
      </c>
      <c r="M73" s="52" t="inlineStr">
        <is>
          <t>All</t>
        </is>
      </c>
      <c r="N73" s="52" t="n">
        <v>1</v>
      </c>
      <c r="O73" s="52" t="n">
        <v>0</v>
      </c>
      <c r="P73" s="58" t="n">
        <v>2542</v>
      </c>
      <c r="Q73" s="58">
        <f>P73*1.18</f>
        <v/>
      </c>
      <c r="R73" s="58" t="inlineStr">
        <is>
          <t>VAT1 activation data</t>
        </is>
      </c>
    </row>
    <row r="74">
      <c r="A74" s="57" t="n"/>
      <c r="B74" s="52" t="inlineStr">
        <is>
          <t>83E6001UIN</t>
        </is>
      </c>
      <c r="C74" s="52" t="inlineStr">
        <is>
          <t>T2 Green</t>
        </is>
      </c>
      <c r="D74" s="52" t="inlineStr">
        <is>
          <t>Activation</t>
        </is>
      </c>
      <c r="E74" s="52" t="inlineStr">
        <is>
          <t>Inventory Management - Tactical Support</t>
        </is>
      </c>
      <c r="F74" s="52" t="n"/>
      <c r="G74" s="52" t="inlineStr">
        <is>
          <t>All VAT1</t>
        </is>
      </c>
      <c r="H74" s="52" t="inlineStr">
        <is>
          <t>T3</t>
        </is>
      </c>
      <c r="I74" s="56" t="inlineStr">
        <is>
          <t>1.1.2026</t>
        </is>
      </c>
      <c r="J74" s="56" t="inlineStr">
        <is>
          <t>31.1.2026</t>
        </is>
      </c>
      <c r="K74" s="52" t="inlineStr">
        <is>
          <t>All</t>
        </is>
      </c>
      <c r="L74" s="52" t="inlineStr">
        <is>
          <t>All</t>
        </is>
      </c>
      <c r="M74" s="52" t="inlineStr">
        <is>
          <t>All</t>
        </is>
      </c>
      <c r="N74" s="52" t="n">
        <v>1</v>
      </c>
      <c r="O74" s="52" t="n">
        <v>0</v>
      </c>
      <c r="P74" s="58" t="n">
        <v>4661</v>
      </c>
      <c r="Q74" s="58">
        <f>P74*1.18</f>
        <v/>
      </c>
      <c r="R74" s="58" t="inlineStr">
        <is>
          <t>VAT1 activation data</t>
        </is>
      </c>
    </row>
    <row r="75">
      <c r="A75" s="57" t="n"/>
      <c r="B75" s="52" t="inlineStr">
        <is>
          <t>82RK011GIN</t>
        </is>
      </c>
      <c r="C75" s="52" t="inlineStr">
        <is>
          <t>T2 Green</t>
        </is>
      </c>
      <c r="D75" s="52" t="inlineStr">
        <is>
          <t>Activation</t>
        </is>
      </c>
      <c r="E75" s="52" t="inlineStr">
        <is>
          <t>Inventory Management - Tactical Support</t>
        </is>
      </c>
      <c r="F75" s="52" t="n"/>
      <c r="G75" s="52" t="inlineStr">
        <is>
          <t>All VAT1</t>
        </is>
      </c>
      <c r="H75" s="52" t="inlineStr">
        <is>
          <t>T3</t>
        </is>
      </c>
      <c r="I75" s="56" t="inlineStr">
        <is>
          <t>1.1.2026</t>
        </is>
      </c>
      <c r="J75" s="56" t="inlineStr">
        <is>
          <t>31.1.2026</t>
        </is>
      </c>
      <c r="K75" s="52" t="inlineStr">
        <is>
          <t>All</t>
        </is>
      </c>
      <c r="L75" s="52" t="inlineStr">
        <is>
          <t>All</t>
        </is>
      </c>
      <c r="M75" s="52" t="inlineStr">
        <is>
          <t>All</t>
        </is>
      </c>
      <c r="N75" s="52" t="n">
        <v>1</v>
      </c>
      <c r="O75" s="52" t="n">
        <v>0</v>
      </c>
      <c r="P75" s="58" t="n">
        <v>1695</v>
      </c>
      <c r="Q75" s="58">
        <f>P75*1.18</f>
        <v/>
      </c>
      <c r="R75" s="58" t="inlineStr">
        <is>
          <t>VAT1 activation data</t>
        </is>
      </c>
    </row>
    <row r="76">
      <c r="A76" s="57" t="n"/>
      <c r="B76" s="52" t="inlineStr">
        <is>
          <t>82RK011FIN</t>
        </is>
      </c>
      <c r="C76" s="52" t="inlineStr">
        <is>
          <t>T2 Green</t>
        </is>
      </c>
      <c r="D76" s="52" t="inlineStr">
        <is>
          <t>Activation</t>
        </is>
      </c>
      <c r="E76" s="52" t="inlineStr">
        <is>
          <t>Inventory Management - Tactical Support</t>
        </is>
      </c>
      <c r="F76" s="52" t="n"/>
      <c r="G76" s="52" t="inlineStr">
        <is>
          <t>All VAT1</t>
        </is>
      </c>
      <c r="H76" s="52" t="inlineStr">
        <is>
          <t>T3</t>
        </is>
      </c>
      <c r="I76" s="56" t="inlineStr">
        <is>
          <t>1.1.2026</t>
        </is>
      </c>
      <c r="J76" s="56" t="inlineStr">
        <is>
          <t>31.1.2026</t>
        </is>
      </c>
      <c r="K76" s="52" t="inlineStr">
        <is>
          <t>All</t>
        </is>
      </c>
      <c r="L76" s="52" t="inlineStr">
        <is>
          <t>All</t>
        </is>
      </c>
      <c r="M76" s="52" t="inlineStr">
        <is>
          <t>All</t>
        </is>
      </c>
      <c r="N76" s="52" t="n">
        <v>1</v>
      </c>
      <c r="O76" s="52" t="n">
        <v>0</v>
      </c>
      <c r="P76" s="58" t="n">
        <v>1695</v>
      </c>
      <c r="Q76" s="58">
        <f>P76*1.18</f>
        <v/>
      </c>
      <c r="R76" s="58" t="inlineStr">
        <is>
          <t>VAT1 activation data</t>
        </is>
      </c>
    </row>
    <row r="77">
      <c r="A77" s="57" t="n"/>
      <c r="B77" s="52" t="inlineStr">
        <is>
          <t>82RK011EIN</t>
        </is>
      </c>
      <c r="C77" s="52" t="inlineStr">
        <is>
          <t>T2 Green</t>
        </is>
      </c>
      <c r="D77" s="52" t="inlineStr">
        <is>
          <t>Activation</t>
        </is>
      </c>
      <c r="E77" s="52" t="inlineStr">
        <is>
          <t>Inventory Management - Tactical Support</t>
        </is>
      </c>
      <c r="F77" s="52" t="n"/>
      <c r="G77" s="52" t="inlineStr">
        <is>
          <t>All VAT1</t>
        </is>
      </c>
      <c r="H77" s="52" t="inlineStr">
        <is>
          <t>T3</t>
        </is>
      </c>
      <c r="I77" s="56" t="inlineStr">
        <is>
          <t>1.1.2026</t>
        </is>
      </c>
      <c r="J77" s="56" t="inlineStr">
        <is>
          <t>31.1.2026</t>
        </is>
      </c>
      <c r="K77" s="52" t="inlineStr">
        <is>
          <t>All</t>
        </is>
      </c>
      <c r="L77" s="52" t="inlineStr">
        <is>
          <t>All</t>
        </is>
      </c>
      <c r="M77" s="52" t="inlineStr">
        <is>
          <t>All</t>
        </is>
      </c>
      <c r="N77" s="52" t="n">
        <v>1</v>
      </c>
      <c r="O77" s="52" t="n">
        <v>0</v>
      </c>
      <c r="P77" s="58" t="n">
        <v>1695</v>
      </c>
      <c r="Q77" s="58">
        <f>P77*1.18</f>
        <v/>
      </c>
      <c r="R77" s="58" t="inlineStr">
        <is>
          <t>VAT1 activation data</t>
        </is>
      </c>
    </row>
    <row r="78">
      <c r="A78" s="57" t="n"/>
      <c r="B78" s="52" t="inlineStr">
        <is>
          <t>83EM00GXIN</t>
        </is>
      </c>
      <c r="C78" s="52" t="inlineStr">
        <is>
          <t>T2 Green</t>
        </is>
      </c>
      <c r="D78" s="52" t="inlineStr">
        <is>
          <t>Activation</t>
        </is>
      </c>
      <c r="E78" s="52" t="inlineStr">
        <is>
          <t>Inventory Management - Tactical Support</t>
        </is>
      </c>
      <c r="F78" s="52" t="n"/>
      <c r="G78" s="52" t="inlineStr">
        <is>
          <t>All VAT1</t>
        </is>
      </c>
      <c r="H78" s="52" t="inlineStr">
        <is>
          <t>T3</t>
        </is>
      </c>
      <c r="I78" s="56" t="inlineStr">
        <is>
          <t>1.1.2026</t>
        </is>
      </c>
      <c r="J78" s="56" t="inlineStr">
        <is>
          <t>31.1.2026</t>
        </is>
      </c>
      <c r="K78" s="52" t="inlineStr">
        <is>
          <t>All</t>
        </is>
      </c>
      <c r="L78" s="52" t="inlineStr">
        <is>
          <t>All</t>
        </is>
      </c>
      <c r="M78" s="52" t="inlineStr">
        <is>
          <t>All</t>
        </is>
      </c>
      <c r="N78" s="52" t="n">
        <v>1</v>
      </c>
      <c r="O78" s="52" t="n">
        <v>0</v>
      </c>
      <c r="P78" s="58" t="n">
        <v>1017</v>
      </c>
      <c r="Q78" s="58">
        <f>P78*1.18</f>
        <v/>
      </c>
      <c r="R78" s="58" t="inlineStr">
        <is>
          <t>VAT1 activation data</t>
        </is>
      </c>
    </row>
    <row r="79">
      <c r="A79" s="57" t="n"/>
      <c r="B79" s="52" t="inlineStr">
        <is>
          <t>83K100CJIN</t>
        </is>
      </c>
      <c r="C79" s="52" t="inlineStr">
        <is>
          <t>T2 Green</t>
        </is>
      </c>
      <c r="D79" s="52" t="inlineStr">
        <is>
          <t>Activation</t>
        </is>
      </c>
      <c r="E79" s="52" t="inlineStr">
        <is>
          <t>Inventory Management - Tactical Support</t>
        </is>
      </c>
      <c r="F79" s="52" t="n"/>
      <c r="G79" s="52" t="inlineStr">
        <is>
          <t>All VAT1</t>
        </is>
      </c>
      <c r="H79" s="52" t="inlineStr">
        <is>
          <t>T3</t>
        </is>
      </c>
      <c r="I79" s="56" t="inlineStr">
        <is>
          <t>1.1.2026</t>
        </is>
      </c>
      <c r="J79" s="56" t="inlineStr">
        <is>
          <t>31.1.2026</t>
        </is>
      </c>
      <c r="K79" s="52" t="inlineStr">
        <is>
          <t>All</t>
        </is>
      </c>
      <c r="L79" s="52" t="inlineStr">
        <is>
          <t>All</t>
        </is>
      </c>
      <c r="M79" s="52" t="inlineStr">
        <is>
          <t>All</t>
        </is>
      </c>
      <c r="N79" s="52" t="n">
        <v>1</v>
      </c>
      <c r="O79" s="52" t="n">
        <v>0</v>
      </c>
      <c r="P79" s="58" t="n">
        <v>3770</v>
      </c>
      <c r="Q79" s="58">
        <f>P79*1.18</f>
        <v/>
      </c>
      <c r="R79" s="58" t="inlineStr">
        <is>
          <t>VAT1 activation data</t>
        </is>
      </c>
    </row>
    <row r="80">
      <c r="A80" s="57" t="n"/>
      <c r="B80" s="52" t="inlineStr">
        <is>
          <t>83K100C9IN</t>
        </is>
      </c>
      <c r="C80" s="52" t="inlineStr">
        <is>
          <t>T2 Green</t>
        </is>
      </c>
      <c r="D80" s="52" t="inlineStr">
        <is>
          <t>Activation</t>
        </is>
      </c>
      <c r="E80" s="52" t="inlineStr">
        <is>
          <t>Inventory Management - Tactical Support</t>
        </is>
      </c>
      <c r="F80" s="52" t="n"/>
      <c r="G80" s="52" t="inlineStr">
        <is>
          <t>All VAT1</t>
        </is>
      </c>
      <c r="H80" s="52" t="inlineStr">
        <is>
          <t>T3</t>
        </is>
      </c>
      <c r="I80" s="56" t="inlineStr">
        <is>
          <t>1.1.2026</t>
        </is>
      </c>
      <c r="J80" s="56" t="inlineStr">
        <is>
          <t>31.1.2026</t>
        </is>
      </c>
      <c r="K80" s="52" t="inlineStr">
        <is>
          <t>All</t>
        </is>
      </c>
      <c r="L80" s="52" t="inlineStr">
        <is>
          <t>All</t>
        </is>
      </c>
      <c r="M80" s="52" t="inlineStr">
        <is>
          <t>All</t>
        </is>
      </c>
      <c r="N80" s="52" t="n">
        <v>1</v>
      </c>
      <c r="O80" s="52" t="n">
        <v>0</v>
      </c>
      <c r="P80" s="58" t="n">
        <v>3770</v>
      </c>
      <c r="Q80" s="58">
        <f>P80*1.18</f>
        <v/>
      </c>
      <c r="R80" s="58" t="inlineStr">
        <is>
          <t>VAT1 activation data</t>
        </is>
      </c>
    </row>
    <row r="81">
      <c r="A81" s="57" t="n"/>
      <c r="B81" s="52" t="inlineStr">
        <is>
          <t>83K100CPIN</t>
        </is>
      </c>
      <c r="C81" s="52" t="inlineStr">
        <is>
          <t>T2 Green</t>
        </is>
      </c>
      <c r="D81" s="52" t="inlineStr">
        <is>
          <t>Activation</t>
        </is>
      </c>
      <c r="E81" s="52" t="inlineStr">
        <is>
          <t>Inventory Management - Tactical Support</t>
        </is>
      </c>
      <c r="F81" s="52" t="n"/>
      <c r="G81" s="52" t="inlineStr">
        <is>
          <t>All VAT1</t>
        </is>
      </c>
      <c r="H81" s="52" t="inlineStr">
        <is>
          <t>T3</t>
        </is>
      </c>
      <c r="I81" s="56" t="inlineStr">
        <is>
          <t>1.1.2026</t>
        </is>
      </c>
      <c r="J81" s="56" t="inlineStr">
        <is>
          <t>31.1.2026</t>
        </is>
      </c>
      <c r="K81" s="52" t="inlineStr">
        <is>
          <t>All</t>
        </is>
      </c>
      <c r="L81" s="52" t="inlineStr">
        <is>
          <t>All</t>
        </is>
      </c>
      <c r="M81" s="52" t="inlineStr">
        <is>
          <t>All</t>
        </is>
      </c>
      <c r="N81" s="52" t="n">
        <v>1</v>
      </c>
      <c r="O81" s="52" t="n">
        <v>0</v>
      </c>
      <c r="P81" s="58" t="n">
        <v>678</v>
      </c>
      <c r="Q81" s="58">
        <f>P81*1.18</f>
        <v/>
      </c>
      <c r="R81" s="58" t="inlineStr">
        <is>
          <t>VAT1 activation data</t>
        </is>
      </c>
    </row>
    <row r="82">
      <c r="A82" s="57" t="n"/>
      <c r="B82" s="52" t="inlineStr">
        <is>
          <t>83N30020IN</t>
        </is>
      </c>
      <c r="C82" s="52" t="inlineStr">
        <is>
          <t>T2 Green</t>
        </is>
      </c>
      <c r="D82" s="52" t="inlineStr">
        <is>
          <t>Activation</t>
        </is>
      </c>
      <c r="E82" s="52" t="inlineStr">
        <is>
          <t>Inventory Management - Tactical Support</t>
        </is>
      </c>
      <c r="F82" s="52" t="n"/>
      <c r="G82" s="52" t="inlineStr">
        <is>
          <t>All VAT1</t>
        </is>
      </c>
      <c r="H82" s="52" t="inlineStr">
        <is>
          <t>T3</t>
        </is>
      </c>
      <c r="I82" s="56" t="inlineStr">
        <is>
          <t>1.1.2026</t>
        </is>
      </c>
      <c r="J82" s="56" t="inlineStr">
        <is>
          <t>31.1.2026</t>
        </is>
      </c>
      <c r="K82" s="52" t="inlineStr">
        <is>
          <t>All</t>
        </is>
      </c>
      <c r="L82" s="52" t="inlineStr">
        <is>
          <t>All</t>
        </is>
      </c>
      <c r="M82" s="52" t="inlineStr">
        <is>
          <t>All</t>
        </is>
      </c>
      <c r="N82" s="52" t="n">
        <v>1</v>
      </c>
      <c r="O82" s="52" t="n">
        <v>0</v>
      </c>
      <c r="P82" s="58" t="n">
        <v>3632</v>
      </c>
      <c r="Q82" s="58">
        <f>P82*1.18</f>
        <v/>
      </c>
      <c r="R82" s="58" t="inlineStr">
        <is>
          <t>VAT1 activation data</t>
        </is>
      </c>
    </row>
    <row r="83">
      <c r="A83" s="57" t="n"/>
      <c r="B83" s="52" t="inlineStr">
        <is>
          <t>82VG00ESIN</t>
        </is>
      </c>
      <c r="C83" s="52" t="inlineStr">
        <is>
          <t>T2 Green</t>
        </is>
      </c>
      <c r="D83" s="52" t="inlineStr">
        <is>
          <t>Activation</t>
        </is>
      </c>
      <c r="E83" s="52" t="inlineStr">
        <is>
          <t>Inventory Management - Tactical Support</t>
        </is>
      </c>
      <c r="F83" s="52" t="n"/>
      <c r="G83" s="52" t="inlineStr">
        <is>
          <t>All VAT1</t>
        </is>
      </c>
      <c r="H83" s="52" t="inlineStr">
        <is>
          <t>T3</t>
        </is>
      </c>
      <c r="I83" s="56" t="inlineStr">
        <is>
          <t>1.1.2026</t>
        </is>
      </c>
      <c r="J83" s="56" t="inlineStr">
        <is>
          <t>31.1.2026</t>
        </is>
      </c>
      <c r="K83" s="52" t="inlineStr">
        <is>
          <t>All</t>
        </is>
      </c>
      <c r="L83" s="52" t="inlineStr">
        <is>
          <t>All</t>
        </is>
      </c>
      <c r="M83" s="52" t="inlineStr">
        <is>
          <t>All</t>
        </is>
      </c>
      <c r="N83" s="52" t="n">
        <v>1</v>
      </c>
      <c r="O83" s="52" t="n">
        <v>0</v>
      </c>
      <c r="P83" s="58" t="n">
        <v>342</v>
      </c>
      <c r="Q83" s="58">
        <f>P83*1.18</f>
        <v/>
      </c>
      <c r="R83" s="58" t="inlineStr">
        <is>
          <t>VAT1 activation data</t>
        </is>
      </c>
    </row>
    <row r="84">
      <c r="A84" s="57" t="n"/>
      <c r="B84" s="52" t="inlineStr">
        <is>
          <t>82XM011AIN</t>
        </is>
      </c>
      <c r="C84" s="52" t="inlineStr">
        <is>
          <t>T2 Green</t>
        </is>
      </c>
      <c r="D84" s="52" t="inlineStr">
        <is>
          <t>Activation</t>
        </is>
      </c>
      <c r="E84" s="52" t="inlineStr">
        <is>
          <t>Inventory Management - Tactical Support</t>
        </is>
      </c>
      <c r="F84" s="52" t="n"/>
      <c r="G84" s="52" t="inlineStr">
        <is>
          <t>All VAT1</t>
        </is>
      </c>
      <c r="H84" s="52" t="inlineStr">
        <is>
          <t>T3</t>
        </is>
      </c>
      <c r="I84" s="56" t="inlineStr">
        <is>
          <t>1.1.2026</t>
        </is>
      </c>
      <c r="J84" s="56" t="inlineStr">
        <is>
          <t>31.1.2026</t>
        </is>
      </c>
      <c r="K84" s="52" t="inlineStr">
        <is>
          <t>All</t>
        </is>
      </c>
      <c r="L84" s="52" t="inlineStr">
        <is>
          <t>All</t>
        </is>
      </c>
      <c r="M84" s="52" t="inlineStr">
        <is>
          <t>All</t>
        </is>
      </c>
      <c r="N84" s="52" t="n">
        <v>1</v>
      </c>
      <c r="O84" s="52" t="n">
        <v>0</v>
      </c>
      <c r="P84" s="58" t="n">
        <v>1709</v>
      </c>
      <c r="Q84" s="58">
        <f>P84*1.18</f>
        <v/>
      </c>
      <c r="R84" s="58" t="inlineStr">
        <is>
          <t>VAT1 activation data</t>
        </is>
      </c>
    </row>
    <row r="85">
      <c r="A85" s="57" t="n"/>
      <c r="B85" s="52" t="inlineStr">
        <is>
          <t>82XM00U9IN</t>
        </is>
      </c>
      <c r="C85" s="52" t="inlineStr">
        <is>
          <t>T2 Green</t>
        </is>
      </c>
      <c r="D85" s="52" t="inlineStr">
        <is>
          <t>Activation</t>
        </is>
      </c>
      <c r="E85" s="52" t="inlineStr">
        <is>
          <t>Inventory Management - Tactical Support</t>
        </is>
      </c>
      <c r="F85" s="52" t="n"/>
      <c r="G85" s="52" t="inlineStr">
        <is>
          <t>All VAT1</t>
        </is>
      </c>
      <c r="H85" s="52" t="inlineStr">
        <is>
          <t>T3</t>
        </is>
      </c>
      <c r="I85" s="56" t="inlineStr">
        <is>
          <t>1.1.2026</t>
        </is>
      </c>
      <c r="J85" s="56" t="inlineStr">
        <is>
          <t>31.1.2026</t>
        </is>
      </c>
      <c r="K85" s="52" t="inlineStr">
        <is>
          <t>All</t>
        </is>
      </c>
      <c r="L85" s="52" t="inlineStr">
        <is>
          <t>All</t>
        </is>
      </c>
      <c r="M85" s="52" t="inlineStr">
        <is>
          <t>All</t>
        </is>
      </c>
      <c r="N85" s="52" t="n">
        <v>1</v>
      </c>
      <c r="O85" s="52" t="n">
        <v>0</v>
      </c>
      <c r="P85" s="58" t="n">
        <v>1709</v>
      </c>
      <c r="Q85" s="58">
        <f>P85*1.18</f>
        <v/>
      </c>
      <c r="R85" s="58" t="inlineStr">
        <is>
          <t>VAT1 activation data</t>
        </is>
      </c>
    </row>
    <row r="86">
      <c r="A86" s="57" t="n"/>
      <c r="B86" s="52" t="inlineStr">
        <is>
          <t>82R4010CIN</t>
        </is>
      </c>
      <c r="C86" s="52" t="inlineStr">
        <is>
          <t>T2 Green</t>
        </is>
      </c>
      <c r="D86" s="52" t="inlineStr">
        <is>
          <t>Activation</t>
        </is>
      </c>
      <c r="E86" s="52" t="inlineStr">
        <is>
          <t>Inventory Management - Tactical Support</t>
        </is>
      </c>
      <c r="F86" s="52" t="n"/>
      <c r="G86" s="52" t="inlineStr">
        <is>
          <t>All VAT1</t>
        </is>
      </c>
      <c r="H86" s="52" t="inlineStr">
        <is>
          <t>T3</t>
        </is>
      </c>
      <c r="I86" s="56" t="inlineStr">
        <is>
          <t>1.1.2026</t>
        </is>
      </c>
      <c r="J86" s="56" t="inlineStr">
        <is>
          <t>31.1.2026</t>
        </is>
      </c>
      <c r="K86" s="52" t="inlineStr">
        <is>
          <t>All</t>
        </is>
      </c>
      <c r="L86" s="52" t="inlineStr">
        <is>
          <t>All</t>
        </is>
      </c>
      <c r="M86" s="52" t="inlineStr">
        <is>
          <t>All</t>
        </is>
      </c>
      <c r="N86" s="52" t="n">
        <v>1</v>
      </c>
      <c r="O86" s="52" t="n">
        <v>0</v>
      </c>
      <c r="P86" s="58" t="n">
        <v>1950</v>
      </c>
      <c r="Q86" s="58">
        <f>P86*1.18</f>
        <v/>
      </c>
      <c r="R86" s="58" t="inlineStr">
        <is>
          <t>VAT1 activation data</t>
        </is>
      </c>
    </row>
    <row r="87">
      <c r="A87" s="57" t="n"/>
      <c r="B87" s="52" t="inlineStr">
        <is>
          <t>82XM0118IN</t>
        </is>
      </c>
      <c r="C87" s="52" t="inlineStr">
        <is>
          <t>T2 Green</t>
        </is>
      </c>
      <c r="D87" s="52" t="inlineStr">
        <is>
          <t>Activation</t>
        </is>
      </c>
      <c r="E87" s="52" t="inlineStr">
        <is>
          <t>Inventory Management - Tactical Support</t>
        </is>
      </c>
      <c r="F87" s="52" t="n"/>
      <c r="G87" s="52" t="inlineStr">
        <is>
          <t>All VAT1</t>
        </is>
      </c>
      <c r="H87" s="52" t="inlineStr">
        <is>
          <t>T3</t>
        </is>
      </c>
      <c r="I87" s="56" t="inlineStr">
        <is>
          <t>1.1.2026</t>
        </is>
      </c>
      <c r="J87" s="56" t="inlineStr">
        <is>
          <t>31.1.2026</t>
        </is>
      </c>
      <c r="K87" s="52" t="inlineStr">
        <is>
          <t>All</t>
        </is>
      </c>
      <c r="L87" s="52" t="inlineStr">
        <is>
          <t>All</t>
        </is>
      </c>
      <c r="M87" s="52" t="inlineStr">
        <is>
          <t>All</t>
        </is>
      </c>
      <c r="N87" s="52" t="n">
        <v>1</v>
      </c>
      <c r="O87" s="52" t="n">
        <v>0</v>
      </c>
      <c r="P87" s="58" t="n">
        <v>1672</v>
      </c>
      <c r="Q87" s="58">
        <f>P87*1.18</f>
        <v/>
      </c>
      <c r="R87" s="58" t="inlineStr">
        <is>
          <t>VAT1 activation data</t>
        </is>
      </c>
    </row>
    <row r="88">
      <c r="A88" s="57" t="n"/>
      <c r="B88" s="52" t="inlineStr">
        <is>
          <t>82XM00QDIN</t>
        </is>
      </c>
      <c r="C88" s="52" t="inlineStr">
        <is>
          <t>T2 Green</t>
        </is>
      </c>
      <c r="D88" s="52" t="inlineStr">
        <is>
          <t>Activation</t>
        </is>
      </c>
      <c r="E88" s="52" t="inlineStr">
        <is>
          <t>Inventory Management - Tactical Support</t>
        </is>
      </c>
      <c r="F88" s="52" t="n"/>
      <c r="G88" s="52" t="inlineStr">
        <is>
          <t>All VAT1</t>
        </is>
      </c>
      <c r="H88" s="52" t="inlineStr">
        <is>
          <t>T3</t>
        </is>
      </c>
      <c r="I88" s="56" t="inlineStr">
        <is>
          <t>1.1.2026</t>
        </is>
      </c>
      <c r="J88" s="56" t="inlineStr">
        <is>
          <t>31.1.2026</t>
        </is>
      </c>
      <c r="K88" s="52" t="inlineStr">
        <is>
          <t>All</t>
        </is>
      </c>
      <c r="L88" s="52" t="inlineStr">
        <is>
          <t>All</t>
        </is>
      </c>
      <c r="M88" s="52" t="inlineStr">
        <is>
          <t>All</t>
        </is>
      </c>
      <c r="N88" s="52" t="n">
        <v>1</v>
      </c>
      <c r="O88" s="52" t="n">
        <v>0</v>
      </c>
      <c r="P88" s="58" t="n">
        <v>1657</v>
      </c>
      <c r="Q88" s="58">
        <f>P88*1.18</f>
        <v/>
      </c>
      <c r="R88" s="58" t="inlineStr">
        <is>
          <t>VAT1 activation data</t>
        </is>
      </c>
    </row>
    <row r="89">
      <c r="A89" s="57" t="n"/>
      <c r="B89" s="52" t="inlineStr">
        <is>
          <t>82VG00J5IN</t>
        </is>
      </c>
      <c r="C89" s="52" t="inlineStr">
        <is>
          <t>T2 Green</t>
        </is>
      </c>
      <c r="D89" s="52" t="inlineStr">
        <is>
          <t>Activation</t>
        </is>
      </c>
      <c r="E89" s="52" t="inlineStr">
        <is>
          <t>Inventory Management - Tactical Support</t>
        </is>
      </c>
      <c r="F89" s="52" t="n"/>
      <c r="G89" s="52" t="inlineStr">
        <is>
          <t>All VAT1</t>
        </is>
      </c>
      <c r="H89" s="52" t="inlineStr">
        <is>
          <t>T3</t>
        </is>
      </c>
      <c r="I89" s="56" t="inlineStr">
        <is>
          <t>1.1.2026</t>
        </is>
      </c>
      <c r="J89" s="56" t="inlineStr">
        <is>
          <t>31.1.2026</t>
        </is>
      </c>
      <c r="K89" s="52" t="inlineStr">
        <is>
          <t>All</t>
        </is>
      </c>
      <c r="L89" s="52" t="inlineStr">
        <is>
          <t>All</t>
        </is>
      </c>
      <c r="M89" s="52" t="inlineStr">
        <is>
          <t>All</t>
        </is>
      </c>
      <c r="N89" s="52" t="n">
        <v>1</v>
      </c>
      <c r="O89" s="52" t="n">
        <v>0</v>
      </c>
      <c r="P89" s="58" t="n">
        <v>342</v>
      </c>
      <c r="Q89" s="58">
        <f>P89*1.18</f>
        <v/>
      </c>
      <c r="R89" s="58" t="inlineStr">
        <is>
          <t>VAT1 activation data</t>
        </is>
      </c>
    </row>
    <row r="90">
      <c r="A90" s="57" t="n"/>
      <c r="B90" s="52" t="inlineStr">
        <is>
          <t>82XM00UGIN</t>
        </is>
      </c>
      <c r="C90" s="52" t="inlineStr">
        <is>
          <t>T2 Green</t>
        </is>
      </c>
      <c r="D90" s="52" t="inlineStr">
        <is>
          <t>Activation</t>
        </is>
      </c>
      <c r="E90" s="52" t="inlineStr">
        <is>
          <t>Inventory Management - Tactical Support</t>
        </is>
      </c>
      <c r="F90" s="52" t="n"/>
      <c r="G90" s="52" t="inlineStr">
        <is>
          <t>All VAT1</t>
        </is>
      </c>
      <c r="H90" s="52" t="inlineStr">
        <is>
          <t>T3</t>
        </is>
      </c>
      <c r="I90" s="56" t="inlineStr">
        <is>
          <t>1.1.2026</t>
        </is>
      </c>
      <c r="J90" s="56" t="inlineStr">
        <is>
          <t>31.1.2026</t>
        </is>
      </c>
      <c r="K90" s="52" t="inlineStr">
        <is>
          <t>All</t>
        </is>
      </c>
      <c r="L90" s="52" t="inlineStr">
        <is>
          <t>All</t>
        </is>
      </c>
      <c r="M90" s="52" t="inlineStr">
        <is>
          <t>All</t>
        </is>
      </c>
      <c r="N90" s="52" t="n">
        <v>1</v>
      </c>
      <c r="O90" s="52" t="n">
        <v>0</v>
      </c>
      <c r="P90" s="58" t="n">
        <v>1672</v>
      </c>
      <c r="Q90" s="58">
        <f>P90*1.18</f>
        <v/>
      </c>
      <c r="R90" s="58" t="inlineStr">
        <is>
          <t>VAT1 activation data</t>
        </is>
      </c>
    </row>
    <row r="91">
      <c r="A91" s="57" t="n"/>
      <c r="B91" s="52" t="inlineStr">
        <is>
          <t>82R400BGIN</t>
        </is>
      </c>
      <c r="C91" s="52" t="inlineStr">
        <is>
          <t>T2 Green</t>
        </is>
      </c>
      <c r="D91" s="52" t="inlineStr">
        <is>
          <t>Activation</t>
        </is>
      </c>
      <c r="E91" s="52" t="inlineStr">
        <is>
          <t>Inventory Management - Tactical Support</t>
        </is>
      </c>
      <c r="F91" s="52" t="n"/>
      <c r="G91" s="52" t="inlineStr">
        <is>
          <t>All VAT1</t>
        </is>
      </c>
      <c r="H91" s="52" t="inlineStr">
        <is>
          <t>T3</t>
        </is>
      </c>
      <c r="I91" s="56" t="inlineStr">
        <is>
          <t>1.1.2026</t>
        </is>
      </c>
      <c r="J91" s="56" t="inlineStr">
        <is>
          <t>31.1.2026</t>
        </is>
      </c>
      <c r="K91" s="52" t="inlineStr">
        <is>
          <t>All</t>
        </is>
      </c>
      <c r="L91" s="52" t="inlineStr">
        <is>
          <t>All</t>
        </is>
      </c>
      <c r="M91" s="52" t="inlineStr">
        <is>
          <t>All</t>
        </is>
      </c>
      <c r="N91" s="52" t="n">
        <v>1</v>
      </c>
      <c r="O91" s="52" t="n">
        <v>0</v>
      </c>
      <c r="P91" s="58" t="n">
        <v>1272</v>
      </c>
      <c r="Q91" s="58">
        <f>P91*1.18</f>
        <v/>
      </c>
      <c r="R91" s="58" t="inlineStr">
        <is>
          <t>VAT1 activation data</t>
        </is>
      </c>
    </row>
    <row r="92">
      <c r="A92" s="57" t="n"/>
      <c r="B92" s="52" t="inlineStr">
        <is>
          <t>82R400BRIN</t>
        </is>
      </c>
      <c r="C92" s="52" t="inlineStr">
        <is>
          <t>T2 Green</t>
        </is>
      </c>
      <c r="D92" s="52" t="inlineStr">
        <is>
          <t>Activation</t>
        </is>
      </c>
      <c r="E92" s="52" t="inlineStr">
        <is>
          <t>Inventory Management - Tactical Support</t>
        </is>
      </c>
      <c r="F92" s="52" t="n"/>
      <c r="G92" s="52" t="inlineStr">
        <is>
          <t>All VAT1</t>
        </is>
      </c>
      <c r="H92" s="52" t="inlineStr">
        <is>
          <t>T3</t>
        </is>
      </c>
      <c r="I92" s="56" t="inlineStr">
        <is>
          <t>1.1.2026</t>
        </is>
      </c>
      <c r="J92" s="56" t="inlineStr">
        <is>
          <t>31.1.2026</t>
        </is>
      </c>
      <c r="K92" s="52" t="inlineStr">
        <is>
          <t>All</t>
        </is>
      </c>
      <c r="L92" s="52" t="inlineStr">
        <is>
          <t>All</t>
        </is>
      </c>
      <c r="M92" s="52" t="inlineStr">
        <is>
          <t>All</t>
        </is>
      </c>
      <c r="N92" s="52" t="n">
        <v>1</v>
      </c>
      <c r="O92" s="52" t="n">
        <v>0</v>
      </c>
      <c r="P92" s="58" t="n">
        <v>1272</v>
      </c>
      <c r="Q92" s="58">
        <f>P92*1.18</f>
        <v/>
      </c>
      <c r="R92" s="58" t="inlineStr">
        <is>
          <t>VAT1 activation data</t>
        </is>
      </c>
    </row>
    <row r="93">
      <c r="A93" s="57" t="n"/>
      <c r="B93" s="52" t="inlineStr">
        <is>
          <t>82XQ0096IN</t>
        </is>
      </c>
      <c r="C93" s="52" t="inlineStr">
        <is>
          <t>T2 Green</t>
        </is>
      </c>
      <c r="D93" s="52" t="inlineStr">
        <is>
          <t>Activation</t>
        </is>
      </c>
      <c r="E93" s="52" t="inlineStr">
        <is>
          <t>Inventory Management - Tactical Support</t>
        </is>
      </c>
      <c r="F93" s="52" t="n"/>
      <c r="G93" s="52" t="inlineStr">
        <is>
          <t>All VAT1</t>
        </is>
      </c>
      <c r="H93" s="52" t="inlineStr">
        <is>
          <t>T3</t>
        </is>
      </c>
      <c r="I93" s="56" t="inlineStr">
        <is>
          <t>1.1.2026</t>
        </is>
      </c>
      <c r="J93" s="56" t="inlineStr">
        <is>
          <t>31.1.2026</t>
        </is>
      </c>
      <c r="K93" s="52" t="inlineStr">
        <is>
          <t>All</t>
        </is>
      </c>
      <c r="L93" s="52" t="inlineStr">
        <is>
          <t>All</t>
        </is>
      </c>
      <c r="M93" s="52" t="inlineStr">
        <is>
          <t>All</t>
        </is>
      </c>
      <c r="N93" s="52" t="n">
        <v>1</v>
      </c>
      <c r="O93" s="52" t="n">
        <v>0</v>
      </c>
      <c r="P93" s="58" t="n">
        <v>2118</v>
      </c>
      <c r="Q93" s="58">
        <f>P93*1.18</f>
        <v/>
      </c>
      <c r="R93" s="58" t="inlineStr">
        <is>
          <t>VAT1 activation data</t>
        </is>
      </c>
    </row>
    <row r="94">
      <c r="A94" s="57" t="n"/>
      <c r="B94" s="52" t="inlineStr">
        <is>
          <t>82KU0238IN</t>
        </is>
      </c>
      <c r="C94" s="52" t="inlineStr">
        <is>
          <t>T2 Green</t>
        </is>
      </c>
      <c r="D94" s="52" t="inlineStr">
        <is>
          <t>Activation</t>
        </is>
      </c>
      <c r="E94" s="52" t="inlineStr">
        <is>
          <t>Inventory Management - Tactical Support</t>
        </is>
      </c>
      <c r="F94" s="52" t="n"/>
      <c r="G94" s="52" t="inlineStr">
        <is>
          <t>All VAT1</t>
        </is>
      </c>
      <c r="H94" s="52" t="inlineStr">
        <is>
          <t>T3</t>
        </is>
      </c>
      <c r="I94" s="56" t="inlineStr">
        <is>
          <t>1.1.2026</t>
        </is>
      </c>
      <c r="J94" s="56" t="inlineStr">
        <is>
          <t>31.1.2026</t>
        </is>
      </c>
      <c r="K94" s="52" t="inlineStr">
        <is>
          <t>All</t>
        </is>
      </c>
      <c r="L94" s="52" t="inlineStr">
        <is>
          <t>All</t>
        </is>
      </c>
      <c r="M94" s="52" t="inlineStr">
        <is>
          <t>All</t>
        </is>
      </c>
      <c r="N94" s="52" t="n">
        <v>1</v>
      </c>
      <c r="O94" s="52" t="n">
        <v>0</v>
      </c>
      <c r="P94" s="58" t="n">
        <v>1695</v>
      </c>
      <c r="Q94" s="58">
        <f>P94*1.18</f>
        <v/>
      </c>
      <c r="R94" s="58" t="inlineStr">
        <is>
          <t>VAT1 activation data</t>
        </is>
      </c>
    </row>
    <row r="95">
      <c r="A95" s="57" t="n"/>
      <c r="B95" s="52" t="inlineStr">
        <is>
          <t>82KU017EIN</t>
        </is>
      </c>
      <c r="C95" s="52" t="inlineStr">
        <is>
          <t>T2 Green</t>
        </is>
      </c>
      <c r="D95" s="52" t="inlineStr">
        <is>
          <t>Activation</t>
        </is>
      </c>
      <c r="E95" s="52" t="inlineStr">
        <is>
          <t>Inventory Management - Tactical Support</t>
        </is>
      </c>
      <c r="F95" s="52" t="n"/>
      <c r="G95" s="52" t="inlineStr">
        <is>
          <t>All VAT1</t>
        </is>
      </c>
      <c r="H95" s="52" t="inlineStr">
        <is>
          <t>T3</t>
        </is>
      </c>
      <c r="I95" s="56" t="inlineStr">
        <is>
          <t>1.1.2026</t>
        </is>
      </c>
      <c r="J95" s="56" t="inlineStr">
        <is>
          <t>31.1.2026</t>
        </is>
      </c>
      <c r="K95" s="52" t="inlineStr">
        <is>
          <t>All</t>
        </is>
      </c>
      <c r="L95" s="52" t="inlineStr">
        <is>
          <t>All</t>
        </is>
      </c>
      <c r="M95" s="52" t="inlineStr">
        <is>
          <t>All</t>
        </is>
      </c>
      <c r="N95" s="52" t="n">
        <v>1</v>
      </c>
      <c r="O95" s="52" t="n">
        <v>0</v>
      </c>
      <c r="P95" s="58" t="n">
        <v>1695</v>
      </c>
      <c r="Q95" s="58">
        <f>P95*1.18</f>
        <v/>
      </c>
      <c r="R95" s="58" t="inlineStr">
        <is>
          <t>VAT1 activation data</t>
        </is>
      </c>
    </row>
    <row r="96">
      <c r="A96" s="57" t="n"/>
      <c r="B96" s="52" t="inlineStr">
        <is>
          <t>82XQ008VIN</t>
        </is>
      </c>
      <c r="C96" s="52" t="inlineStr">
        <is>
          <t>T2 Green</t>
        </is>
      </c>
      <c r="D96" s="52" t="inlineStr">
        <is>
          <t>Activation</t>
        </is>
      </c>
      <c r="E96" s="52" t="inlineStr">
        <is>
          <t>Inventory Management - Tactical Support</t>
        </is>
      </c>
      <c r="F96" s="52" t="n"/>
      <c r="G96" s="52" t="inlineStr">
        <is>
          <t>All VAT1</t>
        </is>
      </c>
      <c r="H96" s="52" t="inlineStr">
        <is>
          <t>T3</t>
        </is>
      </c>
      <c r="I96" s="56" t="inlineStr">
        <is>
          <t>1.1.2026</t>
        </is>
      </c>
      <c r="J96" s="56" t="inlineStr">
        <is>
          <t>31.1.2026</t>
        </is>
      </c>
      <c r="K96" s="52" t="inlineStr">
        <is>
          <t>All</t>
        </is>
      </c>
      <c r="L96" s="52" t="inlineStr">
        <is>
          <t>All</t>
        </is>
      </c>
      <c r="M96" s="52" t="inlineStr">
        <is>
          <t>All</t>
        </is>
      </c>
      <c r="N96" s="52" t="n">
        <v>1</v>
      </c>
      <c r="O96" s="52" t="n">
        <v>0</v>
      </c>
      <c r="P96" s="58" t="n">
        <v>2118</v>
      </c>
      <c r="Q96" s="58">
        <f>P96*1.18</f>
        <v/>
      </c>
      <c r="R96" s="58" t="inlineStr">
        <is>
          <t>VAT1 activation data</t>
        </is>
      </c>
    </row>
    <row r="97">
      <c r="A97" s="57" t="n"/>
      <c r="B97" s="52" t="inlineStr">
        <is>
          <t>82XQ0095IN</t>
        </is>
      </c>
      <c r="C97" s="52" t="inlineStr">
        <is>
          <t>T2 Green</t>
        </is>
      </c>
      <c r="D97" s="52" t="inlineStr">
        <is>
          <t>Activation</t>
        </is>
      </c>
      <c r="E97" s="52" t="inlineStr">
        <is>
          <t>Inventory Management - Tactical Support</t>
        </is>
      </c>
      <c r="F97" s="52" t="n"/>
      <c r="G97" s="52" t="inlineStr">
        <is>
          <t>All VAT1</t>
        </is>
      </c>
      <c r="H97" s="52" t="inlineStr">
        <is>
          <t>T3</t>
        </is>
      </c>
      <c r="I97" s="56" t="inlineStr">
        <is>
          <t>1.1.2026</t>
        </is>
      </c>
      <c r="J97" s="56" t="inlineStr">
        <is>
          <t>31.1.2026</t>
        </is>
      </c>
      <c r="K97" s="52" t="inlineStr">
        <is>
          <t>All</t>
        </is>
      </c>
      <c r="L97" s="52" t="inlineStr">
        <is>
          <t>All</t>
        </is>
      </c>
      <c r="M97" s="52" t="inlineStr">
        <is>
          <t>All</t>
        </is>
      </c>
      <c r="N97" s="52" t="n">
        <v>1</v>
      </c>
      <c r="O97" s="52" t="n">
        <v>0</v>
      </c>
      <c r="P97" s="58" t="n">
        <v>2118</v>
      </c>
      <c r="Q97" s="58">
        <f>P97*1.18</f>
        <v/>
      </c>
      <c r="R97" s="58" t="inlineStr">
        <is>
          <t>VAT1 activation data</t>
        </is>
      </c>
    </row>
    <row r="98">
      <c r="A98" s="57" t="n"/>
      <c r="B98" s="52" t="inlineStr">
        <is>
          <t>82R400BSIN</t>
        </is>
      </c>
      <c r="C98" s="52" t="inlineStr">
        <is>
          <t>T2 Green</t>
        </is>
      </c>
      <c r="D98" s="52" t="inlineStr">
        <is>
          <t>Activation</t>
        </is>
      </c>
      <c r="E98" s="52" t="inlineStr">
        <is>
          <t>Inventory Management - Tactical Support</t>
        </is>
      </c>
      <c r="F98" s="52" t="n"/>
      <c r="G98" s="52" t="inlineStr">
        <is>
          <t>All VAT1</t>
        </is>
      </c>
      <c r="H98" s="52" t="inlineStr">
        <is>
          <t>T3</t>
        </is>
      </c>
      <c r="I98" s="56" t="inlineStr">
        <is>
          <t>1.1.2026</t>
        </is>
      </c>
      <c r="J98" s="56" t="inlineStr">
        <is>
          <t>31.1.2026</t>
        </is>
      </c>
      <c r="K98" s="52" t="inlineStr">
        <is>
          <t>All</t>
        </is>
      </c>
      <c r="L98" s="52" t="inlineStr">
        <is>
          <t>All</t>
        </is>
      </c>
      <c r="M98" s="52" t="inlineStr">
        <is>
          <t>All</t>
        </is>
      </c>
      <c r="N98" s="52" t="n">
        <v>1</v>
      </c>
      <c r="O98" s="52" t="n">
        <v>0</v>
      </c>
      <c r="P98" s="58" t="n">
        <v>1400</v>
      </c>
      <c r="Q98" s="58">
        <f>P98*1.18</f>
        <v/>
      </c>
      <c r="R98" s="58" t="inlineStr">
        <is>
          <t>VAT1 activation data</t>
        </is>
      </c>
    </row>
    <row r="99">
      <c r="A99" s="57" t="n"/>
      <c r="B99" s="52" t="inlineStr">
        <is>
          <t>82XQ00MFIN</t>
        </is>
      </c>
      <c r="C99" s="52" t="inlineStr">
        <is>
          <t>T2 Green</t>
        </is>
      </c>
      <c r="D99" s="52" t="inlineStr">
        <is>
          <t>Activation</t>
        </is>
      </c>
      <c r="E99" s="52" t="inlineStr">
        <is>
          <t>Inventory Management - Tactical Support</t>
        </is>
      </c>
      <c r="F99" s="52" t="n"/>
      <c r="G99" s="52" t="inlineStr">
        <is>
          <t>All VAT1</t>
        </is>
      </c>
      <c r="H99" s="52" t="inlineStr">
        <is>
          <t>T3</t>
        </is>
      </c>
      <c r="I99" s="56" t="inlineStr">
        <is>
          <t>1.1.2026</t>
        </is>
      </c>
      <c r="J99" s="56" t="inlineStr">
        <is>
          <t>31.1.2026</t>
        </is>
      </c>
      <c r="K99" s="52" t="inlineStr">
        <is>
          <t>All</t>
        </is>
      </c>
      <c r="L99" s="52" t="inlineStr">
        <is>
          <t>All</t>
        </is>
      </c>
      <c r="M99" s="52" t="inlineStr">
        <is>
          <t>All</t>
        </is>
      </c>
      <c r="N99" s="52" t="n">
        <v>1</v>
      </c>
      <c r="O99" s="52" t="n">
        <v>0</v>
      </c>
      <c r="P99" s="58" t="n">
        <v>2542</v>
      </c>
      <c r="Q99" s="58">
        <f>P99*1.18</f>
        <v/>
      </c>
      <c r="R99" s="58" t="inlineStr">
        <is>
          <t>VAT1 activation data</t>
        </is>
      </c>
    </row>
    <row r="100">
      <c r="A100" s="57" t="n"/>
      <c r="B100" s="52" t="inlineStr">
        <is>
          <t>82XQ00NXIN</t>
        </is>
      </c>
      <c r="C100" s="52" t="inlineStr">
        <is>
          <t>T2 Green</t>
        </is>
      </c>
      <c r="D100" s="52" t="inlineStr">
        <is>
          <t>Activation</t>
        </is>
      </c>
      <c r="E100" s="52" t="inlineStr">
        <is>
          <t>Inventory Management - Tactical Support</t>
        </is>
      </c>
      <c r="F100" s="52" t="n"/>
      <c r="G100" s="52" t="inlineStr">
        <is>
          <t>All VAT1</t>
        </is>
      </c>
      <c r="H100" s="52" t="inlineStr">
        <is>
          <t>T3</t>
        </is>
      </c>
      <c r="I100" s="56" t="inlineStr">
        <is>
          <t>1.1.2026</t>
        </is>
      </c>
      <c r="J100" s="56" t="inlineStr">
        <is>
          <t>31.1.2026</t>
        </is>
      </c>
      <c r="K100" s="52" t="inlineStr">
        <is>
          <t>All</t>
        </is>
      </c>
      <c r="L100" s="52" t="inlineStr">
        <is>
          <t>All</t>
        </is>
      </c>
      <c r="M100" s="52" t="inlineStr">
        <is>
          <t>All</t>
        </is>
      </c>
      <c r="N100" s="52" t="n">
        <v>1</v>
      </c>
      <c r="O100" s="52" t="n">
        <v>0</v>
      </c>
      <c r="P100" s="58" t="n">
        <v>3155</v>
      </c>
      <c r="Q100" s="58">
        <f>P100*1.18</f>
        <v/>
      </c>
      <c r="R100" s="58" t="inlineStr">
        <is>
          <t>VAT1 activation data</t>
        </is>
      </c>
    </row>
    <row r="101">
      <c r="A101" s="57" t="n"/>
      <c r="B101" s="52" t="inlineStr">
        <is>
          <t>82XM0114IN</t>
        </is>
      </c>
      <c r="C101" s="52" t="inlineStr">
        <is>
          <t>T2 Green</t>
        </is>
      </c>
      <c r="D101" s="52" t="inlineStr">
        <is>
          <t>Activation</t>
        </is>
      </c>
      <c r="E101" s="52" t="inlineStr">
        <is>
          <t>Inventory Management - Tactical Support</t>
        </is>
      </c>
      <c r="F101" s="52" t="n"/>
      <c r="G101" s="52" t="inlineStr">
        <is>
          <t>All VAT1</t>
        </is>
      </c>
      <c r="H101" s="52" t="inlineStr">
        <is>
          <t>T3</t>
        </is>
      </c>
      <c r="I101" s="56" t="inlineStr">
        <is>
          <t>1.1.2026</t>
        </is>
      </c>
      <c r="J101" s="56" t="inlineStr">
        <is>
          <t>31.1.2026</t>
        </is>
      </c>
      <c r="K101" s="52" t="inlineStr">
        <is>
          <t>All</t>
        </is>
      </c>
      <c r="L101" s="52" t="inlineStr">
        <is>
          <t>All</t>
        </is>
      </c>
      <c r="M101" s="52" t="inlineStr">
        <is>
          <t>All</t>
        </is>
      </c>
      <c r="N101" s="52" t="n">
        <v>1</v>
      </c>
      <c r="O101" s="52" t="n">
        <v>0</v>
      </c>
      <c r="P101" s="58" t="n">
        <v>1271</v>
      </c>
      <c r="Q101" s="58">
        <f>P101*1.18</f>
        <v/>
      </c>
      <c r="R101" s="58" t="inlineStr">
        <is>
          <t>VAT1 activation data</t>
        </is>
      </c>
    </row>
    <row r="102">
      <c r="A102" s="57" t="n"/>
      <c r="B102" s="52" t="inlineStr">
        <is>
          <t>83N3002QIN</t>
        </is>
      </c>
      <c r="C102" s="52" t="inlineStr">
        <is>
          <t>T2 Green</t>
        </is>
      </c>
      <c r="D102" s="52" t="inlineStr">
        <is>
          <t>Activation</t>
        </is>
      </c>
      <c r="E102" s="52" t="inlineStr">
        <is>
          <t>Inventory Management - Tactical Support</t>
        </is>
      </c>
      <c r="F102" s="52" t="n"/>
      <c r="G102" s="52" t="inlineStr">
        <is>
          <t>All VAT1</t>
        </is>
      </c>
      <c r="H102" s="52" t="inlineStr">
        <is>
          <t>T3</t>
        </is>
      </c>
      <c r="I102" s="56" t="inlineStr">
        <is>
          <t>1.1.2026</t>
        </is>
      </c>
      <c r="J102" s="56" t="inlineStr">
        <is>
          <t>31.1.2026</t>
        </is>
      </c>
      <c r="K102" s="52" t="inlineStr">
        <is>
          <t>All</t>
        </is>
      </c>
      <c r="L102" s="52" t="inlineStr">
        <is>
          <t>All</t>
        </is>
      </c>
      <c r="M102" s="52" t="inlineStr">
        <is>
          <t>All</t>
        </is>
      </c>
      <c r="N102" s="52" t="n">
        <v>1</v>
      </c>
      <c r="O102" s="52" t="n">
        <v>0</v>
      </c>
      <c r="P102" s="58" t="n">
        <v>5085</v>
      </c>
      <c r="Q102" s="58">
        <f>P102*1.18</f>
        <v/>
      </c>
      <c r="R102" s="58" t="inlineStr">
        <is>
          <t>VAT1 activation data</t>
        </is>
      </c>
    </row>
    <row r="103">
      <c r="A103" s="57" t="n"/>
      <c r="B103" s="52" t="inlineStr">
        <is>
          <t>83JE00U4IN</t>
        </is>
      </c>
      <c r="C103" s="52" t="inlineStr">
        <is>
          <t>T2 Green</t>
        </is>
      </c>
      <c r="D103" s="52" t="inlineStr">
        <is>
          <t>Activation</t>
        </is>
      </c>
      <c r="E103" s="52" t="inlineStr">
        <is>
          <t>Inventory Management - Tactical Support</t>
        </is>
      </c>
      <c r="F103" s="52" t="n"/>
      <c r="G103" s="52" t="inlineStr">
        <is>
          <t>All VAT1</t>
        </is>
      </c>
      <c r="H103" s="52" t="inlineStr">
        <is>
          <t>T3</t>
        </is>
      </c>
      <c r="I103" s="56" t="inlineStr">
        <is>
          <t>1.1.2026</t>
        </is>
      </c>
      <c r="J103" s="56" t="inlineStr">
        <is>
          <t>31.1.2026</t>
        </is>
      </c>
      <c r="K103" s="52" t="inlineStr">
        <is>
          <t>All</t>
        </is>
      </c>
      <c r="L103" s="52" t="inlineStr">
        <is>
          <t>All</t>
        </is>
      </c>
      <c r="M103" s="52" t="inlineStr">
        <is>
          <t>All</t>
        </is>
      </c>
      <c r="N103" s="52" t="n">
        <v>1</v>
      </c>
      <c r="O103" s="52" t="n">
        <v>0</v>
      </c>
      <c r="P103" s="58" t="n">
        <v>422</v>
      </c>
      <c r="Q103" s="58">
        <f>P103*1.18</f>
        <v/>
      </c>
      <c r="R103" s="58" t="inlineStr">
        <is>
          <t>VAT1 activation data</t>
        </is>
      </c>
    </row>
    <row r="104">
      <c r="A104" s="57" t="n"/>
      <c r="B104" s="52" t="inlineStr">
        <is>
          <t>83JE00U7IN</t>
        </is>
      </c>
      <c r="C104" s="52" t="inlineStr">
        <is>
          <t>T2 Green</t>
        </is>
      </c>
      <c r="D104" s="52" t="inlineStr">
        <is>
          <t>Activation</t>
        </is>
      </c>
      <c r="E104" s="52" t="inlineStr">
        <is>
          <t>Inventory Management - Tactical Support</t>
        </is>
      </c>
      <c r="F104" s="52" t="n"/>
      <c r="G104" s="52" t="inlineStr">
        <is>
          <t>All VAT1</t>
        </is>
      </c>
      <c r="H104" s="52" t="inlineStr">
        <is>
          <t>T3</t>
        </is>
      </c>
      <c r="I104" s="56" t="inlineStr">
        <is>
          <t>1.1.2026</t>
        </is>
      </c>
      <c r="J104" s="56" t="inlineStr">
        <is>
          <t>31.1.2026</t>
        </is>
      </c>
      <c r="K104" s="52" t="inlineStr">
        <is>
          <t>All</t>
        </is>
      </c>
      <c r="L104" s="52" t="inlineStr">
        <is>
          <t>All</t>
        </is>
      </c>
      <c r="M104" s="52" t="inlineStr">
        <is>
          <t>All</t>
        </is>
      </c>
      <c r="N104" s="52" t="n">
        <v>1</v>
      </c>
      <c r="O104" s="52" t="n">
        <v>0</v>
      </c>
      <c r="P104" s="58" t="n">
        <v>383</v>
      </c>
      <c r="Q104" s="58">
        <f>P104*1.18</f>
        <v/>
      </c>
      <c r="R104" s="58" t="inlineStr">
        <is>
          <t>VAT1 activation data</t>
        </is>
      </c>
    </row>
    <row r="105">
      <c r="A105" s="57" t="n"/>
      <c r="B105" s="52" t="inlineStr">
        <is>
          <t>83JC00K1IN</t>
        </is>
      </c>
      <c r="C105" s="52" t="inlineStr">
        <is>
          <t>T2 Green</t>
        </is>
      </c>
      <c r="D105" s="52" t="inlineStr">
        <is>
          <t>Activation</t>
        </is>
      </c>
      <c r="E105" s="52" t="inlineStr">
        <is>
          <t>Inventory Management - Tactical Support</t>
        </is>
      </c>
      <c r="F105" s="52" t="n"/>
      <c r="G105" s="52" t="inlineStr">
        <is>
          <t>All VAT1</t>
        </is>
      </c>
      <c r="H105" s="52" t="inlineStr">
        <is>
          <t>T3</t>
        </is>
      </c>
      <c r="I105" s="56" t="inlineStr">
        <is>
          <t>1.1.2026</t>
        </is>
      </c>
      <c r="J105" s="56" t="inlineStr">
        <is>
          <t>31.1.2026</t>
        </is>
      </c>
      <c r="K105" s="52" t="inlineStr">
        <is>
          <t>All</t>
        </is>
      </c>
      <c r="L105" s="52" t="inlineStr">
        <is>
          <t>All</t>
        </is>
      </c>
      <c r="M105" s="52" t="inlineStr">
        <is>
          <t>All</t>
        </is>
      </c>
      <c r="N105" s="52" t="n">
        <v>1</v>
      </c>
      <c r="O105" s="52" t="n">
        <v>0</v>
      </c>
      <c r="P105" s="58" t="n">
        <v>2542</v>
      </c>
      <c r="Q105" s="58">
        <f>P105*1.18</f>
        <v/>
      </c>
      <c r="R105" s="58" t="inlineStr">
        <is>
          <t>VAT1 activation data</t>
        </is>
      </c>
    </row>
    <row r="106">
      <c r="A106" s="57" t="n"/>
      <c r="B106" s="52" t="inlineStr">
        <is>
          <t>83JC00HNIN</t>
        </is>
      </c>
      <c r="C106" s="52" t="inlineStr">
        <is>
          <t>T2 Green</t>
        </is>
      </c>
      <c r="D106" s="52" t="inlineStr">
        <is>
          <t>Activation</t>
        </is>
      </c>
      <c r="E106" s="52" t="inlineStr">
        <is>
          <t>Inventory Management - Tactical Support</t>
        </is>
      </c>
      <c r="F106" s="52" t="n"/>
      <c r="G106" s="52" t="inlineStr">
        <is>
          <t>All VAT1</t>
        </is>
      </c>
      <c r="H106" s="52" t="inlineStr">
        <is>
          <t>T3</t>
        </is>
      </c>
      <c r="I106" s="56" t="inlineStr">
        <is>
          <t>1.1.2026</t>
        </is>
      </c>
      <c r="J106" s="56" t="inlineStr">
        <is>
          <t>31.1.2026</t>
        </is>
      </c>
      <c r="K106" s="52" t="inlineStr">
        <is>
          <t>All</t>
        </is>
      </c>
      <c r="L106" s="52" t="inlineStr">
        <is>
          <t>All</t>
        </is>
      </c>
      <c r="M106" s="52" t="inlineStr">
        <is>
          <t>All</t>
        </is>
      </c>
      <c r="N106" s="52" t="n">
        <v>1</v>
      </c>
      <c r="O106" s="52" t="n">
        <v>0</v>
      </c>
      <c r="P106" s="58" t="n">
        <v>1695</v>
      </c>
      <c r="Q106" s="58">
        <f>P106*1.18</f>
        <v/>
      </c>
      <c r="R106" s="58" t="inlineStr">
        <is>
          <t>VAT1 activation data</t>
        </is>
      </c>
    </row>
    <row r="107">
      <c r="A107" s="57" t="n"/>
      <c r="B107" s="52" t="inlineStr">
        <is>
          <t>83GS00MWIN</t>
        </is>
      </c>
      <c r="C107" s="52" t="inlineStr">
        <is>
          <t>T2 Green</t>
        </is>
      </c>
      <c r="D107" s="52" t="inlineStr">
        <is>
          <t>Activation</t>
        </is>
      </c>
      <c r="E107" s="52" t="inlineStr">
        <is>
          <t>Inventory Management - Tactical Support</t>
        </is>
      </c>
      <c r="F107" s="52" t="n"/>
      <c r="G107" s="52" t="inlineStr">
        <is>
          <t>All VAT1</t>
        </is>
      </c>
      <c r="H107" s="52" t="inlineStr">
        <is>
          <t>T3</t>
        </is>
      </c>
      <c r="I107" s="56" t="inlineStr">
        <is>
          <t>1.1.2026</t>
        </is>
      </c>
      <c r="J107" s="56" t="inlineStr">
        <is>
          <t>31.1.2026</t>
        </is>
      </c>
      <c r="K107" s="52" t="inlineStr">
        <is>
          <t>All</t>
        </is>
      </c>
      <c r="L107" s="52" t="inlineStr">
        <is>
          <t>All</t>
        </is>
      </c>
      <c r="M107" s="52" t="inlineStr">
        <is>
          <t>All</t>
        </is>
      </c>
      <c r="N107" s="52" t="n">
        <v>1</v>
      </c>
      <c r="O107" s="52" t="n">
        <v>0</v>
      </c>
      <c r="P107" s="58" t="n">
        <v>4492</v>
      </c>
      <c r="Q107" s="58">
        <f>P107*1.18</f>
        <v/>
      </c>
      <c r="R107" s="58" t="inlineStr">
        <is>
          <t>VAT1 activation data</t>
        </is>
      </c>
    </row>
    <row r="108">
      <c r="A108" s="57" t="n"/>
      <c r="B108" s="52" t="inlineStr">
        <is>
          <t>83JE00U3IN</t>
        </is>
      </c>
      <c r="C108" s="52" t="inlineStr">
        <is>
          <t>T2 Green</t>
        </is>
      </c>
      <c r="D108" s="52" t="inlineStr">
        <is>
          <t>Activation</t>
        </is>
      </c>
      <c r="E108" s="52" t="inlineStr">
        <is>
          <t>Inventory Management - Tactical Support</t>
        </is>
      </c>
      <c r="F108" s="52" t="n"/>
      <c r="G108" s="52" t="inlineStr">
        <is>
          <t>All VAT1</t>
        </is>
      </c>
      <c r="H108" s="52" t="inlineStr">
        <is>
          <t>T3</t>
        </is>
      </c>
      <c r="I108" s="56" t="inlineStr">
        <is>
          <t>1.1.2026</t>
        </is>
      </c>
      <c r="J108" s="56" t="inlineStr">
        <is>
          <t>31.1.2026</t>
        </is>
      </c>
      <c r="K108" s="52" t="inlineStr">
        <is>
          <t>All</t>
        </is>
      </c>
      <c r="L108" s="52" t="inlineStr">
        <is>
          <t>All</t>
        </is>
      </c>
      <c r="M108" s="52" t="inlineStr">
        <is>
          <t>All</t>
        </is>
      </c>
      <c r="N108" s="52" t="n">
        <v>1</v>
      </c>
      <c r="O108" s="52" t="n">
        <v>0</v>
      </c>
      <c r="P108" s="58" t="n">
        <v>422</v>
      </c>
      <c r="Q108" s="58">
        <f>P108*1.18</f>
        <v/>
      </c>
      <c r="R108" s="58" t="inlineStr">
        <is>
          <t>VAT1 activation data</t>
        </is>
      </c>
    </row>
    <row r="109">
      <c r="A109" s="57" t="n"/>
      <c r="B109" s="52" t="inlineStr">
        <is>
          <t>83JC00GCIN</t>
        </is>
      </c>
      <c r="C109" s="52" t="inlineStr">
        <is>
          <t>T2 Green</t>
        </is>
      </c>
      <c r="D109" s="52" t="inlineStr">
        <is>
          <t>Activation</t>
        </is>
      </c>
      <c r="E109" s="52" t="inlineStr">
        <is>
          <t>Inventory Management - Tactical Support</t>
        </is>
      </c>
      <c r="F109" s="52" t="n"/>
      <c r="G109" s="52" t="inlineStr">
        <is>
          <t>All VAT1</t>
        </is>
      </c>
      <c r="H109" s="52" t="inlineStr">
        <is>
          <t>T3</t>
        </is>
      </c>
      <c r="I109" s="56" t="inlineStr">
        <is>
          <t>1.1.2026</t>
        </is>
      </c>
      <c r="J109" s="56" t="inlineStr">
        <is>
          <t>31.1.2026</t>
        </is>
      </c>
      <c r="K109" s="52" t="inlineStr">
        <is>
          <t>All</t>
        </is>
      </c>
      <c r="L109" s="52" t="inlineStr">
        <is>
          <t>All</t>
        </is>
      </c>
      <c r="M109" s="52" t="inlineStr">
        <is>
          <t>All</t>
        </is>
      </c>
      <c r="N109" s="52" t="n">
        <v>1</v>
      </c>
      <c r="O109" s="52" t="n">
        <v>0</v>
      </c>
      <c r="P109" s="58" t="n">
        <v>1695</v>
      </c>
      <c r="Q109" s="58">
        <f>P109*1.18</f>
        <v/>
      </c>
      <c r="R109" s="58" t="inlineStr">
        <is>
          <t>VAT1 activation data</t>
        </is>
      </c>
    </row>
    <row r="110">
      <c r="A110" s="57" t="n"/>
      <c r="B110" s="52" t="inlineStr">
        <is>
          <t>83DV01B8IN</t>
        </is>
      </c>
      <c r="C110" s="52" t="inlineStr">
        <is>
          <t>T2 Green</t>
        </is>
      </c>
      <c r="D110" s="52" t="inlineStr">
        <is>
          <t>Activation</t>
        </is>
      </c>
      <c r="E110" s="52" t="inlineStr">
        <is>
          <t>Inventory Management - Tactical Support</t>
        </is>
      </c>
      <c r="F110" s="52" t="n"/>
      <c r="G110" s="52" t="inlineStr">
        <is>
          <t>All VAT1</t>
        </is>
      </c>
      <c r="H110" s="52" t="inlineStr">
        <is>
          <t>T3</t>
        </is>
      </c>
      <c r="I110" s="56" t="inlineStr">
        <is>
          <t>1.1.2026</t>
        </is>
      </c>
      <c r="J110" s="56" t="inlineStr">
        <is>
          <t>31.1.2026</t>
        </is>
      </c>
      <c r="K110" s="52" t="inlineStr">
        <is>
          <t>All</t>
        </is>
      </c>
      <c r="L110" s="52" t="inlineStr">
        <is>
          <t>All</t>
        </is>
      </c>
      <c r="M110" s="52" t="inlineStr">
        <is>
          <t>All</t>
        </is>
      </c>
      <c r="N110" s="52" t="n">
        <v>1</v>
      </c>
      <c r="O110" s="52" t="n">
        <v>0</v>
      </c>
      <c r="P110" s="58" t="n">
        <v>1111</v>
      </c>
      <c r="Q110" s="58">
        <f>P110*1.18</f>
        <v/>
      </c>
      <c r="R110" s="58" t="inlineStr">
        <is>
          <t>VAT1 activation data</t>
        </is>
      </c>
    </row>
    <row r="111">
      <c r="A111" s="57" t="n"/>
      <c r="B111" s="52" t="inlineStr">
        <is>
          <t>83LK009VIN</t>
        </is>
      </c>
      <c r="C111" s="52" t="inlineStr">
        <is>
          <t>T2 Green</t>
        </is>
      </c>
      <c r="D111" s="52" t="inlineStr">
        <is>
          <t>Activation</t>
        </is>
      </c>
      <c r="E111" s="52" t="inlineStr">
        <is>
          <t>Inventory Management - Tactical Support</t>
        </is>
      </c>
      <c r="F111" s="52" t="n"/>
      <c r="G111" s="52" t="inlineStr">
        <is>
          <t>All VAT1</t>
        </is>
      </c>
      <c r="H111" s="52" t="inlineStr">
        <is>
          <t>T3</t>
        </is>
      </c>
      <c r="I111" s="56" t="inlineStr">
        <is>
          <t>1.1.2026</t>
        </is>
      </c>
      <c r="J111" s="56" t="inlineStr">
        <is>
          <t>31.1.2026</t>
        </is>
      </c>
      <c r="K111" s="52" t="inlineStr">
        <is>
          <t>All</t>
        </is>
      </c>
      <c r="L111" s="52" t="inlineStr">
        <is>
          <t>All</t>
        </is>
      </c>
      <c r="M111" s="52" t="inlineStr">
        <is>
          <t>All</t>
        </is>
      </c>
      <c r="N111" s="52" t="n">
        <v>1</v>
      </c>
      <c r="O111" s="52" t="n">
        <v>0</v>
      </c>
      <c r="P111" s="58" t="n">
        <v>847</v>
      </c>
      <c r="Q111" s="58">
        <f>P111*1.18</f>
        <v/>
      </c>
      <c r="R111" s="58" t="inlineStr">
        <is>
          <t>VAT1 activation data</t>
        </is>
      </c>
    </row>
    <row r="112">
      <c r="A112" s="57" t="n"/>
      <c r="B112" s="52" t="inlineStr">
        <is>
          <t>83DV018QIN</t>
        </is>
      </c>
      <c r="C112" s="52" t="inlineStr">
        <is>
          <t>T2 Green</t>
        </is>
      </c>
      <c r="D112" s="52" t="inlineStr">
        <is>
          <t>Activation</t>
        </is>
      </c>
      <c r="E112" s="52" t="inlineStr">
        <is>
          <t>Inventory Management - Tactical Support</t>
        </is>
      </c>
      <c r="F112" s="52" t="n"/>
      <c r="G112" s="52" t="inlineStr">
        <is>
          <t>All VAT1</t>
        </is>
      </c>
      <c r="H112" s="52" t="inlineStr">
        <is>
          <t>T3</t>
        </is>
      </c>
      <c r="I112" s="56" t="inlineStr">
        <is>
          <t>1.1.2026</t>
        </is>
      </c>
      <c r="J112" s="56" t="inlineStr">
        <is>
          <t>31.1.2026</t>
        </is>
      </c>
      <c r="K112" s="52" t="inlineStr">
        <is>
          <t>All</t>
        </is>
      </c>
      <c r="L112" s="52" t="inlineStr">
        <is>
          <t>All</t>
        </is>
      </c>
      <c r="M112" s="52" t="inlineStr">
        <is>
          <t>All</t>
        </is>
      </c>
      <c r="N112" s="52" t="n">
        <v>1</v>
      </c>
      <c r="O112" s="52" t="n">
        <v>0</v>
      </c>
      <c r="P112" s="58" t="n">
        <v>2373</v>
      </c>
      <c r="Q112" s="58">
        <f>P112*1.18</f>
        <v/>
      </c>
      <c r="R112" s="58" t="inlineStr">
        <is>
          <t>VAT1 activation data</t>
        </is>
      </c>
    </row>
    <row r="113">
      <c r="A113" s="57" t="n"/>
      <c r="B113" s="52" t="inlineStr">
        <is>
          <t>83DV01BHIN</t>
        </is>
      </c>
      <c r="C113" s="52" t="inlineStr">
        <is>
          <t>T2 Green</t>
        </is>
      </c>
      <c r="D113" s="52" t="inlineStr">
        <is>
          <t>Activation</t>
        </is>
      </c>
      <c r="E113" s="52" t="inlineStr">
        <is>
          <t>Inventory Management - Tactical Support</t>
        </is>
      </c>
      <c r="F113" s="52" t="n"/>
      <c r="G113" s="52" t="inlineStr">
        <is>
          <t>All VAT1</t>
        </is>
      </c>
      <c r="H113" s="52" t="inlineStr">
        <is>
          <t>T3</t>
        </is>
      </c>
      <c r="I113" s="56" t="inlineStr">
        <is>
          <t>1.1.2026</t>
        </is>
      </c>
      <c r="J113" s="56" t="inlineStr">
        <is>
          <t>31.1.2026</t>
        </is>
      </c>
      <c r="K113" s="52" t="inlineStr">
        <is>
          <t>All</t>
        </is>
      </c>
      <c r="L113" s="52" t="inlineStr">
        <is>
          <t>All</t>
        </is>
      </c>
      <c r="M113" s="52" t="inlineStr">
        <is>
          <t>All</t>
        </is>
      </c>
      <c r="N113" s="52" t="n">
        <v>1</v>
      </c>
      <c r="O113" s="52" t="n">
        <v>0</v>
      </c>
      <c r="P113" s="58" t="n">
        <v>4077</v>
      </c>
      <c r="Q113" s="58">
        <f>P113*1.18</f>
        <v/>
      </c>
      <c r="R113" s="58" t="inlineStr">
        <is>
          <t>VAT1 activation data</t>
        </is>
      </c>
    </row>
    <row r="114">
      <c r="A114" s="57" t="n"/>
      <c r="B114" s="52" t="inlineStr">
        <is>
          <t>83DV018PIN</t>
        </is>
      </c>
      <c r="C114" s="52" t="inlineStr">
        <is>
          <t>T2 Green</t>
        </is>
      </c>
      <c r="D114" s="52" t="inlineStr">
        <is>
          <t>Activation</t>
        </is>
      </c>
      <c r="E114" s="52" t="inlineStr">
        <is>
          <t>Inventory Management - Tactical Support</t>
        </is>
      </c>
      <c r="F114" s="52" t="n"/>
      <c r="G114" s="52" t="inlineStr">
        <is>
          <t>All VAT1</t>
        </is>
      </c>
      <c r="H114" s="52" t="inlineStr">
        <is>
          <t>T3</t>
        </is>
      </c>
      <c r="I114" s="56" t="inlineStr">
        <is>
          <t>1.1.2026</t>
        </is>
      </c>
      <c r="J114" s="56" t="inlineStr">
        <is>
          <t>31.1.2026</t>
        </is>
      </c>
      <c r="K114" s="52" t="inlineStr">
        <is>
          <t>All</t>
        </is>
      </c>
      <c r="L114" s="52" t="inlineStr">
        <is>
          <t>All</t>
        </is>
      </c>
      <c r="M114" s="52" t="inlineStr">
        <is>
          <t>All</t>
        </is>
      </c>
      <c r="N114" s="52" t="n">
        <v>1</v>
      </c>
      <c r="O114" s="52" t="n">
        <v>0</v>
      </c>
      <c r="P114" s="58" t="n">
        <v>950</v>
      </c>
      <c r="Q114" s="58">
        <f>P114*1.18</f>
        <v/>
      </c>
      <c r="R114" s="58" t="inlineStr">
        <is>
          <t>VAT1 activation data</t>
        </is>
      </c>
    </row>
    <row r="115">
      <c r="A115" s="57" t="n"/>
      <c r="B115" s="52" t="inlineStr">
        <is>
          <t>83JE00U5IN</t>
        </is>
      </c>
      <c r="C115" s="52" t="inlineStr">
        <is>
          <t>T2 Green</t>
        </is>
      </c>
      <c r="D115" s="52" t="inlineStr">
        <is>
          <t>Activation</t>
        </is>
      </c>
      <c r="E115" s="52" t="inlineStr">
        <is>
          <t>Inventory Management - Tactical Support</t>
        </is>
      </c>
      <c r="F115" s="52" t="n"/>
      <c r="G115" s="52" t="inlineStr">
        <is>
          <t>All VAT1</t>
        </is>
      </c>
      <c r="H115" s="52" t="inlineStr">
        <is>
          <t>T3</t>
        </is>
      </c>
      <c r="I115" s="56" t="inlineStr">
        <is>
          <t>1.1.2026</t>
        </is>
      </c>
      <c r="J115" s="56" t="inlineStr">
        <is>
          <t>31.1.2026</t>
        </is>
      </c>
      <c r="K115" s="52" t="inlineStr">
        <is>
          <t>All</t>
        </is>
      </c>
      <c r="L115" s="52" t="inlineStr">
        <is>
          <t>All</t>
        </is>
      </c>
      <c r="M115" s="52" t="inlineStr">
        <is>
          <t>All</t>
        </is>
      </c>
      <c r="N115" s="52" t="n">
        <v>1</v>
      </c>
      <c r="O115" s="52" t="n">
        <v>0</v>
      </c>
      <c r="P115" s="58" t="n">
        <v>422</v>
      </c>
      <c r="Q115" s="58">
        <f>P115*1.18</f>
        <v/>
      </c>
      <c r="R115" s="58" t="inlineStr">
        <is>
          <t>VAT1 activation data</t>
        </is>
      </c>
    </row>
    <row r="116">
      <c r="A116" s="57" t="n"/>
      <c r="B116" s="52" t="inlineStr">
        <is>
          <t>83DV018FIN</t>
        </is>
      </c>
      <c r="C116" s="52" t="inlineStr">
        <is>
          <t>T2 Green</t>
        </is>
      </c>
      <c r="D116" s="52" t="inlineStr">
        <is>
          <t>Activation</t>
        </is>
      </c>
      <c r="E116" s="52" t="inlineStr">
        <is>
          <t>Inventory Management - Tactical Support</t>
        </is>
      </c>
      <c r="F116" s="52" t="n"/>
      <c r="G116" s="52" t="inlineStr">
        <is>
          <t>All VAT1</t>
        </is>
      </c>
      <c r="H116" s="52" t="inlineStr">
        <is>
          <t>T3</t>
        </is>
      </c>
      <c r="I116" s="56" t="inlineStr">
        <is>
          <t>1.1.2026</t>
        </is>
      </c>
      <c r="J116" s="56" t="inlineStr">
        <is>
          <t>31.1.2026</t>
        </is>
      </c>
      <c r="K116" s="52" t="inlineStr">
        <is>
          <t>All</t>
        </is>
      </c>
      <c r="L116" s="52" t="inlineStr">
        <is>
          <t>All</t>
        </is>
      </c>
      <c r="M116" s="52" t="inlineStr">
        <is>
          <t>All</t>
        </is>
      </c>
      <c r="N116" s="52" t="n">
        <v>1</v>
      </c>
      <c r="O116" s="52" t="n">
        <v>0</v>
      </c>
      <c r="P116" s="58" t="n">
        <v>338</v>
      </c>
      <c r="Q116" s="58">
        <f>P116*1.18</f>
        <v/>
      </c>
      <c r="R116" s="58" t="inlineStr">
        <is>
          <t>VAT1 activation data</t>
        </is>
      </c>
    </row>
    <row r="117">
      <c r="A117" s="57" t="n"/>
      <c r="B117" s="52" t="inlineStr">
        <is>
          <t>83DV018KIN</t>
        </is>
      </c>
      <c r="C117" s="52" t="inlineStr">
        <is>
          <t>T2 Green</t>
        </is>
      </c>
      <c r="D117" s="52" t="inlineStr">
        <is>
          <t>Activation</t>
        </is>
      </c>
      <c r="E117" s="52" t="inlineStr">
        <is>
          <t>Inventory Management - Tactical Support</t>
        </is>
      </c>
      <c r="F117" s="52" t="n"/>
      <c r="G117" s="52" t="inlineStr">
        <is>
          <t>All VAT1</t>
        </is>
      </c>
      <c r="H117" s="52" t="inlineStr">
        <is>
          <t>T3</t>
        </is>
      </c>
      <c r="I117" s="56" t="inlineStr">
        <is>
          <t>1.1.2026</t>
        </is>
      </c>
      <c r="J117" s="56" t="inlineStr">
        <is>
          <t>31.1.2026</t>
        </is>
      </c>
      <c r="K117" s="52" t="inlineStr">
        <is>
          <t>All</t>
        </is>
      </c>
      <c r="L117" s="52" t="inlineStr">
        <is>
          <t>All</t>
        </is>
      </c>
      <c r="M117" s="52" t="inlineStr">
        <is>
          <t>All</t>
        </is>
      </c>
      <c r="N117" s="52" t="n">
        <v>1</v>
      </c>
      <c r="O117" s="52" t="n">
        <v>0</v>
      </c>
      <c r="P117" s="58" t="n">
        <v>835</v>
      </c>
      <c r="Q117" s="58">
        <f>P117*1.18</f>
        <v/>
      </c>
      <c r="R117" s="58" t="inlineStr">
        <is>
          <t>VAT1 activation data</t>
        </is>
      </c>
    </row>
    <row r="118">
      <c r="A118" s="57" t="n"/>
      <c r="B118" s="52" t="inlineStr">
        <is>
          <t>83GS008VIN</t>
        </is>
      </c>
      <c r="C118" s="52" t="inlineStr">
        <is>
          <t>T2 Green</t>
        </is>
      </c>
      <c r="D118" s="52" t="inlineStr">
        <is>
          <t>Activation</t>
        </is>
      </c>
      <c r="E118" s="52" t="inlineStr">
        <is>
          <t>Inventory Management - Tactical Support</t>
        </is>
      </c>
      <c r="F118" s="52" t="n"/>
      <c r="G118" s="52" t="inlineStr">
        <is>
          <t>All VAT1</t>
        </is>
      </c>
      <c r="H118" s="52" t="inlineStr">
        <is>
          <t>T3</t>
        </is>
      </c>
      <c r="I118" s="56" t="inlineStr">
        <is>
          <t>1.1.2026</t>
        </is>
      </c>
      <c r="J118" s="56" t="inlineStr">
        <is>
          <t>31.1.2026</t>
        </is>
      </c>
      <c r="K118" s="52" t="inlineStr">
        <is>
          <t>All</t>
        </is>
      </c>
      <c r="L118" s="52" t="inlineStr">
        <is>
          <t>All</t>
        </is>
      </c>
      <c r="M118" s="52" t="inlineStr">
        <is>
          <t>All</t>
        </is>
      </c>
      <c r="N118" s="52" t="n">
        <v>1</v>
      </c>
      <c r="O118" s="52" t="n">
        <v>0</v>
      </c>
      <c r="P118" s="58" t="n">
        <v>1789</v>
      </c>
      <c r="Q118" s="58">
        <f>P118*1.18</f>
        <v/>
      </c>
      <c r="R118" s="58" t="inlineStr">
        <is>
          <t>VAT1 activation data</t>
        </is>
      </c>
    </row>
    <row r="119">
      <c r="A119" s="57" t="n"/>
      <c r="B119" s="52" t="inlineStr">
        <is>
          <t>83GS00LKIN</t>
        </is>
      </c>
      <c r="C119" s="52" t="inlineStr">
        <is>
          <t>T2 Green</t>
        </is>
      </c>
      <c r="D119" s="52" t="inlineStr">
        <is>
          <t>Activation</t>
        </is>
      </c>
      <c r="E119" s="52" t="inlineStr">
        <is>
          <t>Inventory Management - Tactical Support</t>
        </is>
      </c>
      <c r="F119" s="52" t="n"/>
      <c r="G119" s="52" t="inlineStr">
        <is>
          <t>All VAT1</t>
        </is>
      </c>
      <c r="H119" s="52" t="inlineStr">
        <is>
          <t>T3</t>
        </is>
      </c>
      <c r="I119" s="56" t="inlineStr">
        <is>
          <t>1.1.2026</t>
        </is>
      </c>
      <c r="J119" s="56" t="inlineStr">
        <is>
          <t>31.1.2026</t>
        </is>
      </c>
      <c r="K119" s="52" t="inlineStr">
        <is>
          <t>All</t>
        </is>
      </c>
      <c r="L119" s="52" t="inlineStr">
        <is>
          <t>All</t>
        </is>
      </c>
      <c r="M119" s="52" t="inlineStr">
        <is>
          <t>All</t>
        </is>
      </c>
      <c r="N119" s="52" t="n">
        <v>1</v>
      </c>
      <c r="O119" s="52" t="n">
        <v>0</v>
      </c>
      <c r="P119" s="58" t="n">
        <v>3029</v>
      </c>
      <c r="Q119" s="58">
        <f>P119*1.18</f>
        <v/>
      </c>
      <c r="R119" s="58" t="inlineStr">
        <is>
          <t>VAT1 activation data</t>
        </is>
      </c>
    </row>
    <row r="120">
      <c r="A120" s="57" t="n"/>
      <c r="B120" s="52" t="inlineStr">
        <is>
          <t>83JC0078IN</t>
        </is>
      </c>
      <c r="C120" s="52" t="inlineStr">
        <is>
          <t>T2 Green</t>
        </is>
      </c>
      <c r="D120" s="52" t="inlineStr">
        <is>
          <t>Activation</t>
        </is>
      </c>
      <c r="E120" s="52" t="inlineStr">
        <is>
          <t>Inventory Management - Tactical Support</t>
        </is>
      </c>
      <c r="F120" s="52" t="n"/>
      <c r="G120" s="52" t="inlineStr">
        <is>
          <t>All VAT1</t>
        </is>
      </c>
      <c r="H120" s="52" t="inlineStr">
        <is>
          <t>T3</t>
        </is>
      </c>
      <c r="I120" s="56" t="inlineStr">
        <is>
          <t>1.1.2026</t>
        </is>
      </c>
      <c r="J120" s="56" t="inlineStr">
        <is>
          <t>31.1.2026</t>
        </is>
      </c>
      <c r="K120" s="52" t="inlineStr">
        <is>
          <t>All</t>
        </is>
      </c>
      <c r="L120" s="52" t="inlineStr">
        <is>
          <t>All</t>
        </is>
      </c>
      <c r="M120" s="52" t="inlineStr">
        <is>
          <t>All</t>
        </is>
      </c>
      <c r="N120" s="52" t="n">
        <v>1</v>
      </c>
      <c r="O120" s="52" t="n">
        <v>0</v>
      </c>
      <c r="P120" s="58" t="n">
        <v>445</v>
      </c>
      <c r="Q120" s="58">
        <f>P120*1.18</f>
        <v/>
      </c>
      <c r="R120" s="58" t="inlineStr">
        <is>
          <t>VAT1 activation data</t>
        </is>
      </c>
    </row>
    <row r="121">
      <c r="A121" s="57" t="n"/>
      <c r="B121" s="52" t="inlineStr">
        <is>
          <t>83DV00XFIN</t>
        </is>
      </c>
      <c r="C121" s="52" t="inlineStr">
        <is>
          <t>T2 Green</t>
        </is>
      </c>
      <c r="D121" s="52" t="inlineStr">
        <is>
          <t>Activation</t>
        </is>
      </c>
      <c r="E121" s="52" t="inlineStr">
        <is>
          <t>Inventory Management - Tactical Support</t>
        </is>
      </c>
      <c r="F121" s="52" t="n"/>
      <c r="G121" s="52" t="inlineStr">
        <is>
          <t>All VAT1</t>
        </is>
      </c>
      <c r="H121" s="52" t="inlineStr">
        <is>
          <t>T3</t>
        </is>
      </c>
      <c r="I121" s="56" t="inlineStr">
        <is>
          <t>1.1.2026</t>
        </is>
      </c>
      <c r="J121" s="56" t="inlineStr">
        <is>
          <t>31.1.2026</t>
        </is>
      </c>
      <c r="K121" s="52" t="inlineStr">
        <is>
          <t>All</t>
        </is>
      </c>
      <c r="L121" s="52" t="inlineStr">
        <is>
          <t>All</t>
        </is>
      </c>
      <c r="M121" s="52" t="inlineStr">
        <is>
          <t>All</t>
        </is>
      </c>
      <c r="N121" s="52" t="n">
        <v>1</v>
      </c>
      <c r="O121" s="52" t="n">
        <v>0</v>
      </c>
      <c r="P121" s="58" t="n">
        <v>494</v>
      </c>
      <c r="Q121" s="58">
        <f>P121*1.18</f>
        <v/>
      </c>
      <c r="R121" s="58" t="inlineStr">
        <is>
          <t>VAT1 activation data</t>
        </is>
      </c>
    </row>
    <row r="122">
      <c r="A122" s="57" t="n"/>
      <c r="B122" s="52" t="inlineStr">
        <is>
          <t>83JC0031IN</t>
        </is>
      </c>
      <c r="C122" s="52" t="inlineStr">
        <is>
          <t>T2 Green</t>
        </is>
      </c>
      <c r="D122" s="52" t="inlineStr">
        <is>
          <t>Activation</t>
        </is>
      </c>
      <c r="E122" s="52" t="inlineStr">
        <is>
          <t>Inventory Management - Tactical Support</t>
        </is>
      </c>
      <c r="F122" s="52" t="n"/>
      <c r="G122" s="52" t="inlineStr">
        <is>
          <t>All VAT1</t>
        </is>
      </c>
      <c r="H122" s="52" t="inlineStr">
        <is>
          <t>T3</t>
        </is>
      </c>
      <c r="I122" s="56" t="inlineStr">
        <is>
          <t>1.1.2026</t>
        </is>
      </c>
      <c r="J122" s="56" t="inlineStr">
        <is>
          <t>31.1.2026</t>
        </is>
      </c>
      <c r="K122" s="52" t="inlineStr">
        <is>
          <t>All</t>
        </is>
      </c>
      <c r="L122" s="52" t="inlineStr">
        <is>
          <t>All</t>
        </is>
      </c>
      <c r="M122" s="52" t="inlineStr">
        <is>
          <t>All</t>
        </is>
      </c>
      <c r="N122" s="52" t="n">
        <v>1</v>
      </c>
      <c r="O122" s="52" t="n">
        <v>0</v>
      </c>
      <c r="P122" s="58" t="n">
        <v>445</v>
      </c>
      <c r="Q122" s="58">
        <f>P122*1.18</f>
        <v/>
      </c>
      <c r="R122" s="58" t="inlineStr">
        <is>
          <t>VAT1 activation data</t>
        </is>
      </c>
    </row>
    <row r="123">
      <c r="A123" s="57" t="n"/>
      <c r="B123" s="52" t="inlineStr">
        <is>
          <t>83DV00KUIN</t>
        </is>
      </c>
      <c r="C123" s="52" t="inlineStr">
        <is>
          <t>T2 Green</t>
        </is>
      </c>
      <c r="D123" s="52" t="inlineStr">
        <is>
          <t>Activation</t>
        </is>
      </c>
      <c r="E123" s="52" t="inlineStr">
        <is>
          <t>Inventory Management - Tactical Support</t>
        </is>
      </c>
      <c r="F123" s="52" t="n"/>
      <c r="G123" s="52" t="inlineStr">
        <is>
          <t>All VAT1</t>
        </is>
      </c>
      <c r="H123" s="52" t="inlineStr">
        <is>
          <t>T3</t>
        </is>
      </c>
      <c r="I123" s="56" t="inlineStr">
        <is>
          <t>1.1.2026</t>
        </is>
      </c>
      <c r="J123" s="56" t="inlineStr">
        <is>
          <t>31.1.2026</t>
        </is>
      </c>
      <c r="K123" s="52" t="inlineStr">
        <is>
          <t>All</t>
        </is>
      </c>
      <c r="L123" s="52" t="inlineStr">
        <is>
          <t>All</t>
        </is>
      </c>
      <c r="M123" s="52" t="inlineStr">
        <is>
          <t>All</t>
        </is>
      </c>
      <c r="N123" s="52" t="n">
        <v>1</v>
      </c>
      <c r="O123" s="52" t="n">
        <v>0</v>
      </c>
      <c r="P123" s="58" t="n">
        <v>847</v>
      </c>
      <c r="Q123" s="58">
        <f>P123*1.18</f>
        <v/>
      </c>
      <c r="R123" s="58" t="inlineStr">
        <is>
          <t>VAT1 activation data</t>
        </is>
      </c>
    </row>
    <row r="124">
      <c r="A124" s="57" t="n"/>
      <c r="B124" s="52" t="inlineStr">
        <is>
          <t>83DV018EIN</t>
        </is>
      </c>
      <c r="C124" s="52" t="inlineStr">
        <is>
          <t>T2 Green</t>
        </is>
      </c>
      <c r="D124" s="52" t="inlineStr">
        <is>
          <t>Activation</t>
        </is>
      </c>
      <c r="E124" s="52" t="inlineStr">
        <is>
          <t>Inventory Management - Tactical Support</t>
        </is>
      </c>
      <c r="F124" s="52" t="n"/>
      <c r="G124" s="52" t="inlineStr">
        <is>
          <t>All VAT1</t>
        </is>
      </c>
      <c r="H124" s="52" t="inlineStr">
        <is>
          <t>T3</t>
        </is>
      </c>
      <c r="I124" s="56" t="inlineStr">
        <is>
          <t>1.1.2026</t>
        </is>
      </c>
      <c r="J124" s="56" t="inlineStr">
        <is>
          <t>31.1.2026</t>
        </is>
      </c>
      <c r="K124" s="52" t="inlineStr">
        <is>
          <t>All</t>
        </is>
      </c>
      <c r="L124" s="52" t="inlineStr">
        <is>
          <t>All</t>
        </is>
      </c>
      <c r="M124" s="52" t="inlineStr">
        <is>
          <t>All</t>
        </is>
      </c>
      <c r="N124" s="52" t="n">
        <v>1</v>
      </c>
      <c r="O124" s="52" t="n">
        <v>0</v>
      </c>
      <c r="P124" s="58" t="n">
        <v>6428</v>
      </c>
      <c r="Q124" s="58">
        <f>P124*1.18</f>
        <v/>
      </c>
      <c r="R124" s="58" t="inlineStr">
        <is>
          <t>VAT1 activation data</t>
        </is>
      </c>
    </row>
    <row r="125">
      <c r="A125" s="57" t="n"/>
      <c r="B125" s="52" t="inlineStr">
        <is>
          <t>83LK000HIN</t>
        </is>
      </c>
      <c r="C125" s="52" t="inlineStr">
        <is>
          <t>T2 Green</t>
        </is>
      </c>
      <c r="D125" s="52" t="inlineStr">
        <is>
          <t>Activation</t>
        </is>
      </c>
      <c r="E125" s="52" t="inlineStr">
        <is>
          <t>Inventory Management - Tactical Support</t>
        </is>
      </c>
      <c r="F125" s="52" t="n"/>
      <c r="G125" s="52" t="inlineStr">
        <is>
          <t>All VAT1</t>
        </is>
      </c>
      <c r="H125" s="52" t="inlineStr">
        <is>
          <t>T3</t>
        </is>
      </c>
      <c r="I125" s="56" t="inlineStr">
        <is>
          <t>1.1.2026</t>
        </is>
      </c>
      <c r="J125" s="56" t="inlineStr">
        <is>
          <t>31.1.2026</t>
        </is>
      </c>
      <c r="K125" s="52" t="inlineStr">
        <is>
          <t>All</t>
        </is>
      </c>
      <c r="L125" s="52" t="inlineStr">
        <is>
          <t>All</t>
        </is>
      </c>
      <c r="M125" s="52" t="inlineStr">
        <is>
          <t>All</t>
        </is>
      </c>
      <c r="N125" s="52" t="n">
        <v>1</v>
      </c>
      <c r="O125" s="52" t="n">
        <v>0</v>
      </c>
      <c r="P125" s="58" t="n">
        <v>848</v>
      </c>
      <c r="Q125" s="58">
        <f>P125*1.18</f>
        <v/>
      </c>
      <c r="R125" s="58" t="inlineStr">
        <is>
          <t>VAT1 activation data</t>
        </is>
      </c>
    </row>
    <row r="126">
      <c r="A126" s="57" t="n"/>
      <c r="B126" s="52" t="inlineStr">
        <is>
          <t>83GS003NIN</t>
        </is>
      </c>
      <c r="C126" s="52" t="inlineStr">
        <is>
          <t>T2 Green</t>
        </is>
      </c>
      <c r="D126" s="52" t="inlineStr">
        <is>
          <t>Activation</t>
        </is>
      </c>
      <c r="E126" s="52" t="inlineStr">
        <is>
          <t>Inventory Management - Tactical Support</t>
        </is>
      </c>
      <c r="F126" s="52" t="n"/>
      <c r="G126" s="52" t="inlineStr">
        <is>
          <t>All VAT1</t>
        </is>
      </c>
      <c r="H126" s="52" t="inlineStr">
        <is>
          <t>T3</t>
        </is>
      </c>
      <c r="I126" s="56" t="inlineStr">
        <is>
          <t>1.1.2026</t>
        </is>
      </c>
      <c r="J126" s="56" t="inlineStr">
        <is>
          <t>31.1.2026</t>
        </is>
      </c>
      <c r="K126" s="52" t="inlineStr">
        <is>
          <t>All</t>
        </is>
      </c>
      <c r="L126" s="52" t="inlineStr">
        <is>
          <t>All</t>
        </is>
      </c>
      <c r="M126" s="52" t="inlineStr">
        <is>
          <t>All</t>
        </is>
      </c>
      <c r="N126" s="52" t="n">
        <v>1</v>
      </c>
      <c r="O126" s="52" t="n">
        <v>0</v>
      </c>
      <c r="P126" s="58" t="n">
        <v>2542</v>
      </c>
      <c r="Q126" s="58">
        <f>P126*1.18</f>
        <v/>
      </c>
      <c r="R126" s="58" t="inlineStr">
        <is>
          <t>VAT1 activation data</t>
        </is>
      </c>
    </row>
    <row r="127">
      <c r="A127" s="57" t="n"/>
      <c r="B127" s="52" t="inlineStr">
        <is>
          <t>83GS000PIN</t>
        </is>
      </c>
      <c r="C127" s="52" t="inlineStr">
        <is>
          <t>T2 Green</t>
        </is>
      </c>
      <c r="D127" s="52" t="inlineStr">
        <is>
          <t>Activation</t>
        </is>
      </c>
      <c r="E127" s="52" t="inlineStr">
        <is>
          <t>Inventory Management - Tactical Support</t>
        </is>
      </c>
      <c r="F127" s="52" t="n"/>
      <c r="G127" s="52" t="inlineStr">
        <is>
          <t>All VAT1</t>
        </is>
      </c>
      <c r="H127" s="52" t="inlineStr">
        <is>
          <t>T3</t>
        </is>
      </c>
      <c r="I127" s="56" t="inlineStr">
        <is>
          <t>1.1.2026</t>
        </is>
      </c>
      <c r="J127" s="56" t="inlineStr">
        <is>
          <t>31.1.2026</t>
        </is>
      </c>
      <c r="K127" s="52" t="inlineStr">
        <is>
          <t>All</t>
        </is>
      </c>
      <c r="L127" s="52" t="inlineStr">
        <is>
          <t>All</t>
        </is>
      </c>
      <c r="M127" s="52" t="inlineStr">
        <is>
          <t>All</t>
        </is>
      </c>
      <c r="N127" s="52" t="n">
        <v>1</v>
      </c>
      <c r="O127" s="52" t="n">
        <v>0</v>
      </c>
      <c r="P127" s="58" t="n">
        <v>3029</v>
      </c>
      <c r="Q127" s="58">
        <f>P127*1.18</f>
        <v/>
      </c>
      <c r="R127" s="58" t="inlineStr">
        <is>
          <t>VAT1 activation data</t>
        </is>
      </c>
    </row>
    <row r="128">
      <c r="A128" s="57" t="n"/>
      <c r="B128" s="52" t="inlineStr">
        <is>
          <t>83GS008SIN</t>
        </is>
      </c>
      <c r="C128" s="52" t="inlineStr">
        <is>
          <t>T2 Green</t>
        </is>
      </c>
      <c r="D128" s="52" t="inlineStr">
        <is>
          <t>Activation</t>
        </is>
      </c>
      <c r="E128" s="52" t="inlineStr">
        <is>
          <t>Inventory Management - Tactical Support</t>
        </is>
      </c>
      <c r="F128" s="52" t="n"/>
      <c r="G128" s="52" t="inlineStr">
        <is>
          <t>All VAT1</t>
        </is>
      </c>
      <c r="H128" s="52" t="inlineStr">
        <is>
          <t>T3</t>
        </is>
      </c>
      <c r="I128" s="56" t="inlineStr">
        <is>
          <t>1.1.2026</t>
        </is>
      </c>
      <c r="J128" s="56" t="inlineStr">
        <is>
          <t>31.1.2026</t>
        </is>
      </c>
      <c r="K128" s="52" t="inlineStr">
        <is>
          <t>All</t>
        </is>
      </c>
      <c r="L128" s="52" t="inlineStr">
        <is>
          <t>All</t>
        </is>
      </c>
      <c r="M128" s="52" t="inlineStr">
        <is>
          <t>All</t>
        </is>
      </c>
      <c r="N128" s="52" t="n">
        <v>1</v>
      </c>
      <c r="O128" s="52" t="n">
        <v>0</v>
      </c>
      <c r="P128" s="58" t="n">
        <v>616</v>
      </c>
      <c r="Q128" s="58">
        <f>P128*1.18</f>
        <v/>
      </c>
      <c r="R128" s="58" t="inlineStr">
        <is>
          <t>VAT1 activation data</t>
        </is>
      </c>
    </row>
    <row r="129">
      <c r="A129" s="57" t="n"/>
      <c r="B129" s="52" t="inlineStr">
        <is>
          <t>83GS0097IN</t>
        </is>
      </c>
      <c r="C129" s="52" t="inlineStr">
        <is>
          <t>T2 Green</t>
        </is>
      </c>
      <c r="D129" s="52" t="inlineStr">
        <is>
          <t>Activation</t>
        </is>
      </c>
      <c r="E129" s="52" t="inlineStr">
        <is>
          <t>Inventory Management - Tactical Support</t>
        </is>
      </c>
      <c r="F129" s="52" t="n"/>
      <c r="G129" s="52" t="inlineStr">
        <is>
          <t>All VAT1</t>
        </is>
      </c>
      <c r="H129" s="52" t="inlineStr">
        <is>
          <t>T3</t>
        </is>
      </c>
      <c r="I129" s="56" t="inlineStr">
        <is>
          <t>1.1.2026</t>
        </is>
      </c>
      <c r="J129" s="56" t="inlineStr">
        <is>
          <t>31.1.2026</t>
        </is>
      </c>
      <c r="K129" s="52" t="inlineStr">
        <is>
          <t>All</t>
        </is>
      </c>
      <c r="L129" s="52" t="inlineStr">
        <is>
          <t>All</t>
        </is>
      </c>
      <c r="M129" s="52" t="inlineStr">
        <is>
          <t>All</t>
        </is>
      </c>
      <c r="N129" s="52" t="n">
        <v>1</v>
      </c>
      <c r="O129" s="52" t="n">
        <v>0</v>
      </c>
      <c r="P129" s="58" t="n">
        <v>593</v>
      </c>
      <c r="Q129" s="58">
        <f>P129*1.18</f>
        <v/>
      </c>
      <c r="R129" s="58" t="inlineStr">
        <is>
          <t>VAT1 activation data</t>
        </is>
      </c>
    </row>
    <row r="130">
      <c r="A130" s="57" t="n"/>
      <c r="B130" s="52" t="inlineStr">
        <is>
          <t>83FQ002QIN</t>
        </is>
      </c>
      <c r="C130" s="52" t="inlineStr">
        <is>
          <t>T2 Green</t>
        </is>
      </c>
      <c r="D130" s="52" t="inlineStr">
        <is>
          <t>Activation</t>
        </is>
      </c>
      <c r="E130" s="52" t="inlineStr">
        <is>
          <t>Inventory Management - Tactical Support</t>
        </is>
      </c>
      <c r="F130" s="52" t="n"/>
      <c r="G130" s="52" t="inlineStr">
        <is>
          <t>All VAT1</t>
        </is>
      </c>
      <c r="H130" s="52" t="inlineStr">
        <is>
          <t>T3</t>
        </is>
      </c>
      <c r="I130" s="56" t="inlineStr">
        <is>
          <t>1.1.2026</t>
        </is>
      </c>
      <c r="J130" s="56" t="inlineStr">
        <is>
          <t>31.1.2026</t>
        </is>
      </c>
      <c r="K130" s="52" t="inlineStr">
        <is>
          <t>All</t>
        </is>
      </c>
      <c r="L130" s="52" t="inlineStr">
        <is>
          <t>All</t>
        </is>
      </c>
      <c r="M130" s="52" t="inlineStr">
        <is>
          <t>All</t>
        </is>
      </c>
      <c r="N130" s="52" t="n">
        <v>1</v>
      </c>
      <c r="O130" s="52" t="n">
        <v>0</v>
      </c>
      <c r="P130" s="58" t="n">
        <v>5750</v>
      </c>
      <c r="Q130" s="58">
        <f>P130*1.18</f>
        <v/>
      </c>
      <c r="R130" s="58" t="inlineStr">
        <is>
          <t>VAT1 activation data</t>
        </is>
      </c>
    </row>
    <row r="131">
      <c r="A131" s="57" t="n"/>
      <c r="B131" s="52" t="inlineStr">
        <is>
          <t>82XV00F5IN</t>
        </is>
      </c>
      <c r="C131" s="52" t="inlineStr">
        <is>
          <t>T2 Green</t>
        </is>
      </c>
      <c r="D131" s="52" t="inlineStr">
        <is>
          <t>Activation</t>
        </is>
      </c>
      <c r="E131" s="52" t="inlineStr">
        <is>
          <t>Inventory Management - Tactical Support</t>
        </is>
      </c>
      <c r="F131" s="52" t="n"/>
      <c r="G131" s="52" t="inlineStr">
        <is>
          <t>All VAT1</t>
        </is>
      </c>
      <c r="H131" s="52" t="inlineStr">
        <is>
          <t>T3</t>
        </is>
      </c>
      <c r="I131" s="56" t="inlineStr">
        <is>
          <t>1.1.2026</t>
        </is>
      </c>
      <c r="J131" s="56" t="inlineStr">
        <is>
          <t>31.1.2026</t>
        </is>
      </c>
      <c r="K131" s="52" t="inlineStr">
        <is>
          <t>All</t>
        </is>
      </c>
      <c r="L131" s="52" t="inlineStr">
        <is>
          <t>All</t>
        </is>
      </c>
      <c r="M131" s="52" t="inlineStr">
        <is>
          <t>All</t>
        </is>
      </c>
      <c r="N131" s="52" t="n">
        <v>1</v>
      </c>
      <c r="O131" s="52" t="n">
        <v>0</v>
      </c>
      <c r="P131" s="58" t="n">
        <v>8387</v>
      </c>
      <c r="Q131" s="58">
        <f>P131*1.18</f>
        <v/>
      </c>
      <c r="R131" s="58" t="inlineStr">
        <is>
          <t>VAT1 activation data</t>
        </is>
      </c>
    </row>
    <row r="132">
      <c r="A132" s="57" t="n"/>
      <c r="B132" s="52" t="inlineStr">
        <is>
          <t>83GS00CKIN</t>
        </is>
      </c>
      <c r="C132" s="52" t="inlineStr">
        <is>
          <t>T2 Green</t>
        </is>
      </c>
      <c r="D132" s="52" t="inlineStr">
        <is>
          <t>Activation</t>
        </is>
      </c>
      <c r="E132" s="52" t="inlineStr">
        <is>
          <t>Inventory Management - Tactical Support</t>
        </is>
      </c>
      <c r="F132" s="52" t="n"/>
      <c r="G132" s="52" t="inlineStr">
        <is>
          <t>All VAT1</t>
        </is>
      </c>
      <c r="H132" s="52" t="inlineStr">
        <is>
          <t>T3</t>
        </is>
      </c>
      <c r="I132" s="56" t="inlineStr">
        <is>
          <t>1.1.2026</t>
        </is>
      </c>
      <c r="J132" s="56" t="inlineStr">
        <is>
          <t>31.1.2026</t>
        </is>
      </c>
      <c r="K132" s="52" t="inlineStr">
        <is>
          <t>All</t>
        </is>
      </c>
      <c r="L132" s="52" t="inlineStr">
        <is>
          <t>All</t>
        </is>
      </c>
      <c r="M132" s="52" t="inlineStr">
        <is>
          <t>All</t>
        </is>
      </c>
      <c r="N132" s="52" t="n">
        <v>1</v>
      </c>
      <c r="O132" s="52" t="n">
        <v>0</v>
      </c>
      <c r="P132" s="58" t="n">
        <v>424</v>
      </c>
      <c r="Q132" s="58">
        <f>P132*1.18</f>
        <v/>
      </c>
      <c r="R132" s="58" t="inlineStr">
        <is>
          <t>VAT1 activation data</t>
        </is>
      </c>
    </row>
    <row r="133">
      <c r="A133" s="57" t="n"/>
      <c r="B133" s="52" t="inlineStr">
        <is>
          <t>83DV00X7IN</t>
        </is>
      </c>
      <c r="C133" s="52" t="inlineStr">
        <is>
          <t>T2 Green</t>
        </is>
      </c>
      <c r="D133" s="52" t="inlineStr">
        <is>
          <t>Activation</t>
        </is>
      </c>
      <c r="E133" s="52" t="inlineStr">
        <is>
          <t>Inventory Management - Tactical Support</t>
        </is>
      </c>
      <c r="F133" s="52" t="n"/>
      <c r="G133" s="52" t="inlineStr">
        <is>
          <t>All VAT1</t>
        </is>
      </c>
      <c r="H133" s="52" t="inlineStr">
        <is>
          <t>T3</t>
        </is>
      </c>
      <c r="I133" s="56" t="inlineStr">
        <is>
          <t>1.1.2026</t>
        </is>
      </c>
      <c r="J133" s="56" t="inlineStr">
        <is>
          <t>31.1.2026</t>
        </is>
      </c>
      <c r="K133" s="52" t="inlineStr">
        <is>
          <t>All</t>
        </is>
      </c>
      <c r="L133" s="52" t="inlineStr">
        <is>
          <t>All</t>
        </is>
      </c>
      <c r="M133" s="52" t="inlineStr">
        <is>
          <t>All</t>
        </is>
      </c>
      <c r="N133" s="52" t="n">
        <v>1</v>
      </c>
      <c r="O133" s="52" t="n">
        <v>0</v>
      </c>
      <c r="P133" s="58" t="n">
        <v>1695</v>
      </c>
      <c r="Q133" s="58">
        <f>P133*1.18</f>
        <v/>
      </c>
      <c r="R133" s="58" t="inlineStr">
        <is>
          <t>VAT1 activation data</t>
        </is>
      </c>
    </row>
    <row r="134">
      <c r="A134" s="57" t="n"/>
      <c r="B134" s="52" t="inlineStr">
        <is>
          <t>83JC00MUIN</t>
        </is>
      </c>
      <c r="C134" s="52" t="inlineStr">
        <is>
          <t>T2 Green</t>
        </is>
      </c>
      <c r="D134" s="52" t="inlineStr">
        <is>
          <t>Activation</t>
        </is>
      </c>
      <c r="E134" s="52" t="inlineStr">
        <is>
          <t>Inventory Management - Tactical Support</t>
        </is>
      </c>
      <c r="F134" s="52" t="n"/>
      <c r="G134" s="52" t="inlineStr">
        <is>
          <t>All VAT1</t>
        </is>
      </c>
      <c r="H134" s="52" t="inlineStr">
        <is>
          <t>T3</t>
        </is>
      </c>
      <c r="I134" s="56" t="inlineStr">
        <is>
          <t>1.1.2026</t>
        </is>
      </c>
      <c r="J134" s="56" t="inlineStr">
        <is>
          <t>31.1.2026</t>
        </is>
      </c>
      <c r="K134" s="52" t="inlineStr">
        <is>
          <t>All</t>
        </is>
      </c>
      <c r="L134" s="52" t="inlineStr">
        <is>
          <t>All</t>
        </is>
      </c>
      <c r="M134" s="52" t="inlineStr">
        <is>
          <t>All</t>
        </is>
      </c>
      <c r="N134" s="52" t="n">
        <v>1</v>
      </c>
      <c r="O134" s="52" t="n">
        <v>0</v>
      </c>
      <c r="P134" s="58" t="n">
        <v>2334</v>
      </c>
      <c r="Q134" s="58">
        <f>P134*1.18</f>
        <v/>
      </c>
      <c r="R134" s="58" t="inlineStr">
        <is>
          <t>VAT1 activation data</t>
        </is>
      </c>
    </row>
    <row r="135">
      <c r="A135" s="57" t="n"/>
      <c r="B135" s="52" t="inlineStr">
        <is>
          <t>83DV00XHIN</t>
        </is>
      </c>
      <c r="C135" s="52" t="inlineStr">
        <is>
          <t>T2 Green</t>
        </is>
      </c>
      <c r="D135" s="52" t="inlineStr">
        <is>
          <t>Activation</t>
        </is>
      </c>
      <c r="E135" s="52" t="inlineStr">
        <is>
          <t>Inventory Management - Tactical Support</t>
        </is>
      </c>
      <c r="F135" s="52" t="n"/>
      <c r="G135" s="52" t="inlineStr">
        <is>
          <t>All VAT1</t>
        </is>
      </c>
      <c r="H135" s="52" t="inlineStr">
        <is>
          <t>T3</t>
        </is>
      </c>
      <c r="I135" s="56" t="inlineStr">
        <is>
          <t>1.1.2026</t>
        </is>
      </c>
      <c r="J135" s="56" t="inlineStr">
        <is>
          <t>31.1.2026</t>
        </is>
      </c>
      <c r="K135" s="52" t="inlineStr">
        <is>
          <t>All</t>
        </is>
      </c>
      <c r="L135" s="52" t="inlineStr">
        <is>
          <t>All</t>
        </is>
      </c>
      <c r="M135" s="52" t="inlineStr">
        <is>
          <t>All</t>
        </is>
      </c>
      <c r="N135" s="52" t="n">
        <v>1</v>
      </c>
      <c r="O135" s="52" t="n">
        <v>0</v>
      </c>
      <c r="P135" s="58" t="n">
        <v>9322</v>
      </c>
      <c r="Q135" s="58">
        <f>P135*1.18</f>
        <v/>
      </c>
      <c r="R135" s="58" t="inlineStr">
        <is>
          <t>VAT1 activation data</t>
        </is>
      </c>
    </row>
    <row r="136">
      <c r="A136" s="57" t="n"/>
      <c r="B136" s="52" t="inlineStr">
        <is>
          <t>83DV00B8IN</t>
        </is>
      </c>
      <c r="C136" s="52" t="inlineStr">
        <is>
          <t>T2 Green</t>
        </is>
      </c>
      <c r="D136" s="52" t="inlineStr">
        <is>
          <t>Activation</t>
        </is>
      </c>
      <c r="E136" s="52" t="inlineStr">
        <is>
          <t>Inventory Management - Tactical Support</t>
        </is>
      </c>
      <c r="F136" s="52" t="n"/>
      <c r="G136" s="52" t="inlineStr">
        <is>
          <t>All VAT1</t>
        </is>
      </c>
      <c r="H136" s="52" t="inlineStr">
        <is>
          <t>T3</t>
        </is>
      </c>
      <c r="I136" s="56" t="inlineStr">
        <is>
          <t>1.1.2026</t>
        </is>
      </c>
      <c r="J136" s="56" t="inlineStr">
        <is>
          <t>31.1.2026</t>
        </is>
      </c>
      <c r="K136" s="52" t="inlineStr">
        <is>
          <t>All</t>
        </is>
      </c>
      <c r="L136" s="52" t="inlineStr">
        <is>
          <t>All</t>
        </is>
      </c>
      <c r="M136" s="52" t="inlineStr">
        <is>
          <t>All</t>
        </is>
      </c>
      <c r="N136" s="52" t="n">
        <v>1</v>
      </c>
      <c r="O136" s="52" t="n">
        <v>0</v>
      </c>
      <c r="P136" s="58" t="n">
        <v>12288</v>
      </c>
      <c r="Q136" s="58">
        <f>P136*1.18</f>
        <v/>
      </c>
      <c r="R136" s="58" t="inlineStr">
        <is>
          <t>VAT1 activation data</t>
        </is>
      </c>
    </row>
    <row r="137">
      <c r="A137" s="57" t="n"/>
      <c r="B137" s="52" t="inlineStr">
        <is>
          <t>83GS003VIN</t>
        </is>
      </c>
      <c r="C137" s="52" t="inlineStr">
        <is>
          <t>T2 Green</t>
        </is>
      </c>
      <c r="D137" s="52" t="inlineStr">
        <is>
          <t>Activation</t>
        </is>
      </c>
      <c r="E137" s="52" t="inlineStr">
        <is>
          <t>Inventory Management - Tactical Support</t>
        </is>
      </c>
      <c r="F137" s="52" t="n"/>
      <c r="G137" s="52" t="inlineStr">
        <is>
          <t>All VAT1</t>
        </is>
      </c>
      <c r="H137" s="52" t="inlineStr">
        <is>
          <t>T3</t>
        </is>
      </c>
      <c r="I137" s="56" t="inlineStr">
        <is>
          <t>1.1.2026</t>
        </is>
      </c>
      <c r="J137" s="56" t="inlineStr">
        <is>
          <t>31.1.2026</t>
        </is>
      </c>
      <c r="K137" s="52" t="inlineStr">
        <is>
          <t>All</t>
        </is>
      </c>
      <c r="L137" s="52" t="inlineStr">
        <is>
          <t>All</t>
        </is>
      </c>
      <c r="M137" s="52" t="inlineStr">
        <is>
          <t>All</t>
        </is>
      </c>
      <c r="N137" s="52" t="n">
        <v>1</v>
      </c>
      <c r="O137" s="52" t="n">
        <v>0</v>
      </c>
      <c r="P137" s="58" t="n">
        <v>5932</v>
      </c>
      <c r="Q137" s="58">
        <f>P137*1.18</f>
        <v/>
      </c>
      <c r="R137" s="58" t="inlineStr">
        <is>
          <t>VAT1 activation data</t>
        </is>
      </c>
    </row>
    <row r="138">
      <c r="A138" s="57" t="n"/>
      <c r="B138" s="52" t="inlineStr">
        <is>
          <t>83DV00PQIN</t>
        </is>
      </c>
      <c r="C138" s="52" t="inlineStr">
        <is>
          <t>T2 Green</t>
        </is>
      </c>
      <c r="D138" s="52" t="inlineStr">
        <is>
          <t>Activation</t>
        </is>
      </c>
      <c r="E138" s="52" t="inlineStr">
        <is>
          <t>Inventory Management - Tactical Support</t>
        </is>
      </c>
      <c r="F138" s="52" t="n"/>
      <c r="G138" s="52" t="inlineStr">
        <is>
          <t>All VAT1</t>
        </is>
      </c>
      <c r="H138" s="52" t="inlineStr">
        <is>
          <t>T3</t>
        </is>
      </c>
      <c r="I138" s="56" t="inlineStr">
        <is>
          <t>1.1.2026</t>
        </is>
      </c>
      <c r="J138" s="56" t="inlineStr">
        <is>
          <t>31.1.2026</t>
        </is>
      </c>
      <c r="K138" s="52" t="inlineStr">
        <is>
          <t>All</t>
        </is>
      </c>
      <c r="L138" s="52" t="inlineStr">
        <is>
          <t>All</t>
        </is>
      </c>
      <c r="M138" s="52" t="inlineStr">
        <is>
          <t>All</t>
        </is>
      </c>
      <c r="N138" s="52" t="n">
        <v>1</v>
      </c>
      <c r="O138" s="52" t="n">
        <v>0</v>
      </c>
      <c r="P138" s="58" t="n">
        <v>848</v>
      </c>
      <c r="Q138" s="58">
        <f>P138*1.18</f>
        <v/>
      </c>
      <c r="R138" s="58" t="inlineStr">
        <is>
          <t>VAT1 activation data</t>
        </is>
      </c>
    </row>
    <row r="139">
      <c r="A139" s="57" t="n"/>
      <c r="B139" s="52" t="inlineStr">
        <is>
          <t>83DV00L0IN</t>
        </is>
      </c>
      <c r="C139" s="52" t="inlineStr">
        <is>
          <t>T2 Green</t>
        </is>
      </c>
      <c r="D139" s="52" t="inlineStr">
        <is>
          <t>Activation</t>
        </is>
      </c>
      <c r="E139" s="52" t="inlineStr">
        <is>
          <t>Inventory Management - Tactical Support</t>
        </is>
      </c>
      <c r="F139" s="52" t="n"/>
      <c r="G139" s="52" t="inlineStr">
        <is>
          <t>All VAT1</t>
        </is>
      </c>
      <c r="H139" s="52" t="inlineStr">
        <is>
          <t>T3</t>
        </is>
      </c>
      <c r="I139" s="56" t="inlineStr">
        <is>
          <t>1.1.2026</t>
        </is>
      </c>
      <c r="J139" s="56" t="inlineStr">
        <is>
          <t>31.1.2026</t>
        </is>
      </c>
      <c r="K139" s="52" t="inlineStr">
        <is>
          <t>All</t>
        </is>
      </c>
      <c r="L139" s="52" t="inlineStr">
        <is>
          <t>All</t>
        </is>
      </c>
      <c r="M139" s="52" t="inlineStr">
        <is>
          <t>All</t>
        </is>
      </c>
      <c r="N139" s="52" t="n">
        <v>1</v>
      </c>
      <c r="O139" s="52" t="n">
        <v>0</v>
      </c>
      <c r="P139" s="58" t="n">
        <v>1695</v>
      </c>
      <c r="Q139" s="58">
        <f>P139*1.18</f>
        <v/>
      </c>
      <c r="R139" s="58" t="inlineStr">
        <is>
          <t>VAT1 activation data</t>
        </is>
      </c>
    </row>
    <row r="140">
      <c r="A140" s="57" t="n"/>
      <c r="B140" s="52" t="inlineStr">
        <is>
          <t>83DV00LWIN</t>
        </is>
      </c>
      <c r="C140" s="52" t="inlineStr">
        <is>
          <t>T2 Green</t>
        </is>
      </c>
      <c r="D140" s="52" t="inlineStr">
        <is>
          <t>Activation</t>
        </is>
      </c>
      <c r="E140" s="52" t="inlineStr">
        <is>
          <t>Inventory Management - Tactical Support</t>
        </is>
      </c>
      <c r="F140" s="52" t="n"/>
      <c r="G140" s="52" t="inlineStr">
        <is>
          <t>All VAT1</t>
        </is>
      </c>
      <c r="H140" s="52" t="inlineStr">
        <is>
          <t>T3</t>
        </is>
      </c>
      <c r="I140" s="56" t="inlineStr">
        <is>
          <t>1.1.2026</t>
        </is>
      </c>
      <c r="J140" s="56" t="inlineStr">
        <is>
          <t>31.1.2026</t>
        </is>
      </c>
      <c r="K140" s="52" t="inlineStr">
        <is>
          <t>All</t>
        </is>
      </c>
      <c r="L140" s="52" t="inlineStr">
        <is>
          <t>All</t>
        </is>
      </c>
      <c r="M140" s="52" t="inlineStr">
        <is>
          <t>All</t>
        </is>
      </c>
      <c r="N140" s="52" t="n">
        <v>1</v>
      </c>
      <c r="O140" s="52" t="n">
        <v>0</v>
      </c>
      <c r="P140" s="58" t="n">
        <v>6801</v>
      </c>
      <c r="Q140" s="58">
        <f>P140*1.18</f>
        <v/>
      </c>
      <c r="R140" s="58" t="inlineStr">
        <is>
          <t>VAT1 activation data</t>
        </is>
      </c>
    </row>
    <row r="141">
      <c r="A141" s="57" t="n"/>
      <c r="B141" s="52" t="inlineStr">
        <is>
          <t>83DV00MKIN</t>
        </is>
      </c>
      <c r="C141" s="52" t="inlineStr">
        <is>
          <t>T2 Green</t>
        </is>
      </c>
      <c r="D141" s="52" t="inlineStr">
        <is>
          <t>Activation</t>
        </is>
      </c>
      <c r="E141" s="52" t="inlineStr">
        <is>
          <t>Inventory Management - Tactical Support</t>
        </is>
      </c>
      <c r="F141" s="52" t="n"/>
      <c r="G141" s="52" t="inlineStr">
        <is>
          <t>All VAT1</t>
        </is>
      </c>
      <c r="H141" s="52" t="inlineStr">
        <is>
          <t>T3</t>
        </is>
      </c>
      <c r="I141" s="56" t="inlineStr">
        <is>
          <t>1.1.2026</t>
        </is>
      </c>
      <c r="J141" s="56" t="inlineStr">
        <is>
          <t>31.1.2026</t>
        </is>
      </c>
      <c r="K141" s="52" t="inlineStr">
        <is>
          <t>All</t>
        </is>
      </c>
      <c r="L141" s="52" t="inlineStr">
        <is>
          <t>All</t>
        </is>
      </c>
      <c r="M141" s="52" t="inlineStr">
        <is>
          <t>All</t>
        </is>
      </c>
      <c r="N141" s="52" t="n">
        <v>1</v>
      </c>
      <c r="O141" s="52" t="n">
        <v>0</v>
      </c>
      <c r="P141" s="58" t="n">
        <v>7203</v>
      </c>
      <c r="Q141" s="58">
        <f>P141*1.18</f>
        <v/>
      </c>
      <c r="R141" s="58" t="inlineStr">
        <is>
          <t>VAT1 activation data</t>
        </is>
      </c>
    </row>
    <row r="142">
      <c r="A142" s="57" t="n"/>
      <c r="B142" s="52" t="inlineStr">
        <is>
          <t>83DX0006IN</t>
        </is>
      </c>
      <c r="C142" s="52" t="inlineStr">
        <is>
          <t>T2 Green</t>
        </is>
      </c>
      <c r="D142" s="52" t="inlineStr">
        <is>
          <t>Activation</t>
        </is>
      </c>
      <c r="E142" s="52" t="inlineStr">
        <is>
          <t>Inventory Management - Tactical Support</t>
        </is>
      </c>
      <c r="F142" s="52" t="n"/>
      <c r="G142" s="52" t="inlineStr">
        <is>
          <t>All VAT1</t>
        </is>
      </c>
      <c r="H142" s="52" t="inlineStr">
        <is>
          <t>T3</t>
        </is>
      </c>
      <c r="I142" s="56" t="inlineStr">
        <is>
          <t>1.1.2026</t>
        </is>
      </c>
      <c r="J142" s="56" t="inlineStr">
        <is>
          <t>31.1.2026</t>
        </is>
      </c>
      <c r="K142" s="52" t="inlineStr">
        <is>
          <t>All</t>
        </is>
      </c>
      <c r="L142" s="52" t="inlineStr">
        <is>
          <t>All</t>
        </is>
      </c>
      <c r="M142" s="52" t="inlineStr">
        <is>
          <t>All</t>
        </is>
      </c>
      <c r="N142" s="52" t="n">
        <v>1</v>
      </c>
      <c r="O142" s="52" t="n">
        <v>0</v>
      </c>
      <c r="P142" s="58" t="n">
        <v>8898</v>
      </c>
      <c r="Q142" s="58">
        <f>P142*1.18</f>
        <v/>
      </c>
      <c r="R142" s="58" t="inlineStr">
        <is>
          <t>VAT1 activation data</t>
        </is>
      </c>
    </row>
    <row r="143">
      <c r="A143" s="57" t="n"/>
      <c r="B143" s="52" t="inlineStr">
        <is>
          <t>83DV00HDIN</t>
        </is>
      </c>
      <c r="C143" s="52" t="inlineStr">
        <is>
          <t>T2 Green</t>
        </is>
      </c>
      <c r="D143" s="52" t="inlineStr">
        <is>
          <t>Activation</t>
        </is>
      </c>
      <c r="E143" s="52" t="inlineStr">
        <is>
          <t>Inventory Management - Tactical Support</t>
        </is>
      </c>
      <c r="F143" s="52" t="n"/>
      <c r="G143" s="52" t="inlineStr">
        <is>
          <t>All VAT1</t>
        </is>
      </c>
      <c r="H143" s="52" t="inlineStr">
        <is>
          <t>T3</t>
        </is>
      </c>
      <c r="I143" s="56" t="inlineStr">
        <is>
          <t>1.1.2026</t>
        </is>
      </c>
      <c r="J143" s="56" t="inlineStr">
        <is>
          <t>31.1.2026</t>
        </is>
      </c>
      <c r="K143" s="52" t="inlineStr">
        <is>
          <t>All</t>
        </is>
      </c>
      <c r="L143" s="52" t="inlineStr">
        <is>
          <t>All</t>
        </is>
      </c>
      <c r="M143" s="52" t="inlineStr">
        <is>
          <t>All</t>
        </is>
      </c>
      <c r="N143" s="52" t="n">
        <v>1</v>
      </c>
      <c r="O143" s="52" t="n">
        <v>0</v>
      </c>
      <c r="P143" s="58" t="n">
        <v>9746</v>
      </c>
      <c r="Q143" s="58">
        <f>P143*1.18</f>
        <v/>
      </c>
      <c r="R143" s="58" t="inlineStr">
        <is>
          <t>VAT1 activation data</t>
        </is>
      </c>
    </row>
    <row r="144">
      <c r="A144" s="57" t="n"/>
      <c r="B144" s="52" t="inlineStr">
        <is>
          <t>83GS00CJIN</t>
        </is>
      </c>
      <c r="C144" s="52" t="inlineStr">
        <is>
          <t>T2 Green</t>
        </is>
      </c>
      <c r="D144" s="52" t="inlineStr">
        <is>
          <t>Activation</t>
        </is>
      </c>
      <c r="E144" s="52" t="inlineStr">
        <is>
          <t>Inventory Management - Tactical Support</t>
        </is>
      </c>
      <c r="F144" s="52" t="n"/>
      <c r="G144" s="52" t="inlineStr">
        <is>
          <t>All VAT1</t>
        </is>
      </c>
      <c r="H144" s="52" t="inlineStr">
        <is>
          <t>T3</t>
        </is>
      </c>
      <c r="I144" s="56" t="inlineStr">
        <is>
          <t>1.1.2026</t>
        </is>
      </c>
      <c r="J144" s="56" t="inlineStr">
        <is>
          <t>31.1.2026</t>
        </is>
      </c>
      <c r="K144" s="52" t="inlineStr">
        <is>
          <t>All</t>
        </is>
      </c>
      <c r="L144" s="52" t="inlineStr">
        <is>
          <t>All</t>
        </is>
      </c>
      <c r="M144" s="52" t="inlineStr">
        <is>
          <t>All</t>
        </is>
      </c>
      <c r="N144" s="52" t="n">
        <v>1</v>
      </c>
      <c r="O144" s="52" t="n">
        <v>0</v>
      </c>
      <c r="P144" s="58" t="n">
        <v>5953</v>
      </c>
      <c r="Q144" s="58">
        <f>P144*1.18</f>
        <v/>
      </c>
      <c r="R144" s="58" t="inlineStr">
        <is>
          <t>VAT1 activation data</t>
        </is>
      </c>
    </row>
    <row r="145">
      <c r="A145" s="57" t="n"/>
      <c r="B145" s="52" t="inlineStr">
        <is>
          <t>83DV00HAIN</t>
        </is>
      </c>
      <c r="C145" s="52" t="inlineStr">
        <is>
          <t>T2 Green</t>
        </is>
      </c>
      <c r="D145" s="52" t="inlineStr">
        <is>
          <t>Activation</t>
        </is>
      </c>
      <c r="E145" s="52" t="inlineStr">
        <is>
          <t>Inventory Management - Tactical Support</t>
        </is>
      </c>
      <c r="F145" s="52" t="n"/>
      <c r="G145" s="52" t="inlineStr">
        <is>
          <t>All VAT1</t>
        </is>
      </c>
      <c r="H145" s="52" t="inlineStr">
        <is>
          <t>T3</t>
        </is>
      </c>
      <c r="I145" s="56" t="inlineStr">
        <is>
          <t>1.1.2026</t>
        </is>
      </c>
      <c r="J145" s="56" t="inlineStr">
        <is>
          <t>31.1.2026</t>
        </is>
      </c>
      <c r="K145" s="52" t="inlineStr">
        <is>
          <t>All</t>
        </is>
      </c>
      <c r="L145" s="52" t="inlineStr">
        <is>
          <t>All</t>
        </is>
      </c>
      <c r="M145" s="52" t="inlineStr">
        <is>
          <t>All</t>
        </is>
      </c>
      <c r="N145" s="52" t="n">
        <v>1</v>
      </c>
      <c r="O145" s="52" t="n">
        <v>0</v>
      </c>
      <c r="P145" s="58" t="n">
        <v>7203</v>
      </c>
      <c r="Q145" s="58">
        <f>P145*1.18</f>
        <v/>
      </c>
      <c r="R145" s="58" t="inlineStr">
        <is>
          <t>VAT1 activation data</t>
        </is>
      </c>
    </row>
    <row r="146">
      <c r="A146" s="57" t="n"/>
      <c r="B146" s="52" t="inlineStr">
        <is>
          <t>83DV00MLIN</t>
        </is>
      </c>
      <c r="C146" s="52" t="inlineStr">
        <is>
          <t>T2 Green</t>
        </is>
      </c>
      <c r="D146" s="52" t="inlineStr">
        <is>
          <t>Activation</t>
        </is>
      </c>
      <c r="E146" s="52" t="inlineStr">
        <is>
          <t>Inventory Management - Tactical Support</t>
        </is>
      </c>
      <c r="F146" s="52" t="n"/>
      <c r="G146" s="52" t="inlineStr">
        <is>
          <t>All VAT1</t>
        </is>
      </c>
      <c r="H146" s="52" t="inlineStr">
        <is>
          <t>T3</t>
        </is>
      </c>
      <c r="I146" s="56" t="inlineStr">
        <is>
          <t>1.1.2026</t>
        </is>
      </c>
      <c r="J146" s="56" t="inlineStr">
        <is>
          <t>31.1.2026</t>
        </is>
      </c>
      <c r="K146" s="52" t="inlineStr">
        <is>
          <t>All</t>
        </is>
      </c>
      <c r="L146" s="52" t="inlineStr">
        <is>
          <t>All</t>
        </is>
      </c>
      <c r="M146" s="52" t="inlineStr">
        <is>
          <t>All</t>
        </is>
      </c>
      <c r="N146" s="52" t="n">
        <v>1</v>
      </c>
      <c r="O146" s="52" t="n">
        <v>0</v>
      </c>
      <c r="P146" s="58" t="n">
        <v>9322</v>
      </c>
      <c r="Q146" s="58">
        <f>P146*1.18</f>
        <v/>
      </c>
      <c r="R146" s="58" t="inlineStr">
        <is>
          <t>VAT1 activation data</t>
        </is>
      </c>
    </row>
    <row r="147">
      <c r="A147" s="57" t="n"/>
      <c r="B147" s="52" t="inlineStr">
        <is>
          <t>83GS0098IN</t>
        </is>
      </c>
      <c r="C147" s="52" t="inlineStr">
        <is>
          <t>T2 Green</t>
        </is>
      </c>
      <c r="D147" s="52" t="inlineStr">
        <is>
          <t>Activation</t>
        </is>
      </c>
      <c r="E147" s="52" t="inlineStr">
        <is>
          <t>Inventory Management - Tactical Support</t>
        </is>
      </c>
      <c r="F147" s="52" t="n"/>
      <c r="G147" s="52" t="inlineStr">
        <is>
          <t>All VAT1</t>
        </is>
      </c>
      <c r="H147" s="52" t="inlineStr">
        <is>
          <t>T3</t>
        </is>
      </c>
      <c r="I147" s="56" t="inlineStr">
        <is>
          <t>1.1.2026</t>
        </is>
      </c>
      <c r="J147" s="56" t="inlineStr">
        <is>
          <t>31.1.2026</t>
        </is>
      </c>
      <c r="K147" s="52" t="inlineStr">
        <is>
          <t>All</t>
        </is>
      </c>
      <c r="L147" s="52" t="inlineStr">
        <is>
          <t>All</t>
        </is>
      </c>
      <c r="M147" s="52" t="inlineStr">
        <is>
          <t>All</t>
        </is>
      </c>
      <c r="N147" s="52" t="n">
        <v>1</v>
      </c>
      <c r="O147" s="52" t="n">
        <v>0</v>
      </c>
      <c r="P147" s="58" t="n">
        <v>2542</v>
      </c>
      <c r="Q147" s="58">
        <f>P147*1.18</f>
        <v/>
      </c>
      <c r="R147" s="58" t="inlineStr">
        <is>
          <t>VAT1 activation data</t>
        </is>
      </c>
    </row>
    <row r="148">
      <c r="A148" s="57" t="n"/>
      <c r="B148" s="52" t="inlineStr">
        <is>
          <t>83DX000MIN</t>
        </is>
      </c>
      <c r="C148" s="52" t="inlineStr">
        <is>
          <t>T2 Green</t>
        </is>
      </c>
      <c r="D148" s="52" t="inlineStr">
        <is>
          <t>Activation</t>
        </is>
      </c>
      <c r="E148" s="52" t="inlineStr">
        <is>
          <t>Inventory Management - Tactical Support</t>
        </is>
      </c>
      <c r="F148" s="52" t="n"/>
      <c r="G148" s="52" t="inlineStr">
        <is>
          <t>All VAT1</t>
        </is>
      </c>
      <c r="H148" s="52" t="inlineStr">
        <is>
          <t>T3</t>
        </is>
      </c>
      <c r="I148" s="56" t="inlineStr">
        <is>
          <t>1.1.2026</t>
        </is>
      </c>
      <c r="J148" s="56" t="inlineStr">
        <is>
          <t>31.1.2026</t>
        </is>
      </c>
      <c r="K148" s="52" t="inlineStr">
        <is>
          <t>All</t>
        </is>
      </c>
      <c r="L148" s="52" t="inlineStr">
        <is>
          <t>All</t>
        </is>
      </c>
      <c r="M148" s="52" t="inlineStr">
        <is>
          <t>All</t>
        </is>
      </c>
      <c r="N148" s="52" t="n">
        <v>1</v>
      </c>
      <c r="O148" s="52" t="n">
        <v>0</v>
      </c>
      <c r="P148" s="58" t="n">
        <v>8898</v>
      </c>
      <c r="Q148" s="58">
        <f>P148*1.18</f>
        <v/>
      </c>
      <c r="R148" s="58" t="inlineStr">
        <is>
          <t>VAT1 activation data</t>
        </is>
      </c>
    </row>
    <row r="149">
      <c r="A149" s="57" t="n"/>
      <c r="B149" s="52" t="inlineStr">
        <is>
          <t>83GS00LFIN</t>
        </is>
      </c>
      <c r="C149" s="52" t="inlineStr">
        <is>
          <t>T2 Green</t>
        </is>
      </c>
      <c r="D149" s="52" t="inlineStr">
        <is>
          <t>Activation</t>
        </is>
      </c>
      <c r="E149" s="52" t="inlineStr">
        <is>
          <t>Inventory Management - Tactical Support</t>
        </is>
      </c>
      <c r="F149" s="52" t="n"/>
      <c r="G149" s="52" t="inlineStr">
        <is>
          <t>All VAT1</t>
        </is>
      </c>
      <c r="H149" s="52" t="inlineStr">
        <is>
          <t>T3</t>
        </is>
      </c>
      <c r="I149" s="56" t="inlineStr">
        <is>
          <t>1.1.2026</t>
        </is>
      </c>
      <c r="J149" s="56" t="inlineStr">
        <is>
          <t>31.1.2026</t>
        </is>
      </c>
      <c r="K149" s="52" t="inlineStr">
        <is>
          <t>All</t>
        </is>
      </c>
      <c r="L149" s="52" t="inlineStr">
        <is>
          <t>All</t>
        </is>
      </c>
      <c r="M149" s="52" t="inlineStr">
        <is>
          <t>All</t>
        </is>
      </c>
      <c r="N149" s="52" t="n">
        <v>1</v>
      </c>
      <c r="O149" s="52" t="n">
        <v>0</v>
      </c>
      <c r="P149" s="58" t="n">
        <v>2542</v>
      </c>
      <c r="Q149" s="58">
        <f>P149*1.18</f>
        <v/>
      </c>
      <c r="R149" s="58" t="inlineStr">
        <is>
          <t>VAT1 activation data</t>
        </is>
      </c>
    </row>
    <row r="150">
      <c r="A150" s="57" t="n"/>
      <c r="B150" s="52" t="inlineStr">
        <is>
          <t>83DX00CTIN</t>
        </is>
      </c>
      <c r="C150" s="52" t="inlineStr">
        <is>
          <t>T2 Green</t>
        </is>
      </c>
      <c r="D150" s="52" t="inlineStr">
        <is>
          <t>Activation</t>
        </is>
      </c>
      <c r="E150" s="52" t="inlineStr">
        <is>
          <t>Inventory Management - Tactical Support</t>
        </is>
      </c>
      <c r="F150" s="52" t="n"/>
      <c r="G150" s="52" t="inlineStr">
        <is>
          <t>All VAT1</t>
        </is>
      </c>
      <c r="H150" s="52" t="inlineStr">
        <is>
          <t>T3</t>
        </is>
      </c>
      <c r="I150" s="56" t="inlineStr">
        <is>
          <t>1.1.2026</t>
        </is>
      </c>
      <c r="J150" s="56" t="inlineStr">
        <is>
          <t>31.1.2026</t>
        </is>
      </c>
      <c r="K150" s="52" t="inlineStr">
        <is>
          <t>All</t>
        </is>
      </c>
      <c r="L150" s="52" t="inlineStr">
        <is>
          <t>All</t>
        </is>
      </c>
      <c r="M150" s="52" t="inlineStr">
        <is>
          <t>All</t>
        </is>
      </c>
      <c r="N150" s="52" t="n">
        <v>1</v>
      </c>
      <c r="O150" s="52" t="n">
        <v>0</v>
      </c>
      <c r="P150" s="58" t="n">
        <v>8898</v>
      </c>
      <c r="Q150" s="58">
        <f>P150*1.18</f>
        <v/>
      </c>
      <c r="R150" s="58" t="inlineStr">
        <is>
          <t>VAT1 activation data</t>
        </is>
      </c>
    </row>
    <row r="151">
      <c r="A151" s="57" t="n"/>
      <c r="B151" s="52" t="inlineStr">
        <is>
          <t>83DV00BEIN</t>
        </is>
      </c>
      <c r="C151" s="52" t="inlineStr">
        <is>
          <t>T2 Green</t>
        </is>
      </c>
      <c r="D151" s="52" t="inlineStr">
        <is>
          <t>Activation</t>
        </is>
      </c>
      <c r="E151" s="52" t="inlineStr">
        <is>
          <t>Inventory Management - Tactical Support</t>
        </is>
      </c>
      <c r="F151" s="52" t="n"/>
      <c r="G151" s="52" t="inlineStr">
        <is>
          <t>All VAT1</t>
        </is>
      </c>
      <c r="H151" s="52" t="inlineStr">
        <is>
          <t>T3</t>
        </is>
      </c>
      <c r="I151" s="56" t="inlineStr">
        <is>
          <t>1.1.2026</t>
        </is>
      </c>
      <c r="J151" s="56" t="inlineStr">
        <is>
          <t>31.1.2026</t>
        </is>
      </c>
      <c r="K151" s="52" t="inlineStr">
        <is>
          <t>All</t>
        </is>
      </c>
      <c r="L151" s="52" t="inlineStr">
        <is>
          <t>All</t>
        </is>
      </c>
      <c r="M151" s="52" t="inlineStr">
        <is>
          <t>All</t>
        </is>
      </c>
      <c r="N151" s="52" t="n">
        <v>1</v>
      </c>
      <c r="O151" s="52" t="n">
        <v>0</v>
      </c>
      <c r="P151" s="58" t="n">
        <v>8475</v>
      </c>
      <c r="Q151" s="58">
        <f>P151*1.18</f>
        <v/>
      </c>
      <c r="R151" s="58" t="inlineStr">
        <is>
          <t>VAT1 activation data</t>
        </is>
      </c>
    </row>
    <row r="152">
      <c r="A152" s="57" t="n"/>
      <c r="B152" s="52" t="inlineStr">
        <is>
          <t>83GS00LHIN</t>
        </is>
      </c>
      <c r="C152" s="52" t="inlineStr">
        <is>
          <t>T2 Green</t>
        </is>
      </c>
      <c r="D152" s="52" t="inlineStr">
        <is>
          <t>Activation</t>
        </is>
      </c>
      <c r="E152" s="52" t="inlineStr">
        <is>
          <t>Inventory Management - Tactical Support</t>
        </is>
      </c>
      <c r="F152" s="52" t="n"/>
      <c r="G152" s="52" t="inlineStr">
        <is>
          <t>All VAT1</t>
        </is>
      </c>
      <c r="H152" s="52" t="inlineStr">
        <is>
          <t>T3</t>
        </is>
      </c>
      <c r="I152" s="56" t="inlineStr">
        <is>
          <t>1.1.2026</t>
        </is>
      </c>
      <c r="J152" s="56" t="inlineStr">
        <is>
          <t>31.1.2026</t>
        </is>
      </c>
      <c r="K152" s="52" t="inlineStr">
        <is>
          <t>All</t>
        </is>
      </c>
      <c r="L152" s="52" t="inlineStr">
        <is>
          <t>All</t>
        </is>
      </c>
      <c r="M152" s="52" t="inlineStr">
        <is>
          <t>All</t>
        </is>
      </c>
      <c r="N152" s="52" t="n">
        <v>1</v>
      </c>
      <c r="O152" s="52" t="n">
        <v>0</v>
      </c>
      <c r="P152" s="58" t="n">
        <v>593</v>
      </c>
      <c r="Q152" s="58">
        <f>P152*1.18</f>
        <v/>
      </c>
      <c r="R152" s="58" t="inlineStr">
        <is>
          <t>VAT1 activation data</t>
        </is>
      </c>
    </row>
    <row r="153">
      <c r="A153" s="57" t="n"/>
      <c r="B153" s="52" t="inlineStr">
        <is>
          <t>83GS009RIN</t>
        </is>
      </c>
      <c r="C153" s="52" t="inlineStr">
        <is>
          <t>T2 Green</t>
        </is>
      </c>
      <c r="D153" s="52" t="inlineStr">
        <is>
          <t>Activation</t>
        </is>
      </c>
      <c r="E153" s="52" t="inlineStr">
        <is>
          <t>Inventory Management - Tactical Support</t>
        </is>
      </c>
      <c r="F153" s="52" t="n"/>
      <c r="G153" s="52" t="inlineStr">
        <is>
          <t>All VAT1</t>
        </is>
      </c>
      <c r="H153" s="52" t="inlineStr">
        <is>
          <t>T3</t>
        </is>
      </c>
      <c r="I153" s="56" t="inlineStr">
        <is>
          <t>1.1.2026</t>
        </is>
      </c>
      <c r="J153" s="56" t="inlineStr">
        <is>
          <t>31.1.2026</t>
        </is>
      </c>
      <c r="K153" s="52" t="inlineStr">
        <is>
          <t>All</t>
        </is>
      </c>
      <c r="L153" s="52" t="inlineStr">
        <is>
          <t>All</t>
        </is>
      </c>
      <c r="M153" s="52" t="inlineStr">
        <is>
          <t>All</t>
        </is>
      </c>
      <c r="N153" s="52" t="n">
        <v>1</v>
      </c>
      <c r="O153" s="52" t="n">
        <v>0</v>
      </c>
      <c r="P153" s="58" t="n">
        <v>1765</v>
      </c>
      <c r="Q153" s="58">
        <f>P153*1.18</f>
        <v/>
      </c>
      <c r="R153" s="58" t="inlineStr">
        <is>
          <t>VAT1 activation data</t>
        </is>
      </c>
    </row>
    <row r="154">
      <c r="A154" s="57" t="n"/>
      <c r="B154" s="52" t="inlineStr">
        <is>
          <t>83DV00V8IN</t>
        </is>
      </c>
      <c r="C154" s="52" t="inlineStr">
        <is>
          <t>T2 Green</t>
        </is>
      </c>
      <c r="D154" s="52" t="inlineStr">
        <is>
          <t>Activation</t>
        </is>
      </c>
      <c r="E154" s="52" t="inlineStr">
        <is>
          <t>Inventory Management - Tactical Support</t>
        </is>
      </c>
      <c r="F154" s="52" t="n"/>
      <c r="G154" s="52" t="inlineStr">
        <is>
          <t>All VAT1</t>
        </is>
      </c>
      <c r="H154" s="52" t="inlineStr">
        <is>
          <t>T3</t>
        </is>
      </c>
      <c r="I154" s="56" t="inlineStr">
        <is>
          <t>1.1.2026</t>
        </is>
      </c>
      <c r="J154" s="56" t="inlineStr">
        <is>
          <t>31.1.2026</t>
        </is>
      </c>
      <c r="K154" s="52" t="inlineStr">
        <is>
          <t>All</t>
        </is>
      </c>
      <c r="L154" s="52" t="inlineStr">
        <is>
          <t>All</t>
        </is>
      </c>
      <c r="M154" s="52" t="inlineStr">
        <is>
          <t>All</t>
        </is>
      </c>
      <c r="N154" s="52" t="n">
        <v>1</v>
      </c>
      <c r="O154" s="52" t="n">
        <v>0</v>
      </c>
      <c r="P154" s="58" t="n">
        <v>9746</v>
      </c>
      <c r="Q154" s="58">
        <f>P154*1.18</f>
        <v/>
      </c>
      <c r="R154" s="58" t="inlineStr">
        <is>
          <t>VAT1 activation data</t>
        </is>
      </c>
    </row>
    <row r="155">
      <c r="A155" s="57" t="n"/>
      <c r="B155" s="52" t="inlineStr">
        <is>
          <t>83FQ0040IN</t>
        </is>
      </c>
      <c r="C155" s="52" t="inlineStr">
        <is>
          <t>T2 Green</t>
        </is>
      </c>
      <c r="D155" s="52" t="inlineStr">
        <is>
          <t>Activation</t>
        </is>
      </c>
      <c r="E155" s="52" t="inlineStr">
        <is>
          <t>Inventory Management - Tactical Support</t>
        </is>
      </c>
      <c r="F155" s="52" t="n"/>
      <c r="G155" s="52" t="inlineStr">
        <is>
          <t>All VAT1</t>
        </is>
      </c>
      <c r="H155" s="52" t="inlineStr">
        <is>
          <t>T3</t>
        </is>
      </c>
      <c r="I155" s="56" t="inlineStr">
        <is>
          <t>1.1.2026</t>
        </is>
      </c>
      <c r="J155" s="56" t="inlineStr">
        <is>
          <t>31.1.2026</t>
        </is>
      </c>
      <c r="K155" s="52" t="inlineStr">
        <is>
          <t>All</t>
        </is>
      </c>
      <c r="L155" s="52" t="inlineStr">
        <is>
          <t>All</t>
        </is>
      </c>
      <c r="M155" s="52" t="inlineStr">
        <is>
          <t>All</t>
        </is>
      </c>
      <c r="N155" s="52" t="n">
        <v>1</v>
      </c>
      <c r="O155" s="52" t="n">
        <v>0</v>
      </c>
      <c r="P155" s="58" t="n">
        <v>4040</v>
      </c>
      <c r="Q155" s="58">
        <f>P155*1.18</f>
        <v/>
      </c>
      <c r="R155" s="58" t="inlineStr">
        <is>
          <t>VAT1 activation data</t>
        </is>
      </c>
    </row>
    <row r="156">
      <c r="A156" s="57" t="n"/>
      <c r="B156" s="52" t="inlineStr">
        <is>
          <t>83DV007HIN</t>
        </is>
      </c>
      <c r="C156" s="52" t="inlineStr">
        <is>
          <t>T2 Green</t>
        </is>
      </c>
      <c r="D156" s="52" t="inlineStr">
        <is>
          <t>Activation</t>
        </is>
      </c>
      <c r="E156" s="52" t="inlineStr">
        <is>
          <t>Inventory Management - Tactical Support</t>
        </is>
      </c>
      <c r="F156" s="52" t="n"/>
      <c r="G156" s="52" t="inlineStr">
        <is>
          <t>All VAT1</t>
        </is>
      </c>
      <c r="H156" s="52" t="inlineStr">
        <is>
          <t>T3</t>
        </is>
      </c>
      <c r="I156" s="56" t="inlineStr">
        <is>
          <t>1.1.2026</t>
        </is>
      </c>
      <c r="J156" s="56" t="inlineStr">
        <is>
          <t>31.1.2026</t>
        </is>
      </c>
      <c r="K156" s="52" t="inlineStr">
        <is>
          <t>All</t>
        </is>
      </c>
      <c r="L156" s="52" t="inlineStr">
        <is>
          <t>All</t>
        </is>
      </c>
      <c r="M156" s="52" t="inlineStr">
        <is>
          <t>All</t>
        </is>
      </c>
      <c r="N156" s="52" t="n">
        <v>1</v>
      </c>
      <c r="O156" s="52" t="n">
        <v>0</v>
      </c>
      <c r="P156" s="58" t="n">
        <v>8898</v>
      </c>
      <c r="Q156" s="58">
        <f>P156*1.18</f>
        <v/>
      </c>
      <c r="R156" s="58" t="inlineStr">
        <is>
          <t>VAT1 activation data</t>
        </is>
      </c>
    </row>
    <row r="157">
      <c r="A157" s="57" t="n"/>
      <c r="B157" s="52" t="inlineStr">
        <is>
          <t>82XV00F6IN</t>
        </is>
      </c>
      <c r="C157" s="52" t="inlineStr">
        <is>
          <t>T2 Green</t>
        </is>
      </c>
      <c r="D157" s="52" t="inlineStr">
        <is>
          <t>Activation</t>
        </is>
      </c>
      <c r="E157" s="52" t="inlineStr">
        <is>
          <t>Inventory Management - Tactical Support</t>
        </is>
      </c>
      <c r="F157" s="52" t="n"/>
      <c r="G157" s="52" t="inlineStr">
        <is>
          <t>All VAT1</t>
        </is>
      </c>
      <c r="H157" s="52" t="inlineStr">
        <is>
          <t>T3</t>
        </is>
      </c>
      <c r="I157" s="56" t="inlineStr">
        <is>
          <t>1.1.2026</t>
        </is>
      </c>
      <c r="J157" s="56" t="inlineStr">
        <is>
          <t>31.1.2026</t>
        </is>
      </c>
      <c r="K157" s="52" t="inlineStr">
        <is>
          <t>All</t>
        </is>
      </c>
      <c r="L157" s="52" t="inlineStr">
        <is>
          <t>All</t>
        </is>
      </c>
      <c r="M157" s="52" t="inlineStr">
        <is>
          <t>All</t>
        </is>
      </c>
      <c r="N157" s="52" t="n">
        <v>1</v>
      </c>
      <c r="O157" s="52" t="n">
        <v>0</v>
      </c>
      <c r="P157" s="58" t="n">
        <v>5933</v>
      </c>
      <c r="Q157" s="58">
        <f>P157*1.18</f>
        <v/>
      </c>
      <c r="R157" s="58" t="inlineStr">
        <is>
          <t>VAT1 activation data</t>
        </is>
      </c>
    </row>
    <row r="158">
      <c r="A158" s="57" t="n"/>
      <c r="B158" s="52" t="inlineStr">
        <is>
          <t>83GS00LJIN</t>
        </is>
      </c>
      <c r="C158" s="52" t="inlineStr">
        <is>
          <t>T2 Green</t>
        </is>
      </c>
      <c r="D158" s="52" t="inlineStr">
        <is>
          <t>Activation</t>
        </is>
      </c>
      <c r="E158" s="52" t="inlineStr">
        <is>
          <t>Inventory Management - Tactical Support</t>
        </is>
      </c>
      <c r="F158" s="52" t="n"/>
      <c r="G158" s="52" t="inlineStr">
        <is>
          <t>All VAT1</t>
        </is>
      </c>
      <c r="H158" s="52" t="inlineStr">
        <is>
          <t>T3</t>
        </is>
      </c>
      <c r="I158" s="56" t="inlineStr">
        <is>
          <t>1.1.2026</t>
        </is>
      </c>
      <c r="J158" s="56" t="inlineStr">
        <is>
          <t>31.1.2026</t>
        </is>
      </c>
      <c r="K158" s="52" t="inlineStr">
        <is>
          <t>All</t>
        </is>
      </c>
      <c r="L158" s="52" t="inlineStr">
        <is>
          <t>All</t>
        </is>
      </c>
      <c r="M158" s="52" t="inlineStr">
        <is>
          <t>All</t>
        </is>
      </c>
      <c r="N158" s="52" t="n">
        <v>1</v>
      </c>
      <c r="O158" s="52" t="n">
        <v>0</v>
      </c>
      <c r="P158" s="58" t="n">
        <v>1759</v>
      </c>
      <c r="Q158" s="58">
        <f>P158*1.18</f>
        <v/>
      </c>
      <c r="R158" s="58" t="inlineStr">
        <is>
          <t>VAT1 activation data</t>
        </is>
      </c>
    </row>
    <row r="159">
      <c r="A159" s="57" t="n"/>
      <c r="B159" s="52" t="inlineStr">
        <is>
          <t>83DV008YIN</t>
        </is>
      </c>
      <c r="C159" s="52" t="inlineStr">
        <is>
          <t>T2 Green</t>
        </is>
      </c>
      <c r="D159" s="52" t="inlineStr">
        <is>
          <t>Activation</t>
        </is>
      </c>
      <c r="E159" s="52" t="inlineStr">
        <is>
          <t>Inventory Management - Tactical Support</t>
        </is>
      </c>
      <c r="F159" s="52" t="n"/>
      <c r="G159" s="52" t="inlineStr">
        <is>
          <t>All VAT1</t>
        </is>
      </c>
      <c r="H159" s="52" t="inlineStr">
        <is>
          <t>T3</t>
        </is>
      </c>
      <c r="I159" s="56" t="inlineStr">
        <is>
          <t>1.1.2026</t>
        </is>
      </c>
      <c r="J159" s="56" t="inlineStr">
        <is>
          <t>31.1.2026</t>
        </is>
      </c>
      <c r="K159" s="52" t="inlineStr">
        <is>
          <t>All</t>
        </is>
      </c>
      <c r="L159" s="52" t="inlineStr">
        <is>
          <t>All</t>
        </is>
      </c>
      <c r="M159" s="52" t="inlineStr">
        <is>
          <t>All</t>
        </is>
      </c>
      <c r="N159" s="52" t="n">
        <v>1</v>
      </c>
      <c r="O159" s="52" t="n">
        <v>0</v>
      </c>
      <c r="P159" s="58" t="n">
        <v>1695</v>
      </c>
      <c r="Q159" s="58">
        <f>P159*1.18</f>
        <v/>
      </c>
      <c r="R159" s="58" t="inlineStr">
        <is>
          <t>VAT1 activation data</t>
        </is>
      </c>
    </row>
    <row r="160">
      <c r="A160" s="57" t="n"/>
      <c r="B160" s="52" t="inlineStr">
        <is>
          <t>83DV00H1IN</t>
        </is>
      </c>
      <c r="C160" s="52" t="inlineStr">
        <is>
          <t>T2 Green</t>
        </is>
      </c>
      <c r="D160" s="52" t="inlineStr">
        <is>
          <t>Activation</t>
        </is>
      </c>
      <c r="E160" s="52" t="inlineStr">
        <is>
          <t>Inventory Management - Tactical Support</t>
        </is>
      </c>
      <c r="F160" s="52" t="n"/>
      <c r="G160" s="52" t="inlineStr">
        <is>
          <t>All VAT1</t>
        </is>
      </c>
      <c r="H160" s="52" t="inlineStr">
        <is>
          <t>T3</t>
        </is>
      </c>
      <c r="I160" s="56" t="inlineStr">
        <is>
          <t>1.1.2026</t>
        </is>
      </c>
      <c r="J160" s="56" t="inlineStr">
        <is>
          <t>31.1.2026</t>
        </is>
      </c>
      <c r="K160" s="52" t="inlineStr">
        <is>
          <t>All</t>
        </is>
      </c>
      <c r="L160" s="52" t="inlineStr">
        <is>
          <t>All</t>
        </is>
      </c>
      <c r="M160" s="52" t="inlineStr">
        <is>
          <t>All</t>
        </is>
      </c>
      <c r="N160" s="52" t="n">
        <v>1</v>
      </c>
      <c r="O160" s="52" t="n">
        <v>0</v>
      </c>
      <c r="P160" s="58" t="n">
        <v>7203</v>
      </c>
      <c r="Q160" s="58">
        <f>P160*1.18</f>
        <v/>
      </c>
      <c r="R160" s="58" t="inlineStr">
        <is>
          <t>VAT1 activation data</t>
        </is>
      </c>
    </row>
    <row r="161">
      <c r="A161" s="57" t="n"/>
      <c r="B161" s="52" t="inlineStr">
        <is>
          <t>83DV00LVIN</t>
        </is>
      </c>
      <c r="C161" s="52" t="inlineStr">
        <is>
          <t>T2 Green</t>
        </is>
      </c>
      <c r="D161" s="52" t="inlineStr">
        <is>
          <t>Activation</t>
        </is>
      </c>
      <c r="E161" s="52" t="inlineStr">
        <is>
          <t>Inventory Management - Tactical Support</t>
        </is>
      </c>
      <c r="F161" s="52" t="n"/>
      <c r="G161" s="52" t="inlineStr">
        <is>
          <t>All VAT1</t>
        </is>
      </c>
      <c r="H161" s="52" t="inlineStr">
        <is>
          <t>T3</t>
        </is>
      </c>
      <c r="I161" s="56" t="inlineStr">
        <is>
          <t>1.1.2026</t>
        </is>
      </c>
      <c r="J161" s="56" t="inlineStr">
        <is>
          <t>31.1.2026</t>
        </is>
      </c>
      <c r="K161" s="52" t="inlineStr">
        <is>
          <t>All</t>
        </is>
      </c>
      <c r="L161" s="52" t="inlineStr">
        <is>
          <t>All</t>
        </is>
      </c>
      <c r="M161" s="52" t="inlineStr">
        <is>
          <t>All</t>
        </is>
      </c>
      <c r="N161" s="52" t="n">
        <v>1</v>
      </c>
      <c r="O161" s="52" t="n">
        <v>0</v>
      </c>
      <c r="P161" s="58" t="n">
        <v>1695</v>
      </c>
      <c r="Q161" s="58">
        <f>P161*1.18</f>
        <v/>
      </c>
      <c r="R161" s="58" t="inlineStr">
        <is>
          <t>VAT1 activation data</t>
        </is>
      </c>
    </row>
    <row r="162">
      <c r="A162" s="57" t="n"/>
      <c r="B162" s="52" t="inlineStr">
        <is>
          <t>82XT004HIN</t>
        </is>
      </c>
      <c r="C162" s="52" t="inlineStr">
        <is>
          <t>T2 Green</t>
        </is>
      </c>
      <c r="D162" s="52" t="inlineStr">
        <is>
          <t>Activation</t>
        </is>
      </c>
      <c r="E162" s="52" t="inlineStr">
        <is>
          <t>Inventory Management - Tactical Support</t>
        </is>
      </c>
      <c r="F162" s="52" t="n"/>
      <c r="G162" s="52" t="inlineStr">
        <is>
          <t>All VAT1</t>
        </is>
      </c>
      <c r="H162" s="52" t="inlineStr">
        <is>
          <t>T3</t>
        </is>
      </c>
      <c r="I162" s="56" t="inlineStr">
        <is>
          <t>1.1.2026</t>
        </is>
      </c>
      <c r="J162" s="56" t="inlineStr">
        <is>
          <t>31.1.2026</t>
        </is>
      </c>
      <c r="K162" s="52" t="inlineStr">
        <is>
          <t>All</t>
        </is>
      </c>
      <c r="L162" s="52" t="inlineStr">
        <is>
          <t>All</t>
        </is>
      </c>
      <c r="M162" s="52" t="inlineStr">
        <is>
          <t>All</t>
        </is>
      </c>
      <c r="N162" s="52" t="n">
        <v>1</v>
      </c>
      <c r="O162" s="52" t="n">
        <v>0</v>
      </c>
      <c r="P162" s="58" t="n">
        <v>1695</v>
      </c>
      <c r="Q162" s="58">
        <f>P162*1.18</f>
        <v/>
      </c>
      <c r="R162" s="58" t="inlineStr">
        <is>
          <t>VAT1 activation data</t>
        </is>
      </c>
    </row>
    <row r="163">
      <c r="A163" s="57" t="n"/>
      <c r="B163" s="52" t="inlineStr">
        <is>
          <t>82XT004KIN</t>
        </is>
      </c>
      <c r="C163" s="52" t="inlineStr">
        <is>
          <t>T2 Green</t>
        </is>
      </c>
      <c r="D163" s="52" t="inlineStr">
        <is>
          <t>Activation</t>
        </is>
      </c>
      <c r="E163" s="52" t="inlineStr">
        <is>
          <t>Inventory Management - Tactical Support</t>
        </is>
      </c>
      <c r="F163" s="52" t="n"/>
      <c r="G163" s="52" t="inlineStr">
        <is>
          <t>All VAT1</t>
        </is>
      </c>
      <c r="H163" s="52" t="inlineStr">
        <is>
          <t>T3</t>
        </is>
      </c>
      <c r="I163" s="56" t="inlineStr">
        <is>
          <t>1.1.2026</t>
        </is>
      </c>
      <c r="J163" s="56" t="inlineStr">
        <is>
          <t>31.1.2026</t>
        </is>
      </c>
      <c r="K163" s="52" t="inlineStr">
        <is>
          <t>All</t>
        </is>
      </c>
      <c r="L163" s="52" t="inlineStr">
        <is>
          <t>All</t>
        </is>
      </c>
      <c r="M163" s="52" t="inlineStr">
        <is>
          <t>All</t>
        </is>
      </c>
      <c r="N163" s="52" t="n">
        <v>1</v>
      </c>
      <c r="O163" s="52" t="n">
        <v>0</v>
      </c>
      <c r="P163" s="58" t="n">
        <v>4237</v>
      </c>
      <c r="Q163" s="58">
        <f>P163*1.18</f>
        <v/>
      </c>
      <c r="R163" s="58" t="inlineStr">
        <is>
          <t>VAT1 activation data</t>
        </is>
      </c>
    </row>
    <row r="164">
      <c r="A164" s="57" t="n"/>
      <c r="B164" s="52" t="inlineStr">
        <is>
          <t>83FQ0009IN</t>
        </is>
      </c>
      <c r="C164" s="52" t="inlineStr">
        <is>
          <t>T2 Green</t>
        </is>
      </c>
      <c r="D164" s="52" t="inlineStr">
        <is>
          <t>Activation</t>
        </is>
      </c>
      <c r="E164" s="52" t="inlineStr">
        <is>
          <t>Inventory Management - Tactical Support</t>
        </is>
      </c>
      <c r="F164" s="52" t="n"/>
      <c r="G164" s="52" t="inlineStr">
        <is>
          <t>All VAT1</t>
        </is>
      </c>
      <c r="H164" s="52" t="inlineStr">
        <is>
          <t>T3</t>
        </is>
      </c>
      <c r="I164" s="56" t="inlineStr">
        <is>
          <t>1.1.2026</t>
        </is>
      </c>
      <c r="J164" s="56" t="inlineStr">
        <is>
          <t>31.1.2026</t>
        </is>
      </c>
      <c r="K164" s="52" t="inlineStr">
        <is>
          <t>All</t>
        </is>
      </c>
      <c r="L164" s="52" t="inlineStr">
        <is>
          <t>All</t>
        </is>
      </c>
      <c r="M164" s="52" t="inlineStr">
        <is>
          <t>All</t>
        </is>
      </c>
      <c r="N164" s="52" t="n">
        <v>1</v>
      </c>
      <c r="O164" s="52" t="n">
        <v>0</v>
      </c>
      <c r="P164" s="58" t="n">
        <v>5750</v>
      </c>
      <c r="Q164" s="58">
        <f>P164*1.18</f>
        <v/>
      </c>
      <c r="R164" s="58" t="inlineStr">
        <is>
          <t>VAT1 activation data</t>
        </is>
      </c>
    </row>
    <row r="165">
      <c r="A165" s="57" t="n"/>
      <c r="B165" s="52" t="inlineStr">
        <is>
          <t>83DV00HCIN</t>
        </is>
      </c>
      <c r="C165" s="52" t="inlineStr">
        <is>
          <t>T2 Green</t>
        </is>
      </c>
      <c r="D165" s="52" t="inlineStr">
        <is>
          <t>Activation</t>
        </is>
      </c>
      <c r="E165" s="52" t="inlineStr">
        <is>
          <t>Inventory Management - Tactical Support</t>
        </is>
      </c>
      <c r="F165" s="52" t="n"/>
      <c r="G165" s="52" t="inlineStr">
        <is>
          <t>All VAT1</t>
        </is>
      </c>
      <c r="H165" s="52" t="inlineStr">
        <is>
          <t>T3</t>
        </is>
      </c>
      <c r="I165" s="56" t="inlineStr">
        <is>
          <t>1.1.2026</t>
        </is>
      </c>
      <c r="J165" s="56" t="inlineStr">
        <is>
          <t>31.1.2026</t>
        </is>
      </c>
      <c r="K165" s="52" t="inlineStr">
        <is>
          <t>All</t>
        </is>
      </c>
      <c r="L165" s="52" t="inlineStr">
        <is>
          <t>All</t>
        </is>
      </c>
      <c r="M165" s="52" t="inlineStr">
        <is>
          <t>All</t>
        </is>
      </c>
      <c r="N165" s="52" t="n">
        <v>1</v>
      </c>
      <c r="O165" s="52" t="n">
        <v>0</v>
      </c>
      <c r="P165" s="58" t="n">
        <v>1261</v>
      </c>
      <c r="Q165" s="58">
        <f>P165*1.18</f>
        <v/>
      </c>
      <c r="R165" s="58" t="inlineStr">
        <is>
          <t>VAT1 activation data</t>
        </is>
      </c>
    </row>
    <row r="166">
      <c r="A166" s="57" t="n"/>
      <c r="B166" s="52" t="inlineStr">
        <is>
          <t>82XV00F7IN</t>
        </is>
      </c>
      <c r="C166" s="52" t="inlineStr">
        <is>
          <t>T2 Green</t>
        </is>
      </c>
      <c r="D166" s="52" t="inlineStr">
        <is>
          <t>Activation</t>
        </is>
      </c>
      <c r="E166" s="52" t="inlineStr">
        <is>
          <t>Inventory Management - Tactical Support</t>
        </is>
      </c>
      <c r="F166" s="52" t="n"/>
      <c r="G166" s="52" t="inlineStr">
        <is>
          <t>All VAT1</t>
        </is>
      </c>
      <c r="H166" s="52" t="inlineStr">
        <is>
          <t>T3</t>
        </is>
      </c>
      <c r="I166" s="56" t="inlineStr">
        <is>
          <t>1.1.2026</t>
        </is>
      </c>
      <c r="J166" s="56" t="inlineStr">
        <is>
          <t>31.1.2026</t>
        </is>
      </c>
      <c r="K166" s="52" t="inlineStr">
        <is>
          <t>All</t>
        </is>
      </c>
      <c r="L166" s="52" t="inlineStr">
        <is>
          <t>All</t>
        </is>
      </c>
      <c r="M166" s="52" t="inlineStr">
        <is>
          <t>All</t>
        </is>
      </c>
      <c r="N166" s="52" t="n">
        <v>1</v>
      </c>
      <c r="O166" s="52" t="n">
        <v>0</v>
      </c>
      <c r="P166" s="58" t="n">
        <v>2543</v>
      </c>
      <c r="Q166" s="58">
        <f>P166*1.18</f>
        <v/>
      </c>
      <c r="R166" s="58" t="inlineStr">
        <is>
          <t>VAT1 activation data</t>
        </is>
      </c>
    </row>
    <row r="167">
      <c r="A167" s="57" t="n"/>
      <c r="B167" s="52" t="inlineStr">
        <is>
          <t>82XT009CIN</t>
        </is>
      </c>
      <c r="C167" s="52" t="inlineStr">
        <is>
          <t>T2 Green</t>
        </is>
      </c>
      <c r="D167" s="52" t="inlineStr">
        <is>
          <t>Activation</t>
        </is>
      </c>
      <c r="E167" s="52" t="inlineStr">
        <is>
          <t>Inventory Management - Tactical Support</t>
        </is>
      </c>
      <c r="F167" s="52" t="n"/>
      <c r="G167" s="52" t="inlineStr">
        <is>
          <t>All VAT1</t>
        </is>
      </c>
      <c r="H167" s="52" t="inlineStr">
        <is>
          <t>T3</t>
        </is>
      </c>
      <c r="I167" s="56" t="inlineStr">
        <is>
          <t>1.1.2026</t>
        </is>
      </c>
      <c r="J167" s="56" t="inlineStr">
        <is>
          <t>31.1.2026</t>
        </is>
      </c>
      <c r="K167" s="52" t="inlineStr">
        <is>
          <t>All</t>
        </is>
      </c>
      <c r="L167" s="52" t="inlineStr">
        <is>
          <t>All</t>
        </is>
      </c>
      <c r="M167" s="52" t="inlineStr">
        <is>
          <t>All</t>
        </is>
      </c>
      <c r="N167" s="52" t="n">
        <v>1</v>
      </c>
      <c r="O167" s="52" t="n">
        <v>0</v>
      </c>
      <c r="P167" s="58" t="n">
        <v>4237</v>
      </c>
      <c r="Q167" s="58">
        <f>P167*1.18</f>
        <v/>
      </c>
      <c r="R167" s="58" t="inlineStr">
        <is>
          <t>VAT1 activation data</t>
        </is>
      </c>
    </row>
    <row r="168">
      <c r="A168" s="57" t="n"/>
      <c r="B168" s="52" t="inlineStr">
        <is>
          <t>82XT004JIN</t>
        </is>
      </c>
      <c r="C168" s="52" t="inlineStr">
        <is>
          <t>T2 Green</t>
        </is>
      </c>
      <c r="D168" s="52" t="inlineStr">
        <is>
          <t>Activation</t>
        </is>
      </c>
      <c r="E168" s="52" t="inlineStr">
        <is>
          <t>Inventory Management - Tactical Support</t>
        </is>
      </c>
      <c r="F168" s="52" t="n"/>
      <c r="G168" s="52" t="inlineStr">
        <is>
          <t>All VAT1</t>
        </is>
      </c>
      <c r="H168" s="52" t="inlineStr">
        <is>
          <t>T3</t>
        </is>
      </c>
      <c r="I168" s="56" t="inlineStr">
        <is>
          <t>1.1.2026</t>
        </is>
      </c>
      <c r="J168" s="56" t="inlineStr">
        <is>
          <t>31.1.2026</t>
        </is>
      </c>
      <c r="K168" s="52" t="inlineStr">
        <is>
          <t>All</t>
        </is>
      </c>
      <c r="L168" s="52" t="inlineStr">
        <is>
          <t>All</t>
        </is>
      </c>
      <c r="M168" s="52" t="inlineStr">
        <is>
          <t>All</t>
        </is>
      </c>
      <c r="N168" s="52" t="n">
        <v>1</v>
      </c>
      <c r="O168" s="52" t="n">
        <v>0</v>
      </c>
      <c r="P168" s="58" t="n">
        <v>4237</v>
      </c>
      <c r="Q168" s="58">
        <f>P168*1.18</f>
        <v/>
      </c>
      <c r="R168" s="58" t="inlineStr">
        <is>
          <t>VAT1 activation data</t>
        </is>
      </c>
    </row>
    <row r="169">
      <c r="A169" s="57" t="n"/>
      <c r="B169" s="52" t="inlineStr">
        <is>
          <t>83DV007JIN</t>
        </is>
      </c>
      <c r="C169" s="52" t="inlineStr">
        <is>
          <t>T2 Green</t>
        </is>
      </c>
      <c r="D169" s="52" t="inlineStr">
        <is>
          <t>Activation</t>
        </is>
      </c>
      <c r="E169" s="52" t="inlineStr">
        <is>
          <t>Inventory Management - Tactical Support</t>
        </is>
      </c>
      <c r="F169" s="52" t="n"/>
      <c r="G169" s="52" t="inlineStr">
        <is>
          <t>All VAT1</t>
        </is>
      </c>
      <c r="H169" s="52" t="inlineStr">
        <is>
          <t>T3</t>
        </is>
      </c>
      <c r="I169" s="56" t="inlineStr">
        <is>
          <t>1.1.2026</t>
        </is>
      </c>
      <c r="J169" s="56" t="inlineStr">
        <is>
          <t>31.1.2026</t>
        </is>
      </c>
      <c r="K169" s="52" t="inlineStr">
        <is>
          <t>All</t>
        </is>
      </c>
      <c r="L169" s="52" t="inlineStr">
        <is>
          <t>All</t>
        </is>
      </c>
      <c r="M169" s="52" t="inlineStr">
        <is>
          <t>All</t>
        </is>
      </c>
      <c r="N169" s="52" t="n">
        <v>1</v>
      </c>
      <c r="O169" s="52" t="n">
        <v>0</v>
      </c>
      <c r="P169" s="58" t="n">
        <v>5508</v>
      </c>
      <c r="Q169" s="58">
        <f>P169*1.18</f>
        <v/>
      </c>
      <c r="R169" s="58" t="inlineStr">
        <is>
          <t>VAT1 activation data</t>
        </is>
      </c>
    </row>
    <row r="170">
      <c r="A170" s="57" t="n"/>
      <c r="B170" s="52" t="inlineStr">
        <is>
          <t>83GS000XIN</t>
        </is>
      </c>
      <c r="C170" s="52" t="inlineStr">
        <is>
          <t>T2 Green</t>
        </is>
      </c>
      <c r="D170" s="52" t="inlineStr">
        <is>
          <t>Activation</t>
        </is>
      </c>
      <c r="E170" s="52" t="inlineStr">
        <is>
          <t>Inventory Management - Tactical Support</t>
        </is>
      </c>
      <c r="F170" s="52" t="n"/>
      <c r="G170" s="52" t="inlineStr">
        <is>
          <t>All VAT1</t>
        </is>
      </c>
      <c r="H170" s="52" t="inlineStr">
        <is>
          <t>T3</t>
        </is>
      </c>
      <c r="I170" s="56" t="inlineStr">
        <is>
          <t>1.1.2026</t>
        </is>
      </c>
      <c r="J170" s="56" t="inlineStr">
        <is>
          <t>31.1.2026</t>
        </is>
      </c>
      <c r="K170" s="52" t="inlineStr">
        <is>
          <t>All</t>
        </is>
      </c>
      <c r="L170" s="52" t="inlineStr">
        <is>
          <t>All</t>
        </is>
      </c>
      <c r="M170" s="52" t="inlineStr">
        <is>
          <t>All</t>
        </is>
      </c>
      <c r="N170" s="52" t="n">
        <v>1</v>
      </c>
      <c r="O170" s="52" t="n">
        <v>0</v>
      </c>
      <c r="P170" s="58" t="n">
        <v>5059</v>
      </c>
      <c r="Q170" s="58">
        <f>P170*1.18</f>
        <v/>
      </c>
      <c r="R170" s="58" t="inlineStr">
        <is>
          <t>VAT1 activation data</t>
        </is>
      </c>
    </row>
    <row r="171">
      <c r="A171" s="57" t="n"/>
      <c r="B171" s="52" t="inlineStr">
        <is>
          <t>83DV00LAIN</t>
        </is>
      </c>
      <c r="C171" s="52" t="inlineStr">
        <is>
          <t>T2 Green</t>
        </is>
      </c>
      <c r="D171" s="52" t="inlineStr">
        <is>
          <t>Activation</t>
        </is>
      </c>
      <c r="E171" s="52" t="inlineStr">
        <is>
          <t>Inventory Management - Tactical Support</t>
        </is>
      </c>
      <c r="F171" s="52" t="n"/>
      <c r="G171" s="52" t="inlineStr">
        <is>
          <t>All VAT1</t>
        </is>
      </c>
      <c r="H171" s="52" t="inlineStr">
        <is>
          <t>T3</t>
        </is>
      </c>
      <c r="I171" s="56" t="inlineStr">
        <is>
          <t>1.1.2026</t>
        </is>
      </c>
      <c r="J171" s="56" t="inlineStr">
        <is>
          <t>31.1.2026</t>
        </is>
      </c>
      <c r="K171" s="52" t="inlineStr">
        <is>
          <t>All</t>
        </is>
      </c>
      <c r="L171" s="52" t="inlineStr">
        <is>
          <t>All</t>
        </is>
      </c>
      <c r="M171" s="52" t="inlineStr">
        <is>
          <t>All</t>
        </is>
      </c>
      <c r="N171" s="52" t="n">
        <v>1</v>
      </c>
      <c r="O171" s="52" t="n">
        <v>0</v>
      </c>
      <c r="P171" s="58" t="n">
        <v>2237</v>
      </c>
      <c r="Q171" s="58">
        <f>P171*1.18</f>
        <v/>
      </c>
      <c r="R171" s="58" t="inlineStr">
        <is>
          <t>VAT1 activation data</t>
        </is>
      </c>
    </row>
    <row r="172">
      <c r="A172" s="57" t="n"/>
      <c r="B172" s="52" t="inlineStr">
        <is>
          <t>83FQ000EIN</t>
        </is>
      </c>
      <c r="C172" s="52" t="inlineStr">
        <is>
          <t>T2 Green</t>
        </is>
      </c>
      <c r="D172" s="52" t="inlineStr">
        <is>
          <t>Activation</t>
        </is>
      </c>
      <c r="E172" s="52" t="inlineStr">
        <is>
          <t>Inventory Management - Tactical Support</t>
        </is>
      </c>
      <c r="F172" s="52" t="n"/>
      <c r="G172" s="52" t="inlineStr">
        <is>
          <t>All VAT1</t>
        </is>
      </c>
      <c r="H172" s="52" t="inlineStr">
        <is>
          <t>T3</t>
        </is>
      </c>
      <c r="I172" s="56" t="inlineStr">
        <is>
          <t>1.1.2026</t>
        </is>
      </c>
      <c r="J172" s="56" t="inlineStr">
        <is>
          <t>31.1.2026</t>
        </is>
      </c>
      <c r="K172" s="52" t="inlineStr">
        <is>
          <t>All</t>
        </is>
      </c>
      <c r="L172" s="52" t="inlineStr">
        <is>
          <t>All</t>
        </is>
      </c>
      <c r="M172" s="52" t="inlineStr">
        <is>
          <t>All</t>
        </is>
      </c>
      <c r="N172" s="52" t="n">
        <v>1</v>
      </c>
      <c r="O172" s="52" t="n">
        <v>0</v>
      </c>
      <c r="P172" s="58" t="n">
        <v>5678</v>
      </c>
      <c r="Q172" s="58">
        <f>P172*1.18</f>
        <v/>
      </c>
      <c r="R172" s="58" t="inlineStr">
        <is>
          <t>VAT1 activation data</t>
        </is>
      </c>
    </row>
    <row r="173">
      <c r="A173" s="57" t="n"/>
      <c r="B173" s="52" t="inlineStr">
        <is>
          <t>83DX00CSIN</t>
        </is>
      </c>
      <c r="C173" s="52" t="inlineStr">
        <is>
          <t>T2 Green</t>
        </is>
      </c>
      <c r="D173" s="52" t="inlineStr">
        <is>
          <t>Activation</t>
        </is>
      </c>
      <c r="E173" s="52" t="inlineStr">
        <is>
          <t>Inventory Management - Tactical Support</t>
        </is>
      </c>
      <c r="F173" s="52" t="n"/>
      <c r="G173" s="52" t="inlineStr">
        <is>
          <t>All VAT1</t>
        </is>
      </c>
      <c r="H173" s="52" t="inlineStr">
        <is>
          <t>T3</t>
        </is>
      </c>
      <c r="I173" s="56" t="inlineStr">
        <is>
          <t>1.1.2026</t>
        </is>
      </c>
      <c r="J173" s="56" t="inlineStr">
        <is>
          <t>31.1.2026</t>
        </is>
      </c>
      <c r="K173" s="52" t="inlineStr">
        <is>
          <t>All</t>
        </is>
      </c>
      <c r="L173" s="52" t="inlineStr">
        <is>
          <t>All</t>
        </is>
      </c>
      <c r="M173" s="52" t="inlineStr">
        <is>
          <t>All</t>
        </is>
      </c>
      <c r="N173" s="52" t="n">
        <v>1</v>
      </c>
      <c r="O173" s="52" t="n">
        <v>0</v>
      </c>
      <c r="P173" s="58" t="n">
        <v>8898</v>
      </c>
      <c r="Q173" s="58">
        <f>P173*1.18</f>
        <v/>
      </c>
      <c r="R173" s="58" t="inlineStr">
        <is>
          <t>VAT1 activation data</t>
        </is>
      </c>
    </row>
    <row r="174">
      <c r="A174" s="57" t="n"/>
      <c r="B174" s="52" t="inlineStr">
        <is>
          <t>83JC00JYIN</t>
        </is>
      </c>
      <c r="C174" s="52" t="inlineStr">
        <is>
          <t>T2 Green</t>
        </is>
      </c>
      <c r="D174" s="52" t="inlineStr">
        <is>
          <t>Activation</t>
        </is>
      </c>
      <c r="E174" s="52" t="inlineStr">
        <is>
          <t>Inventory Management - Tactical Support</t>
        </is>
      </c>
      <c r="F174" s="52" t="n"/>
      <c r="G174" s="52" t="inlineStr">
        <is>
          <t>All VAT1</t>
        </is>
      </c>
      <c r="H174" s="52" t="inlineStr">
        <is>
          <t>T3</t>
        </is>
      </c>
      <c r="I174" s="56" t="inlineStr">
        <is>
          <t>1.1.2026</t>
        </is>
      </c>
      <c r="J174" s="56" t="inlineStr">
        <is>
          <t>31.1.2026</t>
        </is>
      </c>
      <c r="K174" s="52" t="inlineStr">
        <is>
          <t>All</t>
        </is>
      </c>
      <c r="L174" s="52" t="inlineStr">
        <is>
          <t>All</t>
        </is>
      </c>
      <c r="M174" s="52" t="inlineStr">
        <is>
          <t>All</t>
        </is>
      </c>
      <c r="N174" s="52" t="n">
        <v>1</v>
      </c>
      <c r="O174" s="52" t="n">
        <v>0</v>
      </c>
      <c r="P174" s="58" t="n">
        <v>2542</v>
      </c>
      <c r="Q174" s="58">
        <f>P174*1.18</f>
        <v/>
      </c>
      <c r="R174" s="58" t="inlineStr">
        <is>
          <t>VAT1 activation data</t>
        </is>
      </c>
    </row>
    <row r="175">
      <c r="A175" s="57" t="n"/>
      <c r="B175" s="52" t="inlineStr">
        <is>
          <t>82XV00BQIN</t>
        </is>
      </c>
      <c r="C175" s="52" t="inlineStr">
        <is>
          <t>T2 Green</t>
        </is>
      </c>
      <c r="D175" s="52" t="inlineStr">
        <is>
          <t>Activation</t>
        </is>
      </c>
      <c r="E175" s="52" t="inlineStr">
        <is>
          <t>Inventory Management - Tactical Support</t>
        </is>
      </c>
      <c r="F175" s="52" t="n"/>
      <c r="G175" s="52" t="inlineStr">
        <is>
          <t>All VAT1</t>
        </is>
      </c>
      <c r="H175" s="52" t="inlineStr">
        <is>
          <t>T3</t>
        </is>
      </c>
      <c r="I175" s="56" t="inlineStr">
        <is>
          <t>1.1.2026</t>
        </is>
      </c>
      <c r="J175" s="56" t="inlineStr">
        <is>
          <t>31.1.2026</t>
        </is>
      </c>
      <c r="K175" s="52" t="inlineStr">
        <is>
          <t>All</t>
        </is>
      </c>
      <c r="L175" s="52" t="inlineStr">
        <is>
          <t>All</t>
        </is>
      </c>
      <c r="M175" s="52" t="inlineStr">
        <is>
          <t>All</t>
        </is>
      </c>
      <c r="N175" s="52" t="n">
        <v>1</v>
      </c>
      <c r="O175" s="52" t="n">
        <v>0</v>
      </c>
      <c r="P175" s="58" t="n">
        <v>3390</v>
      </c>
      <c r="Q175" s="58">
        <f>P175*1.18</f>
        <v/>
      </c>
      <c r="R175" s="58" t="inlineStr">
        <is>
          <t>VAT1 activation data</t>
        </is>
      </c>
    </row>
    <row r="176">
      <c r="A176" s="57" t="n"/>
      <c r="B176" s="52" t="inlineStr">
        <is>
          <t>83JC00JXIN</t>
        </is>
      </c>
      <c r="C176" s="52" t="inlineStr">
        <is>
          <t>T2 Green</t>
        </is>
      </c>
      <c r="D176" s="52" t="inlineStr">
        <is>
          <t>Activation</t>
        </is>
      </c>
      <c r="E176" s="52" t="inlineStr">
        <is>
          <t>Inventory Management - Tactical Support</t>
        </is>
      </c>
      <c r="F176" s="52" t="n"/>
      <c r="G176" s="52" t="inlineStr">
        <is>
          <t>All VAT1</t>
        </is>
      </c>
      <c r="H176" s="52" t="inlineStr">
        <is>
          <t>T3</t>
        </is>
      </c>
      <c r="I176" s="56" t="inlineStr">
        <is>
          <t>1.1.2026</t>
        </is>
      </c>
      <c r="J176" s="56" t="inlineStr">
        <is>
          <t>31.1.2026</t>
        </is>
      </c>
      <c r="K176" s="52" t="inlineStr">
        <is>
          <t>All</t>
        </is>
      </c>
      <c r="L176" s="52" t="inlineStr">
        <is>
          <t>All</t>
        </is>
      </c>
      <c r="M176" s="52" t="inlineStr">
        <is>
          <t>All</t>
        </is>
      </c>
      <c r="N176" s="52" t="n">
        <v>1</v>
      </c>
      <c r="O176" s="52" t="n">
        <v>0</v>
      </c>
      <c r="P176" s="58" t="n">
        <v>1695</v>
      </c>
      <c r="Q176" s="58">
        <f>P176*1.18</f>
        <v/>
      </c>
      <c r="R176" s="58" t="inlineStr">
        <is>
          <t>VAT1 activation data</t>
        </is>
      </c>
    </row>
    <row r="177">
      <c r="A177" s="57" t="n"/>
      <c r="B177" s="52" t="inlineStr">
        <is>
          <t>83JC00LRIN</t>
        </is>
      </c>
      <c r="C177" s="52" t="inlineStr">
        <is>
          <t>T2 Green</t>
        </is>
      </c>
      <c r="D177" s="52" t="inlineStr">
        <is>
          <t>Activation</t>
        </is>
      </c>
      <c r="E177" s="52" t="inlineStr">
        <is>
          <t>Inventory Management - Tactical Support</t>
        </is>
      </c>
      <c r="F177" s="52" t="n"/>
      <c r="G177" s="52" t="inlineStr">
        <is>
          <t>All VAT1</t>
        </is>
      </c>
      <c r="H177" s="52" t="inlineStr">
        <is>
          <t>T3</t>
        </is>
      </c>
      <c r="I177" s="56" t="inlineStr">
        <is>
          <t>1.1.2026</t>
        </is>
      </c>
      <c r="J177" s="56" t="inlineStr">
        <is>
          <t>31.1.2026</t>
        </is>
      </c>
      <c r="K177" s="52" t="inlineStr">
        <is>
          <t>All</t>
        </is>
      </c>
      <c r="L177" s="52" t="inlineStr">
        <is>
          <t>All</t>
        </is>
      </c>
      <c r="M177" s="52" t="inlineStr">
        <is>
          <t>All</t>
        </is>
      </c>
      <c r="N177" s="52" t="n">
        <v>1</v>
      </c>
      <c r="O177" s="52" t="n">
        <v>0</v>
      </c>
      <c r="P177" s="58" t="n">
        <v>2233</v>
      </c>
      <c r="Q177" s="58">
        <f>P177*1.18</f>
        <v/>
      </c>
      <c r="R177" s="58" t="inlineStr">
        <is>
          <t>VAT1 activation data</t>
        </is>
      </c>
    </row>
    <row r="178">
      <c r="A178" s="57" t="n"/>
      <c r="B178" s="52" t="inlineStr">
        <is>
          <t>83JC00LSIN</t>
        </is>
      </c>
      <c r="C178" s="52" t="inlineStr">
        <is>
          <t>T2 Green</t>
        </is>
      </c>
      <c r="D178" s="52" t="inlineStr">
        <is>
          <t>Activation</t>
        </is>
      </c>
      <c r="E178" s="52" t="inlineStr">
        <is>
          <t>Inventory Management - Tactical Support</t>
        </is>
      </c>
      <c r="F178" s="52" t="n"/>
      <c r="G178" s="52" t="inlineStr">
        <is>
          <t>All VAT1</t>
        </is>
      </c>
      <c r="H178" s="52" t="inlineStr">
        <is>
          <t>T3</t>
        </is>
      </c>
      <c r="I178" s="56" t="inlineStr">
        <is>
          <t>1.1.2026</t>
        </is>
      </c>
      <c r="J178" s="56" t="inlineStr">
        <is>
          <t>31.1.2026</t>
        </is>
      </c>
      <c r="K178" s="52" t="inlineStr">
        <is>
          <t>All</t>
        </is>
      </c>
      <c r="L178" s="52" t="inlineStr">
        <is>
          <t>All</t>
        </is>
      </c>
      <c r="M178" s="52" t="inlineStr">
        <is>
          <t>All</t>
        </is>
      </c>
      <c r="N178" s="52" t="n">
        <v>1</v>
      </c>
      <c r="O178" s="52" t="n">
        <v>0</v>
      </c>
      <c r="P178" s="58" t="n">
        <v>5648</v>
      </c>
      <c r="Q178" s="58">
        <f>P178*1.18</f>
        <v/>
      </c>
      <c r="R178" s="58" t="inlineStr">
        <is>
          <t>VAT1 activation data</t>
        </is>
      </c>
    </row>
    <row r="179">
      <c r="A179" s="57" t="n"/>
      <c r="B179" s="52" t="inlineStr">
        <is>
          <t>83DV018LIN</t>
        </is>
      </c>
      <c r="C179" s="52" t="inlineStr">
        <is>
          <t>T2 Green</t>
        </is>
      </c>
      <c r="D179" s="52" t="inlineStr">
        <is>
          <t>Activation</t>
        </is>
      </c>
      <c r="E179" s="52" t="inlineStr">
        <is>
          <t>Inventory Management - Tactical Support</t>
        </is>
      </c>
      <c r="F179" s="52" t="n"/>
      <c r="G179" s="52" t="inlineStr">
        <is>
          <t>All VAT1</t>
        </is>
      </c>
      <c r="H179" s="52" t="inlineStr">
        <is>
          <t>T3</t>
        </is>
      </c>
      <c r="I179" s="56" t="inlineStr">
        <is>
          <t>1.1.2026</t>
        </is>
      </c>
      <c r="J179" s="56" t="inlineStr">
        <is>
          <t>31.1.2026</t>
        </is>
      </c>
      <c r="K179" s="52" t="inlineStr">
        <is>
          <t>All</t>
        </is>
      </c>
      <c r="L179" s="52" t="inlineStr">
        <is>
          <t>All</t>
        </is>
      </c>
      <c r="M179" s="52" t="inlineStr">
        <is>
          <t>All</t>
        </is>
      </c>
      <c r="N179" s="52" t="n">
        <v>1</v>
      </c>
      <c r="O179" s="52" t="n">
        <v>0</v>
      </c>
      <c r="P179" s="58" t="n">
        <v>6247</v>
      </c>
      <c r="Q179" s="58">
        <f>P179*1.18</f>
        <v/>
      </c>
      <c r="R179" s="58" t="inlineStr">
        <is>
          <t>VAT1 activation data</t>
        </is>
      </c>
    </row>
    <row r="180">
      <c r="A180" s="57" t="n"/>
      <c r="B180" s="52" t="inlineStr">
        <is>
          <t>83KT0052IN</t>
        </is>
      </c>
      <c r="C180" s="52" t="inlineStr">
        <is>
          <t>T2 Green</t>
        </is>
      </c>
      <c r="D180" s="52" t="inlineStr">
        <is>
          <t>Activation</t>
        </is>
      </c>
      <c r="E180" s="52" t="inlineStr">
        <is>
          <t>Inventory Management - Tactical Support</t>
        </is>
      </c>
      <c r="F180" s="52" t="n"/>
      <c r="G180" s="52" t="inlineStr">
        <is>
          <t>All VAT1</t>
        </is>
      </c>
      <c r="H180" s="52" t="inlineStr">
        <is>
          <t>T3</t>
        </is>
      </c>
      <c r="I180" s="56" t="inlineStr">
        <is>
          <t>1.1.2026</t>
        </is>
      </c>
      <c r="J180" s="56" t="inlineStr">
        <is>
          <t>31.1.2026</t>
        </is>
      </c>
      <c r="K180" s="52" t="inlineStr">
        <is>
          <t>All</t>
        </is>
      </c>
      <c r="L180" s="52" t="inlineStr">
        <is>
          <t>All</t>
        </is>
      </c>
      <c r="M180" s="52" t="inlineStr">
        <is>
          <t>All</t>
        </is>
      </c>
      <c r="N180" s="52" t="n">
        <v>1</v>
      </c>
      <c r="O180" s="52" t="n">
        <v>0</v>
      </c>
      <c r="P180" s="58" t="n">
        <v>4237</v>
      </c>
      <c r="Q180" s="58">
        <f>P180*1.18</f>
        <v/>
      </c>
      <c r="R180" s="58" t="inlineStr">
        <is>
          <t>VAT1 activation data</t>
        </is>
      </c>
    </row>
    <row r="181">
      <c r="A181" s="57" t="n"/>
      <c r="B181" s="52" t="inlineStr">
        <is>
          <t>82Y00052IN</t>
        </is>
      </c>
      <c r="C181" s="52" t="inlineStr">
        <is>
          <t>T2 Green</t>
        </is>
      </c>
      <c r="D181" s="52" t="inlineStr">
        <is>
          <t>Activation</t>
        </is>
      </c>
      <c r="E181" s="52" t="inlineStr">
        <is>
          <t>Inventory Management - Tactical Support</t>
        </is>
      </c>
      <c r="F181" s="52" t="n"/>
      <c r="G181" s="52" t="inlineStr">
        <is>
          <t>All VAT1</t>
        </is>
      </c>
      <c r="H181" s="52" t="inlineStr">
        <is>
          <t>T3</t>
        </is>
      </c>
      <c r="I181" s="56" t="inlineStr">
        <is>
          <t>1.1.2026</t>
        </is>
      </c>
      <c r="J181" s="56" t="inlineStr">
        <is>
          <t>31.1.2026</t>
        </is>
      </c>
      <c r="K181" s="52" t="inlineStr">
        <is>
          <t>All</t>
        </is>
      </c>
      <c r="L181" s="52" t="inlineStr">
        <is>
          <t>All</t>
        </is>
      </c>
      <c r="M181" s="52" t="inlineStr">
        <is>
          <t>All</t>
        </is>
      </c>
      <c r="N181" s="52" t="n">
        <v>1</v>
      </c>
      <c r="O181" s="52" t="n">
        <v>0</v>
      </c>
      <c r="P181" s="58" t="n">
        <v>1695</v>
      </c>
      <c r="Q181" s="58">
        <f>P181*1.18</f>
        <v/>
      </c>
      <c r="R181" s="58" t="inlineStr">
        <is>
          <t>VAT1 activation data</t>
        </is>
      </c>
    </row>
    <row r="182">
      <c r="A182" s="57" t="n"/>
      <c r="B182" s="52" t="inlineStr">
        <is>
          <t>82Y0004SIN</t>
        </is>
      </c>
      <c r="C182" s="52" t="inlineStr">
        <is>
          <t>T2 Green</t>
        </is>
      </c>
      <c r="D182" s="52" t="inlineStr">
        <is>
          <t>Activation</t>
        </is>
      </c>
      <c r="E182" s="52" t="inlineStr">
        <is>
          <t>Inventory Management - Tactical Support</t>
        </is>
      </c>
      <c r="F182" s="52" t="n"/>
      <c r="G182" s="52" t="inlineStr">
        <is>
          <t>All VAT1</t>
        </is>
      </c>
      <c r="H182" s="52" t="inlineStr">
        <is>
          <t>T3</t>
        </is>
      </c>
      <c r="I182" s="56" t="inlineStr">
        <is>
          <t>1.1.2026</t>
        </is>
      </c>
      <c r="J182" s="56" t="inlineStr">
        <is>
          <t>31.1.2026</t>
        </is>
      </c>
      <c r="K182" s="52" t="inlineStr">
        <is>
          <t>All</t>
        </is>
      </c>
      <c r="L182" s="52" t="inlineStr">
        <is>
          <t>All</t>
        </is>
      </c>
      <c r="M182" s="52" t="inlineStr">
        <is>
          <t>All</t>
        </is>
      </c>
      <c r="N182" s="52" t="n">
        <v>1</v>
      </c>
      <c r="O182" s="52" t="n">
        <v>0</v>
      </c>
      <c r="P182" s="58" t="n">
        <v>3390</v>
      </c>
      <c r="Q182" s="58">
        <f>P182*1.18</f>
        <v/>
      </c>
      <c r="R182" s="58" t="inlineStr">
        <is>
          <t>VAT1 activation data</t>
        </is>
      </c>
    </row>
    <row r="183">
      <c r="A183" s="57" t="n"/>
      <c r="B183" s="52" t="inlineStr">
        <is>
          <t>83KX0015IN</t>
        </is>
      </c>
      <c r="C183" s="52" t="inlineStr">
        <is>
          <t>T2 Green</t>
        </is>
      </c>
      <c r="D183" s="52" t="inlineStr">
        <is>
          <t>Activation</t>
        </is>
      </c>
      <c r="E183" s="52" t="inlineStr">
        <is>
          <t>Inventory Management - Tactical Support</t>
        </is>
      </c>
      <c r="F183" s="52" t="n"/>
      <c r="G183" s="52" t="inlineStr">
        <is>
          <t>All VAT1</t>
        </is>
      </c>
      <c r="H183" s="52" t="inlineStr">
        <is>
          <t>T3</t>
        </is>
      </c>
      <c r="I183" s="56" t="inlineStr">
        <is>
          <t>1.1.2026</t>
        </is>
      </c>
      <c r="J183" s="56" t="inlineStr">
        <is>
          <t>31.1.2026</t>
        </is>
      </c>
      <c r="K183" s="52" t="inlineStr">
        <is>
          <t>All</t>
        </is>
      </c>
      <c r="L183" s="52" t="inlineStr">
        <is>
          <t>All</t>
        </is>
      </c>
      <c r="M183" s="52" t="inlineStr">
        <is>
          <t>All</t>
        </is>
      </c>
      <c r="N183" s="52" t="n">
        <v>1</v>
      </c>
      <c r="O183" s="52" t="n">
        <v>0</v>
      </c>
      <c r="P183" s="58" t="n">
        <v>2966</v>
      </c>
      <c r="Q183" s="58">
        <f>P183*1.18</f>
        <v/>
      </c>
      <c r="R183" s="58" t="inlineStr">
        <is>
          <t>VAT1 activation data</t>
        </is>
      </c>
    </row>
    <row r="184">
      <c r="A184" s="57" t="n"/>
      <c r="B184" s="52" t="inlineStr">
        <is>
          <t>82XX0070IN</t>
        </is>
      </c>
      <c r="C184" s="52" t="inlineStr">
        <is>
          <t>T2 Green</t>
        </is>
      </c>
      <c r="D184" s="52" t="inlineStr">
        <is>
          <t>Activation</t>
        </is>
      </c>
      <c r="E184" s="52" t="inlineStr">
        <is>
          <t>Inventory Management - Tactical Support</t>
        </is>
      </c>
      <c r="F184" s="52" t="n"/>
      <c r="G184" s="52" t="inlineStr">
        <is>
          <t>All VAT1</t>
        </is>
      </c>
      <c r="H184" s="52" t="inlineStr">
        <is>
          <t>T3</t>
        </is>
      </c>
      <c r="I184" s="56" t="inlineStr">
        <is>
          <t>1.1.2026</t>
        </is>
      </c>
      <c r="J184" s="56" t="inlineStr">
        <is>
          <t>31.1.2026</t>
        </is>
      </c>
      <c r="K184" s="52" t="inlineStr">
        <is>
          <t>All</t>
        </is>
      </c>
      <c r="L184" s="52" t="inlineStr">
        <is>
          <t>All</t>
        </is>
      </c>
      <c r="M184" s="52" t="inlineStr">
        <is>
          <t>All</t>
        </is>
      </c>
      <c r="N184" s="52" t="n">
        <v>1</v>
      </c>
      <c r="O184" s="52" t="n">
        <v>0</v>
      </c>
      <c r="P184" s="58" t="n">
        <v>4237</v>
      </c>
      <c r="Q184" s="58">
        <f>P184*1.18</f>
        <v/>
      </c>
      <c r="R184" s="58" t="inlineStr">
        <is>
          <t>VAT1 activation data</t>
        </is>
      </c>
    </row>
    <row r="185">
      <c r="A185" s="57" t="n"/>
      <c r="B185" s="52" t="inlineStr">
        <is>
          <t>82XX00G4IN</t>
        </is>
      </c>
      <c r="C185" s="52" t="inlineStr">
        <is>
          <t>T2 Green</t>
        </is>
      </c>
      <c r="D185" s="52" t="inlineStr">
        <is>
          <t>Activation</t>
        </is>
      </c>
      <c r="E185" s="52" t="inlineStr">
        <is>
          <t>Inventory Management - Tactical Support</t>
        </is>
      </c>
      <c r="F185" s="52" t="n"/>
      <c r="G185" s="52" t="inlineStr">
        <is>
          <t>All VAT1</t>
        </is>
      </c>
      <c r="H185" s="52" t="inlineStr">
        <is>
          <t>T3</t>
        </is>
      </c>
      <c r="I185" s="56" t="inlineStr">
        <is>
          <t>1.1.2026</t>
        </is>
      </c>
      <c r="J185" s="56" t="inlineStr">
        <is>
          <t>31.1.2026</t>
        </is>
      </c>
      <c r="K185" s="52" t="inlineStr">
        <is>
          <t>All</t>
        </is>
      </c>
      <c r="L185" s="52" t="inlineStr">
        <is>
          <t>All</t>
        </is>
      </c>
      <c r="M185" s="52" t="inlineStr">
        <is>
          <t>All</t>
        </is>
      </c>
      <c r="N185" s="52" t="n">
        <v>1</v>
      </c>
      <c r="O185" s="52" t="n">
        <v>0</v>
      </c>
      <c r="P185" s="58" t="n">
        <v>3390</v>
      </c>
      <c r="Q185" s="58">
        <f>P185*1.18</f>
        <v/>
      </c>
      <c r="R185" s="58" t="inlineStr">
        <is>
          <t>VAT1 activation data</t>
        </is>
      </c>
    </row>
    <row r="186">
      <c r="A186" s="57" t="n"/>
      <c r="B186" s="52" t="inlineStr">
        <is>
          <t>82XX00G3IN</t>
        </is>
      </c>
      <c r="C186" s="52" t="inlineStr">
        <is>
          <t>T2 Green</t>
        </is>
      </c>
      <c r="D186" s="52" t="inlineStr">
        <is>
          <t>Activation</t>
        </is>
      </c>
      <c r="E186" s="52" t="inlineStr">
        <is>
          <t>Inventory Management - Tactical Support</t>
        </is>
      </c>
      <c r="F186" s="52" t="n"/>
      <c r="G186" s="52" t="inlineStr">
        <is>
          <t>All VAT1</t>
        </is>
      </c>
      <c r="H186" s="52" t="inlineStr">
        <is>
          <t>T3</t>
        </is>
      </c>
      <c r="I186" s="56" t="inlineStr">
        <is>
          <t>1.1.2026</t>
        </is>
      </c>
      <c r="J186" s="56" t="inlineStr">
        <is>
          <t>31.1.2026</t>
        </is>
      </c>
      <c r="K186" s="52" t="inlineStr">
        <is>
          <t>All</t>
        </is>
      </c>
      <c r="L186" s="52" t="inlineStr">
        <is>
          <t>All</t>
        </is>
      </c>
      <c r="M186" s="52" t="inlineStr">
        <is>
          <t>All</t>
        </is>
      </c>
      <c r="N186" s="52" t="n">
        <v>1</v>
      </c>
      <c r="O186" s="52" t="n">
        <v>0</v>
      </c>
      <c r="P186" s="58" t="n">
        <v>5085</v>
      </c>
      <c r="Q186" s="58">
        <f>P186*1.18</f>
        <v/>
      </c>
      <c r="R186" s="58" t="inlineStr">
        <is>
          <t>VAT1 activation data</t>
        </is>
      </c>
    </row>
    <row r="187">
      <c r="A187" s="57" t="n"/>
      <c r="B187" s="52" t="inlineStr">
        <is>
          <t>82R9005JIN</t>
        </is>
      </c>
      <c r="C187" s="52" t="inlineStr">
        <is>
          <t>T2 Green</t>
        </is>
      </c>
      <c r="D187" s="52" t="inlineStr">
        <is>
          <t>Activation</t>
        </is>
      </c>
      <c r="E187" s="52" t="inlineStr">
        <is>
          <t>Inventory Management - Tactical Support</t>
        </is>
      </c>
      <c r="F187" s="52" t="n"/>
      <c r="G187" s="52" t="inlineStr">
        <is>
          <t>All VAT1</t>
        </is>
      </c>
      <c r="H187" s="52" t="inlineStr">
        <is>
          <t>T3</t>
        </is>
      </c>
      <c r="I187" s="56" t="inlineStr">
        <is>
          <t>1.1.2026</t>
        </is>
      </c>
      <c r="J187" s="56" t="inlineStr">
        <is>
          <t>31.1.2026</t>
        </is>
      </c>
      <c r="K187" s="52" t="inlineStr">
        <is>
          <t>All</t>
        </is>
      </c>
      <c r="L187" s="52" t="inlineStr">
        <is>
          <t>All</t>
        </is>
      </c>
      <c r="M187" s="52" t="inlineStr">
        <is>
          <t>All</t>
        </is>
      </c>
      <c r="N187" s="52" t="n">
        <v>1</v>
      </c>
      <c r="O187" s="52" t="n">
        <v>0</v>
      </c>
      <c r="P187" s="58" t="n">
        <v>4237</v>
      </c>
      <c r="Q187" s="58">
        <f>P187*1.18</f>
        <v/>
      </c>
      <c r="R187" s="58" t="inlineStr">
        <is>
          <t>VAT1 activation data</t>
        </is>
      </c>
    </row>
    <row r="188">
      <c r="A188" s="57" t="n"/>
      <c r="B188" s="52" t="inlineStr">
        <is>
          <t>82Y0004RIN</t>
        </is>
      </c>
      <c r="C188" s="52" t="inlineStr">
        <is>
          <t>T2 Green</t>
        </is>
      </c>
      <c r="D188" s="52" t="inlineStr">
        <is>
          <t>Activation</t>
        </is>
      </c>
      <c r="E188" s="52" t="inlineStr">
        <is>
          <t>Inventory Management - Tactical Support</t>
        </is>
      </c>
      <c r="F188" s="52" t="n"/>
      <c r="G188" s="52" t="inlineStr">
        <is>
          <t>All VAT1</t>
        </is>
      </c>
      <c r="H188" s="52" t="inlineStr">
        <is>
          <t>T3</t>
        </is>
      </c>
      <c r="I188" s="56" t="inlineStr">
        <is>
          <t>1.1.2026</t>
        </is>
      </c>
      <c r="J188" s="56" t="inlineStr">
        <is>
          <t>31.1.2026</t>
        </is>
      </c>
      <c r="K188" s="52" t="inlineStr">
        <is>
          <t>All</t>
        </is>
      </c>
      <c r="L188" s="52" t="inlineStr">
        <is>
          <t>All</t>
        </is>
      </c>
      <c r="M188" s="52" t="inlineStr">
        <is>
          <t>All</t>
        </is>
      </c>
      <c r="N188" s="52" t="n">
        <v>1</v>
      </c>
      <c r="O188" s="52" t="n">
        <v>0</v>
      </c>
      <c r="P188" s="58" t="n">
        <v>3136</v>
      </c>
      <c r="Q188" s="58">
        <f>P188*1.18</f>
        <v/>
      </c>
      <c r="R188" s="58" t="inlineStr">
        <is>
          <t>VAT1 activation data</t>
        </is>
      </c>
    </row>
    <row r="189">
      <c r="A189" s="57" t="n"/>
      <c r="B189" s="52" t="inlineStr">
        <is>
          <t>82R700KHIN</t>
        </is>
      </c>
      <c r="C189" s="52" t="inlineStr">
        <is>
          <t>T2 Green</t>
        </is>
      </c>
      <c r="D189" s="52" t="inlineStr">
        <is>
          <t>Activation</t>
        </is>
      </c>
      <c r="E189" s="52" t="inlineStr">
        <is>
          <t>Inventory Management - Tactical Support</t>
        </is>
      </c>
      <c r="F189" s="52" t="n"/>
      <c r="G189" s="52" t="inlineStr">
        <is>
          <t>All VAT1</t>
        </is>
      </c>
      <c r="H189" s="52" t="inlineStr">
        <is>
          <t>T3</t>
        </is>
      </c>
      <c r="I189" s="56" t="inlineStr">
        <is>
          <t>1.1.2026</t>
        </is>
      </c>
      <c r="J189" s="56" t="inlineStr">
        <is>
          <t>31.1.2026</t>
        </is>
      </c>
      <c r="K189" s="52" t="inlineStr">
        <is>
          <t>All</t>
        </is>
      </c>
      <c r="L189" s="52" t="inlineStr">
        <is>
          <t>All</t>
        </is>
      </c>
      <c r="M189" s="52" t="inlineStr">
        <is>
          <t>All</t>
        </is>
      </c>
      <c r="N189" s="52" t="n">
        <v>1</v>
      </c>
      <c r="O189" s="52" t="n">
        <v>0</v>
      </c>
      <c r="P189" s="58" t="n">
        <v>2542</v>
      </c>
      <c r="Q189" s="58">
        <f>P189*1.18</f>
        <v/>
      </c>
      <c r="R189" s="58" t="inlineStr">
        <is>
          <t>VAT1 activation data</t>
        </is>
      </c>
    </row>
    <row r="190">
      <c r="A190" s="52" t="n"/>
      <c r="B190" s="52" t="inlineStr">
        <is>
          <t>83E00004IN</t>
        </is>
      </c>
      <c r="C190" s="52" t="inlineStr">
        <is>
          <t>T2 Green</t>
        </is>
      </c>
      <c r="D190" s="52" t="inlineStr">
        <is>
          <t>Activation</t>
        </is>
      </c>
      <c r="E190" s="52" t="inlineStr">
        <is>
          <t>Inventory Management - Tactical Support</t>
        </is>
      </c>
      <c r="F190" s="52" t="n"/>
      <c r="G190" s="57" t="inlineStr">
        <is>
          <t>All VAT1</t>
        </is>
      </c>
      <c r="H190" s="57" t="inlineStr">
        <is>
          <t>T3</t>
        </is>
      </c>
      <c r="I190" s="56" t="inlineStr">
        <is>
          <t>1.1.2026</t>
        </is>
      </c>
      <c r="J190" s="56" t="inlineStr">
        <is>
          <t>31.1.2026</t>
        </is>
      </c>
      <c r="K190" s="52" t="inlineStr">
        <is>
          <t>All</t>
        </is>
      </c>
      <c r="L190" s="52" t="inlineStr">
        <is>
          <t>All</t>
        </is>
      </c>
      <c r="M190" s="52" t="inlineStr">
        <is>
          <t>All</t>
        </is>
      </c>
      <c r="N190" s="52" t="n">
        <v>1</v>
      </c>
      <c r="O190" s="52" t="n">
        <v>0</v>
      </c>
      <c r="P190" s="58" t="n">
        <v>2819.110733207776</v>
      </c>
      <c r="Q190" s="58">
        <f>P190*1.18</f>
        <v/>
      </c>
      <c r="R190" s="58" t="inlineStr">
        <is>
          <t>VAT 1 Activation</t>
        </is>
      </c>
    </row>
    <row r="191">
      <c r="A191" s="52" t="n"/>
      <c r="B191" s="52" t="inlineStr">
        <is>
          <t>83E00012IN</t>
        </is>
      </c>
      <c r="C191" s="52" t="inlineStr">
        <is>
          <t>T2 Green</t>
        </is>
      </c>
      <c r="D191" s="52" t="inlineStr">
        <is>
          <t>Activation</t>
        </is>
      </c>
      <c r="E191" s="52" t="inlineStr">
        <is>
          <t>Inventory Management - Tactical Support</t>
        </is>
      </c>
      <c r="F191" s="52" t="n"/>
      <c r="G191" s="57" t="inlineStr">
        <is>
          <t>All VAT1</t>
        </is>
      </c>
      <c r="H191" s="57" t="inlineStr">
        <is>
          <t>T3</t>
        </is>
      </c>
      <c r="I191" s="56" t="inlineStr">
        <is>
          <t>1.1.2026</t>
        </is>
      </c>
      <c r="J191" s="56" t="inlineStr">
        <is>
          <t>31.1.2026</t>
        </is>
      </c>
      <c r="K191" s="52" t="inlineStr">
        <is>
          <t>All</t>
        </is>
      </c>
      <c r="L191" s="52" t="inlineStr">
        <is>
          <t>All</t>
        </is>
      </c>
      <c r="M191" s="52" t="inlineStr">
        <is>
          <t>All</t>
        </is>
      </c>
      <c r="N191" s="52" t="n">
        <v>1</v>
      </c>
      <c r="O191" s="52" t="n">
        <v>0</v>
      </c>
      <c r="P191" s="58" t="n">
        <v>6616.040590608143</v>
      </c>
      <c r="Q191" s="58">
        <f>P191*1.18</f>
        <v/>
      </c>
      <c r="R191" s="58" t="inlineStr">
        <is>
          <t>VAT 1 Activation</t>
        </is>
      </c>
    </row>
    <row r="192">
      <c r="A192" s="52" t="n"/>
      <c r="B192" s="52" t="inlineStr">
        <is>
          <t>82WV0065IN</t>
        </is>
      </c>
      <c r="C192" s="52" t="inlineStr">
        <is>
          <t>T2 Green</t>
        </is>
      </c>
      <c r="D192" s="52" t="inlineStr">
        <is>
          <t>Activation</t>
        </is>
      </c>
      <c r="E192" s="52" t="inlineStr">
        <is>
          <t>Inventory Management - Tactical Support</t>
        </is>
      </c>
      <c r="F192" s="52" t="n"/>
      <c r="G192" s="57" t="inlineStr">
        <is>
          <t>All VAT1</t>
        </is>
      </c>
      <c r="H192" s="57" t="inlineStr">
        <is>
          <t>T3</t>
        </is>
      </c>
      <c r="I192" s="56" t="inlineStr">
        <is>
          <t>1.1.2026</t>
        </is>
      </c>
      <c r="J192" s="56" t="inlineStr">
        <is>
          <t>31.1.2026</t>
        </is>
      </c>
      <c r="K192" s="52" t="inlineStr">
        <is>
          <t>All</t>
        </is>
      </c>
      <c r="L192" s="52" t="inlineStr">
        <is>
          <t>All</t>
        </is>
      </c>
      <c r="M192" s="52" t="inlineStr">
        <is>
          <t>All</t>
        </is>
      </c>
      <c r="N192" s="52" t="n">
        <v>1</v>
      </c>
      <c r="O192" s="52" t="n">
        <v>0</v>
      </c>
      <c r="P192" s="58" t="n">
        <v>3389.830508474577</v>
      </c>
      <c r="Q192" s="58">
        <f>P192*1.18</f>
        <v/>
      </c>
      <c r="R192" s="58" t="inlineStr">
        <is>
          <t>VAT 1 Activation</t>
        </is>
      </c>
    </row>
    <row r="193">
      <c r="A193" s="52" t="n"/>
      <c r="B193" s="52" t="inlineStr">
        <is>
          <t>83CV006BIN</t>
        </is>
      </c>
      <c r="C193" s="52" t="inlineStr">
        <is>
          <t>T2 Green</t>
        </is>
      </c>
      <c r="D193" s="52" t="inlineStr">
        <is>
          <t>Activation</t>
        </is>
      </c>
      <c r="E193" s="52" t="inlineStr">
        <is>
          <t>Inventory Management - Tactical Support</t>
        </is>
      </c>
      <c r="F193" s="52" t="n"/>
      <c r="G193" s="57" t="inlineStr">
        <is>
          <t>All VAT1</t>
        </is>
      </c>
      <c r="H193" s="57" t="inlineStr">
        <is>
          <t>T3</t>
        </is>
      </c>
      <c r="I193" s="56" t="inlineStr">
        <is>
          <t>1.1.2026</t>
        </is>
      </c>
      <c r="J193" s="56" t="inlineStr">
        <is>
          <t>31.1.2026</t>
        </is>
      </c>
      <c r="K193" s="52" t="inlineStr">
        <is>
          <t>All</t>
        </is>
      </c>
      <c r="L193" s="52" t="inlineStr">
        <is>
          <t>All</t>
        </is>
      </c>
      <c r="M193" s="52" t="inlineStr">
        <is>
          <t>All</t>
        </is>
      </c>
      <c r="N193" s="52" t="n">
        <v>1</v>
      </c>
      <c r="O193" s="52" t="n">
        <v>0</v>
      </c>
      <c r="P193" s="58" t="n">
        <v>6356.271186440679</v>
      </c>
      <c r="Q193" s="58">
        <f>P193*1.18</f>
        <v/>
      </c>
      <c r="R193" s="58" t="inlineStr">
        <is>
          <t>VAT 1 Activation</t>
        </is>
      </c>
    </row>
    <row r="194">
      <c r="A194" s="52" t="n"/>
      <c r="B194" s="52" t="inlineStr">
        <is>
          <t>83CV0079IN</t>
        </is>
      </c>
      <c r="C194" s="52" t="inlineStr">
        <is>
          <t>T2 Green</t>
        </is>
      </c>
      <c r="D194" s="52" t="inlineStr">
        <is>
          <t>Activation</t>
        </is>
      </c>
      <c r="E194" s="52" t="inlineStr">
        <is>
          <t>Inventory Management - Tactical Support</t>
        </is>
      </c>
      <c r="F194" s="52" t="n"/>
      <c r="G194" s="57" t="inlineStr">
        <is>
          <t>All VAT1</t>
        </is>
      </c>
      <c r="H194" s="57" t="inlineStr">
        <is>
          <t>T3</t>
        </is>
      </c>
      <c r="I194" s="56" t="inlineStr">
        <is>
          <t>1.1.2026</t>
        </is>
      </c>
      <c r="J194" s="56" t="inlineStr">
        <is>
          <t>31.1.2026</t>
        </is>
      </c>
      <c r="K194" s="52" t="inlineStr">
        <is>
          <t>All</t>
        </is>
      </c>
      <c r="L194" s="52" t="inlineStr">
        <is>
          <t>All</t>
        </is>
      </c>
      <c r="M194" s="52" t="inlineStr">
        <is>
          <t>All</t>
        </is>
      </c>
      <c r="N194" s="52" t="n">
        <v>1</v>
      </c>
      <c r="O194" s="52" t="n">
        <v>0</v>
      </c>
      <c r="P194" s="58" t="n">
        <v>11154</v>
      </c>
      <c r="Q194" s="58">
        <f>P194*1.18</f>
        <v/>
      </c>
      <c r="R194" s="58" t="inlineStr">
        <is>
          <t>VAT 1 Activation</t>
        </is>
      </c>
    </row>
    <row r="195">
      <c r="A195" s="52" t="n"/>
      <c r="B195" s="52" t="inlineStr">
        <is>
          <t>83CV002DIN</t>
        </is>
      </c>
      <c r="C195" s="52" t="inlineStr">
        <is>
          <t>T2 Green</t>
        </is>
      </c>
      <c r="D195" s="52" t="inlineStr">
        <is>
          <t>Activation</t>
        </is>
      </c>
      <c r="E195" s="52" t="inlineStr">
        <is>
          <t>Inventory Management - Tactical Support</t>
        </is>
      </c>
      <c r="F195" s="52" t="n"/>
      <c r="G195" s="57" t="inlineStr">
        <is>
          <t>All VAT1</t>
        </is>
      </c>
      <c r="H195" s="57" t="inlineStr">
        <is>
          <t>T3</t>
        </is>
      </c>
      <c r="I195" s="56" t="inlineStr">
        <is>
          <t>1.1.2026</t>
        </is>
      </c>
      <c r="J195" s="56" t="inlineStr">
        <is>
          <t>31.1.2026</t>
        </is>
      </c>
      <c r="K195" s="52" t="inlineStr">
        <is>
          <t>All</t>
        </is>
      </c>
      <c r="L195" s="52" t="inlineStr">
        <is>
          <t>All</t>
        </is>
      </c>
      <c r="M195" s="52" t="inlineStr">
        <is>
          <t>All</t>
        </is>
      </c>
      <c r="N195" s="52" t="n">
        <v>1</v>
      </c>
      <c r="O195" s="52" t="n">
        <v>0</v>
      </c>
      <c r="P195" s="58" t="n">
        <v>11103</v>
      </c>
      <c r="Q195" s="58">
        <f>P195*1.18</f>
        <v/>
      </c>
      <c r="R195" s="58" t="inlineStr">
        <is>
          <t>VAT 1 Activation</t>
        </is>
      </c>
    </row>
    <row r="196">
      <c r="A196" s="52" t="n"/>
      <c r="B196" s="52" t="inlineStr">
        <is>
          <t>83DE001HIN</t>
        </is>
      </c>
      <c r="C196" s="52" t="inlineStr">
        <is>
          <t>T2 Green</t>
        </is>
      </c>
      <c r="D196" s="52" t="inlineStr">
        <is>
          <t>Activation</t>
        </is>
      </c>
      <c r="E196" s="52" t="inlineStr">
        <is>
          <t>Inventory Management - Tactical Support</t>
        </is>
      </c>
      <c r="F196" s="52" t="n"/>
      <c r="G196" s="57" t="inlineStr">
        <is>
          <t>All VAT1</t>
        </is>
      </c>
      <c r="H196" s="57" t="inlineStr">
        <is>
          <t>T3</t>
        </is>
      </c>
      <c r="I196" s="56" t="inlineStr">
        <is>
          <t>1.1.2026</t>
        </is>
      </c>
      <c r="J196" s="56" t="inlineStr">
        <is>
          <t>31.1.2026</t>
        </is>
      </c>
      <c r="K196" s="52" t="inlineStr">
        <is>
          <t>All</t>
        </is>
      </c>
      <c r="L196" s="52" t="inlineStr">
        <is>
          <t>All</t>
        </is>
      </c>
      <c r="M196" s="52" t="inlineStr">
        <is>
          <t>All</t>
        </is>
      </c>
      <c r="N196" s="52" t="n">
        <v>1</v>
      </c>
      <c r="O196" s="52" t="n">
        <v>0</v>
      </c>
      <c r="P196" s="58" t="n">
        <v>16949</v>
      </c>
      <c r="Q196" s="58">
        <f>P196*1.18</f>
        <v/>
      </c>
      <c r="R196" s="58" t="inlineStr">
        <is>
          <t>VAT 1 Activation</t>
        </is>
      </c>
    </row>
    <row r="197">
      <c r="A197" s="52" t="n"/>
      <c r="B197" s="52" t="inlineStr">
        <is>
          <t>83DE001JIN</t>
        </is>
      </c>
      <c r="C197" s="52" t="inlineStr">
        <is>
          <t>T2 Green</t>
        </is>
      </c>
      <c r="D197" s="52" t="inlineStr">
        <is>
          <t>Activation</t>
        </is>
      </c>
      <c r="E197" s="52" t="inlineStr">
        <is>
          <t>Inventory Management - Tactical Support</t>
        </is>
      </c>
      <c r="F197" s="52" t="n"/>
      <c r="G197" s="57" t="inlineStr">
        <is>
          <t>All VAT1</t>
        </is>
      </c>
      <c r="H197" s="57" t="inlineStr">
        <is>
          <t>T3</t>
        </is>
      </c>
      <c r="I197" s="56" t="inlineStr">
        <is>
          <t>1.1.2026</t>
        </is>
      </c>
      <c r="J197" s="56" t="inlineStr">
        <is>
          <t>31.1.2026</t>
        </is>
      </c>
      <c r="K197" s="52" t="inlineStr">
        <is>
          <t>All</t>
        </is>
      </c>
      <c r="L197" s="52" t="inlineStr">
        <is>
          <t>All</t>
        </is>
      </c>
      <c r="M197" s="52" t="inlineStr">
        <is>
          <t>All</t>
        </is>
      </c>
      <c r="N197" s="52" t="n">
        <v>1</v>
      </c>
      <c r="O197" s="52" t="n">
        <v>0</v>
      </c>
      <c r="P197" s="58" t="n">
        <v>16949</v>
      </c>
      <c r="Q197" s="58">
        <f>P197*1.18</f>
        <v/>
      </c>
      <c r="R197" s="58" t="inlineStr">
        <is>
          <t>VAT 1 Activation</t>
        </is>
      </c>
    </row>
    <row r="198">
      <c r="A198" s="52" t="n"/>
      <c r="B198" s="52" t="inlineStr">
        <is>
          <t>83G0003AIN</t>
        </is>
      </c>
      <c r="C198" s="52" t="inlineStr">
        <is>
          <t>T2 Green</t>
        </is>
      </c>
      <c r="D198" s="52" t="inlineStr">
        <is>
          <t>Activation</t>
        </is>
      </c>
      <c r="E198" s="52" t="inlineStr">
        <is>
          <t>Inventory Management - Tactical Support</t>
        </is>
      </c>
      <c r="F198" s="52" t="n"/>
      <c r="G198" s="57" t="inlineStr">
        <is>
          <t>All VAT1</t>
        </is>
      </c>
      <c r="H198" s="57" t="inlineStr">
        <is>
          <t>T3</t>
        </is>
      </c>
      <c r="I198" s="56" t="inlineStr">
        <is>
          <t>1.1.2026</t>
        </is>
      </c>
      <c r="J198" s="56" t="inlineStr">
        <is>
          <t>31.1.2026</t>
        </is>
      </c>
      <c r="K198" s="52" t="inlineStr">
        <is>
          <t>All</t>
        </is>
      </c>
      <c r="L198" s="52" t="inlineStr">
        <is>
          <t>All</t>
        </is>
      </c>
      <c r="M198" s="52" t="inlineStr">
        <is>
          <t>All</t>
        </is>
      </c>
      <c r="N198" s="52" t="n">
        <v>1</v>
      </c>
      <c r="O198" s="52" t="n">
        <v>0</v>
      </c>
      <c r="P198" s="58" t="n">
        <v>27119</v>
      </c>
      <c r="Q198" s="58">
        <f>P198*1.18</f>
        <v/>
      </c>
      <c r="R198" s="58" t="inlineStr">
        <is>
          <t>VAT 1 Activation</t>
        </is>
      </c>
    </row>
    <row r="199">
      <c r="A199" s="52" t="n"/>
      <c r="B199" s="52" t="inlineStr">
        <is>
          <t>83FD0010IN</t>
        </is>
      </c>
      <c r="C199" s="52" t="inlineStr">
        <is>
          <t>T2 Green</t>
        </is>
      </c>
      <c r="D199" s="52" t="inlineStr">
        <is>
          <t>Activation</t>
        </is>
      </c>
      <c r="E199" s="52" t="inlineStr">
        <is>
          <t>Inventory Management - Tactical Support</t>
        </is>
      </c>
      <c r="F199" s="52" t="n"/>
      <c r="G199" s="57" t="inlineStr">
        <is>
          <t>All VAT1</t>
        </is>
      </c>
      <c r="H199" s="57" t="inlineStr">
        <is>
          <t>T3</t>
        </is>
      </c>
      <c r="I199" s="56" t="inlineStr">
        <is>
          <t>1.1.2026</t>
        </is>
      </c>
      <c r="J199" s="56" t="inlineStr">
        <is>
          <t>31.1.2026</t>
        </is>
      </c>
      <c r="K199" s="52" t="inlineStr">
        <is>
          <t>All</t>
        </is>
      </c>
      <c r="L199" s="52" t="inlineStr">
        <is>
          <t>All</t>
        </is>
      </c>
      <c r="M199" s="52" t="inlineStr">
        <is>
          <t>All</t>
        </is>
      </c>
      <c r="N199" s="52" t="n">
        <v>1</v>
      </c>
      <c r="O199" s="52" t="n">
        <v>0</v>
      </c>
      <c r="P199" s="58" t="n">
        <v>16525</v>
      </c>
      <c r="Q199" s="58">
        <f>P199*1.18</f>
        <v/>
      </c>
      <c r="R199" s="58" t="inlineStr">
        <is>
          <t>VAT 1 Activation</t>
        </is>
      </c>
    </row>
    <row r="200">
      <c r="A200" s="52" t="n"/>
      <c r="B200" s="52" t="inlineStr">
        <is>
          <t>82WM00FEIN</t>
        </is>
      </c>
      <c r="C200" s="52" t="inlineStr">
        <is>
          <t>T2 Green</t>
        </is>
      </c>
      <c r="D200" s="52" t="inlineStr">
        <is>
          <t>Activation</t>
        </is>
      </c>
      <c r="E200" s="52" t="inlineStr">
        <is>
          <t>Inventory Management - Tactical Support</t>
        </is>
      </c>
      <c r="F200" s="52" t="n"/>
      <c r="G200" s="57" t="inlineStr">
        <is>
          <t>All VAT1</t>
        </is>
      </c>
      <c r="H200" s="57" t="inlineStr">
        <is>
          <t>T3</t>
        </is>
      </c>
      <c r="I200" s="56" t="inlineStr">
        <is>
          <t>1.1.2026</t>
        </is>
      </c>
      <c r="J200" s="56" t="inlineStr">
        <is>
          <t>31.1.2026</t>
        </is>
      </c>
      <c r="K200" s="52" t="inlineStr">
        <is>
          <t>All</t>
        </is>
      </c>
      <c r="L200" s="52" t="inlineStr">
        <is>
          <t>All</t>
        </is>
      </c>
      <c r="M200" s="52" t="inlineStr">
        <is>
          <t>All</t>
        </is>
      </c>
      <c r="N200" s="52" t="n">
        <v>1</v>
      </c>
      <c r="O200" s="52" t="n">
        <v>0</v>
      </c>
      <c r="P200" s="58" t="n">
        <v>16949</v>
      </c>
      <c r="Q200" s="58">
        <f>P200*1.18</f>
        <v/>
      </c>
      <c r="R200" s="58" t="inlineStr">
        <is>
          <t>VAT 1 Activation</t>
        </is>
      </c>
    </row>
    <row r="201">
      <c r="A201" s="52" t="n"/>
      <c r="B201" s="52" t="inlineStr">
        <is>
          <t>83F0005VIN</t>
        </is>
      </c>
      <c r="C201" s="52" t="inlineStr">
        <is>
          <t>T2 Green</t>
        </is>
      </c>
      <c r="D201" s="52" t="inlineStr">
        <is>
          <t>Activation</t>
        </is>
      </c>
      <c r="E201" s="52" t="inlineStr">
        <is>
          <t>Inventory Management - Tactical Support</t>
        </is>
      </c>
      <c r="F201" s="52" t="n"/>
      <c r="G201" s="57" t="inlineStr">
        <is>
          <t>All VAT1</t>
        </is>
      </c>
      <c r="H201" s="57" t="inlineStr">
        <is>
          <t>T3</t>
        </is>
      </c>
      <c r="I201" s="56" t="inlineStr">
        <is>
          <t>1.1.2026</t>
        </is>
      </c>
      <c r="J201" s="56" t="inlineStr">
        <is>
          <t>31.1.2026</t>
        </is>
      </c>
      <c r="K201" s="52" t="inlineStr">
        <is>
          <t>All</t>
        </is>
      </c>
      <c r="L201" s="52" t="inlineStr">
        <is>
          <t>All</t>
        </is>
      </c>
      <c r="M201" s="52" t="inlineStr">
        <is>
          <t>All</t>
        </is>
      </c>
      <c r="N201" s="52" t="n">
        <v>1</v>
      </c>
      <c r="O201" s="52" t="n">
        <v>0</v>
      </c>
      <c r="P201" s="58" t="n">
        <v>7203</v>
      </c>
      <c r="Q201" s="58">
        <f>P201*1.18</f>
        <v/>
      </c>
      <c r="R201" s="58" t="inlineStr">
        <is>
          <t>VAT 1 Activation</t>
        </is>
      </c>
    </row>
    <row r="202">
      <c r="A202" s="52" t="n"/>
      <c r="B202" s="52" t="inlineStr">
        <is>
          <t>83FF0034IN</t>
        </is>
      </c>
      <c r="C202" s="52" t="inlineStr">
        <is>
          <t>T2 Green</t>
        </is>
      </c>
      <c r="D202" s="52" t="inlineStr">
        <is>
          <t>Activation</t>
        </is>
      </c>
      <c r="E202" s="52" t="inlineStr">
        <is>
          <t>Inventory Management - Tactical Support</t>
        </is>
      </c>
      <c r="F202" s="52" t="n"/>
      <c r="G202" s="57" t="inlineStr">
        <is>
          <t>All VAT1</t>
        </is>
      </c>
      <c r="H202" s="57" t="inlineStr">
        <is>
          <t>T3</t>
        </is>
      </c>
      <c r="I202" s="56" t="inlineStr">
        <is>
          <t>1.1.2026</t>
        </is>
      </c>
      <c r="J202" s="56" t="inlineStr">
        <is>
          <t>31.1.2026</t>
        </is>
      </c>
      <c r="K202" s="52" t="inlineStr">
        <is>
          <t>All</t>
        </is>
      </c>
      <c r="L202" s="52" t="inlineStr">
        <is>
          <t>All</t>
        </is>
      </c>
      <c r="M202" s="52" t="inlineStr">
        <is>
          <t>All</t>
        </is>
      </c>
      <c r="N202" s="52" t="n">
        <v>1</v>
      </c>
      <c r="O202" s="52" t="n">
        <v>0</v>
      </c>
      <c r="P202" s="58" t="n">
        <v>18644.06779661017</v>
      </c>
      <c r="Q202" s="58">
        <f>P202*1.18</f>
        <v/>
      </c>
      <c r="R202" s="58" t="inlineStr">
        <is>
          <t>VAT 1 Activation</t>
        </is>
      </c>
    </row>
    <row r="203">
      <c r="A203" s="52" t="n"/>
      <c r="B203" s="52" t="inlineStr">
        <is>
          <t>83JQ000NIN</t>
        </is>
      </c>
      <c r="C203" s="52" t="inlineStr">
        <is>
          <t>T2 Green</t>
        </is>
      </c>
      <c r="D203" s="52" t="inlineStr">
        <is>
          <t>Activation</t>
        </is>
      </c>
      <c r="E203" s="52" t="inlineStr">
        <is>
          <t>Inventory Management - Tactical Support</t>
        </is>
      </c>
      <c r="F203" s="52" t="n"/>
      <c r="G203" s="57" t="inlineStr">
        <is>
          <t>All VAT1</t>
        </is>
      </c>
      <c r="H203" s="57" t="inlineStr">
        <is>
          <t>T3</t>
        </is>
      </c>
      <c r="I203" s="56" t="inlineStr">
        <is>
          <t>1.1.2026</t>
        </is>
      </c>
      <c r="J203" s="56" t="inlineStr">
        <is>
          <t>31.1.2026</t>
        </is>
      </c>
      <c r="K203" s="52" t="inlineStr">
        <is>
          <t>All</t>
        </is>
      </c>
      <c r="L203" s="52" t="inlineStr">
        <is>
          <t>All</t>
        </is>
      </c>
      <c r="M203" s="52" t="inlineStr">
        <is>
          <t>All</t>
        </is>
      </c>
      <c r="N203" s="52" t="n">
        <v>1</v>
      </c>
      <c r="O203" s="52" t="n">
        <v>0</v>
      </c>
      <c r="P203" s="58" t="n">
        <v>1695</v>
      </c>
      <c r="Q203" s="58">
        <f>P203*1.18</f>
        <v/>
      </c>
      <c r="R203" s="58" t="inlineStr">
        <is>
          <t>VAT 1 Activation</t>
        </is>
      </c>
    </row>
    <row r="204">
      <c r="A204" s="52" t="n"/>
      <c r="B204" s="52" t="inlineStr">
        <is>
          <t>83JQ000VIN</t>
        </is>
      </c>
      <c r="C204" s="52" t="inlineStr">
        <is>
          <t>T2 Green</t>
        </is>
      </c>
      <c r="D204" s="52" t="inlineStr">
        <is>
          <t>Activation</t>
        </is>
      </c>
      <c r="E204" s="52" t="inlineStr">
        <is>
          <t>Inventory Management - Tactical Support</t>
        </is>
      </c>
      <c r="F204" s="52" t="n"/>
      <c r="G204" s="57" t="inlineStr">
        <is>
          <t>All VAT1</t>
        </is>
      </c>
      <c r="H204" s="57" t="inlineStr">
        <is>
          <t>T3</t>
        </is>
      </c>
      <c r="I204" s="56" t="inlineStr">
        <is>
          <t>1.1.2026</t>
        </is>
      </c>
      <c r="J204" s="56" t="inlineStr">
        <is>
          <t>31.1.2026</t>
        </is>
      </c>
      <c r="K204" s="52" t="inlineStr">
        <is>
          <t>All</t>
        </is>
      </c>
      <c r="L204" s="52" t="inlineStr">
        <is>
          <t>All</t>
        </is>
      </c>
      <c r="M204" s="52" t="inlineStr">
        <is>
          <t>All</t>
        </is>
      </c>
      <c r="N204" s="52" t="n">
        <v>1</v>
      </c>
      <c r="O204" s="52" t="n">
        <v>0</v>
      </c>
      <c r="P204" s="58" t="n">
        <v>1695</v>
      </c>
      <c r="Q204" s="58">
        <f>P204*1.18</f>
        <v/>
      </c>
      <c r="R204" s="58" t="inlineStr">
        <is>
          <t>VAT 1 Activation</t>
        </is>
      </c>
    </row>
    <row r="205">
      <c r="A205" s="52" t="n"/>
      <c r="B205" s="52" t="inlineStr">
        <is>
          <t>83DJ00DFIN</t>
        </is>
      </c>
      <c r="C205" s="52" t="inlineStr">
        <is>
          <t>T2 Green</t>
        </is>
      </c>
      <c r="D205" s="52" t="inlineStr">
        <is>
          <t>Activation</t>
        </is>
      </c>
      <c r="E205" s="52" t="inlineStr">
        <is>
          <t>Inventory Management - Tactical Support</t>
        </is>
      </c>
      <c r="F205" s="52" t="n"/>
      <c r="G205" s="57" t="inlineStr">
        <is>
          <t>All VAT1</t>
        </is>
      </c>
      <c r="H205" s="57" t="inlineStr">
        <is>
          <t>T3</t>
        </is>
      </c>
      <c r="I205" s="56" t="inlineStr">
        <is>
          <t>1.1.2026</t>
        </is>
      </c>
      <c r="J205" s="56" t="inlineStr">
        <is>
          <t>31.1.2026</t>
        </is>
      </c>
      <c r="K205" s="52" t="inlineStr">
        <is>
          <t>All</t>
        </is>
      </c>
      <c r="L205" s="52" t="inlineStr">
        <is>
          <t>All</t>
        </is>
      </c>
      <c r="M205" s="52" t="inlineStr">
        <is>
          <t>All</t>
        </is>
      </c>
      <c r="N205" s="52" t="n">
        <v>1</v>
      </c>
      <c r="O205" s="52" t="n">
        <v>0</v>
      </c>
      <c r="P205" s="58" t="n">
        <v>11864</v>
      </c>
      <c r="Q205" s="58">
        <f>P205*1.18</f>
        <v/>
      </c>
      <c r="R205" s="58" t="inlineStr">
        <is>
          <t>VAT 1 Activation</t>
        </is>
      </c>
    </row>
    <row r="206">
      <c r="A206" s="52" t="n"/>
      <c r="B206" s="52" t="inlineStr">
        <is>
          <t>83DJ006YIN</t>
        </is>
      </c>
      <c r="C206" s="52" t="inlineStr">
        <is>
          <t>T2 Green</t>
        </is>
      </c>
      <c r="D206" s="52" t="inlineStr">
        <is>
          <t>Activation</t>
        </is>
      </c>
      <c r="E206" s="52" t="inlineStr">
        <is>
          <t>Inventory Management - Tactical Support</t>
        </is>
      </c>
      <c r="F206" s="52" t="n"/>
      <c r="G206" s="57" t="inlineStr">
        <is>
          <t>All VAT1</t>
        </is>
      </c>
      <c r="H206" s="57" t="inlineStr">
        <is>
          <t>T3</t>
        </is>
      </c>
      <c r="I206" s="56" t="inlineStr">
        <is>
          <t>1.1.2026</t>
        </is>
      </c>
      <c r="J206" s="56" t="inlineStr">
        <is>
          <t>31.1.2026</t>
        </is>
      </c>
      <c r="K206" s="52" t="inlineStr">
        <is>
          <t>All</t>
        </is>
      </c>
      <c r="L206" s="52" t="inlineStr">
        <is>
          <t>All</t>
        </is>
      </c>
      <c r="M206" s="52" t="inlineStr">
        <is>
          <t>All</t>
        </is>
      </c>
      <c r="N206" s="52" t="n">
        <v>1</v>
      </c>
      <c r="O206" s="52" t="n">
        <v>0</v>
      </c>
      <c r="P206" s="58" t="n">
        <v>11864</v>
      </c>
      <c r="Q206" s="58">
        <f>P206*1.18</f>
        <v/>
      </c>
      <c r="R206" s="58" t="inlineStr">
        <is>
          <t>VAT 1 Activation</t>
        </is>
      </c>
    </row>
    <row r="207">
      <c r="A207" s="52" t="n"/>
      <c r="B207" s="52" t="inlineStr">
        <is>
          <t>82YL0098IN</t>
        </is>
      </c>
      <c r="C207" s="52" t="inlineStr">
        <is>
          <t>T2 Green</t>
        </is>
      </c>
      <c r="D207" s="52" t="inlineStr">
        <is>
          <t>Activation</t>
        </is>
      </c>
      <c r="E207" s="52" t="inlineStr">
        <is>
          <t>Inventory Management - Tactical Support</t>
        </is>
      </c>
      <c r="F207" s="52" t="n"/>
      <c r="G207" s="57" t="inlineStr">
        <is>
          <t>All VAT1</t>
        </is>
      </c>
      <c r="H207" s="57" t="inlineStr">
        <is>
          <t>T3</t>
        </is>
      </c>
      <c r="I207" s="56" t="inlineStr">
        <is>
          <t>1.1.2026</t>
        </is>
      </c>
      <c r="J207" s="56" t="inlineStr">
        <is>
          <t>31.1.2026</t>
        </is>
      </c>
      <c r="K207" s="52" t="inlineStr">
        <is>
          <t>All</t>
        </is>
      </c>
      <c r="L207" s="52" t="inlineStr">
        <is>
          <t>All</t>
        </is>
      </c>
      <c r="M207" s="52" t="inlineStr">
        <is>
          <t>All</t>
        </is>
      </c>
      <c r="N207" s="52" t="n">
        <v>1</v>
      </c>
      <c r="O207" s="52" t="n">
        <v>0</v>
      </c>
      <c r="P207" s="58" t="n">
        <v>5254</v>
      </c>
      <c r="Q207" s="58">
        <f>P207*1.18</f>
        <v/>
      </c>
      <c r="R207" s="58" t="inlineStr">
        <is>
          <t>VAT 1 Activation</t>
        </is>
      </c>
    </row>
    <row r="208">
      <c r="A208" s="52" t="n"/>
      <c r="B208" s="52" t="inlineStr">
        <is>
          <t>83JQ000XIN</t>
        </is>
      </c>
      <c r="C208" s="52" t="inlineStr">
        <is>
          <t>T2 Green</t>
        </is>
      </c>
      <c r="D208" s="52" t="inlineStr">
        <is>
          <t>Activation</t>
        </is>
      </c>
      <c r="E208" s="52" t="inlineStr">
        <is>
          <t>Inventory Management - Tactical Support</t>
        </is>
      </c>
      <c r="F208" s="52" t="n"/>
      <c r="G208" s="57" t="inlineStr">
        <is>
          <t>All VAT1</t>
        </is>
      </c>
      <c r="H208" s="57" t="inlineStr">
        <is>
          <t>T3</t>
        </is>
      </c>
      <c r="I208" s="56" t="inlineStr">
        <is>
          <t>1.1.2026</t>
        </is>
      </c>
      <c r="J208" s="56" t="inlineStr">
        <is>
          <t>31.1.2026</t>
        </is>
      </c>
      <c r="K208" s="52" t="inlineStr">
        <is>
          <t>All</t>
        </is>
      </c>
      <c r="L208" s="52" t="inlineStr">
        <is>
          <t>All</t>
        </is>
      </c>
      <c r="M208" s="52" t="inlineStr">
        <is>
          <t>All</t>
        </is>
      </c>
      <c r="N208" s="52" t="n">
        <v>1</v>
      </c>
      <c r="O208" s="52" t="n">
        <v>0</v>
      </c>
      <c r="P208" s="58" t="n">
        <v>1694.915254237288</v>
      </c>
      <c r="Q208" s="58">
        <f>P208*1.18</f>
        <v/>
      </c>
      <c r="R208" s="58" t="inlineStr">
        <is>
          <t>VAT 1 Activation</t>
        </is>
      </c>
    </row>
    <row r="209">
      <c r="A209" s="52" t="n"/>
      <c r="B209" s="52" t="inlineStr">
        <is>
          <t>83DJ007TIN</t>
        </is>
      </c>
      <c r="C209" s="52" t="inlineStr">
        <is>
          <t>T2 Green</t>
        </is>
      </c>
      <c r="D209" s="52" t="inlineStr">
        <is>
          <t>Activation</t>
        </is>
      </c>
      <c r="E209" s="52" t="inlineStr">
        <is>
          <t>Inventory Management - Tactical Support</t>
        </is>
      </c>
      <c r="F209" s="52" t="n"/>
      <c r="G209" s="57" t="inlineStr">
        <is>
          <t>All VAT1</t>
        </is>
      </c>
      <c r="H209" s="57" t="inlineStr">
        <is>
          <t>T3</t>
        </is>
      </c>
      <c r="I209" s="56" t="inlineStr">
        <is>
          <t>1.1.2026</t>
        </is>
      </c>
      <c r="J209" s="56" t="inlineStr">
        <is>
          <t>31.1.2026</t>
        </is>
      </c>
      <c r="K209" s="52" t="inlineStr">
        <is>
          <t>All</t>
        </is>
      </c>
      <c r="L209" s="52" t="inlineStr">
        <is>
          <t>All</t>
        </is>
      </c>
      <c r="M209" s="52" t="inlineStr">
        <is>
          <t>All</t>
        </is>
      </c>
      <c r="N209" s="52" t="n">
        <v>1</v>
      </c>
      <c r="O209" s="52" t="n">
        <v>0</v>
      </c>
      <c r="P209" s="58" t="n">
        <v>14909</v>
      </c>
      <c r="Q209" s="58">
        <f>P209*1.18</f>
        <v/>
      </c>
      <c r="R209" s="58" t="inlineStr">
        <is>
          <t>VAT 1 Activation</t>
        </is>
      </c>
    </row>
    <row r="210">
      <c r="A210" s="52" t="n"/>
      <c r="B210" s="52" t="inlineStr">
        <is>
          <t>83DJ007UIN</t>
        </is>
      </c>
      <c r="C210" s="52" t="inlineStr">
        <is>
          <t>T2 Green</t>
        </is>
      </c>
      <c r="D210" s="52" t="inlineStr">
        <is>
          <t>Activation</t>
        </is>
      </c>
      <c r="E210" s="52" t="inlineStr">
        <is>
          <t>Inventory Management - Tactical Support</t>
        </is>
      </c>
      <c r="F210" s="52" t="n"/>
      <c r="G210" s="57" t="inlineStr">
        <is>
          <t>All VAT1</t>
        </is>
      </c>
      <c r="H210" s="57" t="inlineStr">
        <is>
          <t>T3</t>
        </is>
      </c>
      <c r="I210" s="56" t="inlineStr">
        <is>
          <t>1.1.2026</t>
        </is>
      </c>
      <c r="J210" s="56" t="inlineStr">
        <is>
          <t>31.1.2026</t>
        </is>
      </c>
      <c r="K210" s="52" t="inlineStr">
        <is>
          <t>All</t>
        </is>
      </c>
      <c r="L210" s="52" t="inlineStr">
        <is>
          <t>All</t>
        </is>
      </c>
      <c r="M210" s="52" t="inlineStr">
        <is>
          <t>All</t>
        </is>
      </c>
      <c r="N210" s="52" t="n">
        <v>1</v>
      </c>
      <c r="O210" s="52" t="n">
        <v>0</v>
      </c>
      <c r="P210" s="58" t="n">
        <v>14909</v>
      </c>
      <c r="Q210" s="58">
        <f>P210*1.18</f>
        <v/>
      </c>
      <c r="R210" s="58" t="inlineStr">
        <is>
          <t>VAT 1 Activation</t>
        </is>
      </c>
    </row>
    <row r="211">
      <c r="A211" s="52" t="n"/>
      <c r="B211" s="52" t="inlineStr">
        <is>
          <t>83JR001EIN</t>
        </is>
      </c>
      <c r="C211" s="52" t="inlineStr">
        <is>
          <t>T2 Green</t>
        </is>
      </c>
      <c r="D211" s="52" t="inlineStr">
        <is>
          <t>Activation</t>
        </is>
      </c>
      <c r="E211" s="52" t="inlineStr">
        <is>
          <t>Inventory Management - Tactical Support</t>
        </is>
      </c>
      <c r="F211" s="52" t="n"/>
      <c r="G211" s="57" t="inlineStr">
        <is>
          <t>All VAT1</t>
        </is>
      </c>
      <c r="H211" s="57" t="inlineStr">
        <is>
          <t>T3</t>
        </is>
      </c>
      <c r="I211" s="56" t="inlineStr">
        <is>
          <t>1.1.2026</t>
        </is>
      </c>
      <c r="J211" s="56" t="inlineStr">
        <is>
          <t>31.1.2026</t>
        </is>
      </c>
      <c r="K211" s="52" t="inlineStr">
        <is>
          <t>All</t>
        </is>
      </c>
      <c r="L211" s="52" t="inlineStr">
        <is>
          <t>All</t>
        </is>
      </c>
      <c r="M211" s="52" t="inlineStr">
        <is>
          <t>All</t>
        </is>
      </c>
      <c r="N211" s="52" t="n">
        <v>1</v>
      </c>
      <c r="O211" s="52" t="n">
        <v>0</v>
      </c>
      <c r="P211" s="58" t="n">
        <v>2542</v>
      </c>
      <c r="Q211" s="58">
        <f>P211*1.18</f>
        <v/>
      </c>
      <c r="R211" s="58" t="inlineStr">
        <is>
          <t>VAT 1 Activation</t>
        </is>
      </c>
    </row>
    <row r="212">
      <c r="A212" s="52" t="n"/>
      <c r="B212" s="52" t="inlineStr">
        <is>
          <t>83DJ006XIN</t>
        </is>
      </c>
      <c r="C212" s="52" t="inlineStr">
        <is>
          <t>T2 Green</t>
        </is>
      </c>
      <c r="D212" s="52" t="inlineStr">
        <is>
          <t>Activation</t>
        </is>
      </c>
      <c r="E212" s="52" t="inlineStr">
        <is>
          <t>Inventory Management - Tactical Support</t>
        </is>
      </c>
      <c r="F212" s="52" t="n"/>
      <c r="G212" s="57" t="inlineStr">
        <is>
          <t>All VAT1</t>
        </is>
      </c>
      <c r="H212" s="57" t="inlineStr">
        <is>
          <t>T3</t>
        </is>
      </c>
      <c r="I212" s="56" t="inlineStr">
        <is>
          <t>1.1.2026</t>
        </is>
      </c>
      <c r="J212" s="56" t="inlineStr">
        <is>
          <t>31.1.2026</t>
        </is>
      </c>
      <c r="K212" s="52" t="inlineStr">
        <is>
          <t>All</t>
        </is>
      </c>
      <c r="L212" s="52" t="inlineStr">
        <is>
          <t>All</t>
        </is>
      </c>
      <c r="M212" s="52" t="inlineStr">
        <is>
          <t>All</t>
        </is>
      </c>
      <c r="N212" s="52" t="n">
        <v>1</v>
      </c>
      <c r="O212" s="52" t="n">
        <v>0</v>
      </c>
      <c r="P212" s="58" t="n">
        <v>11053</v>
      </c>
      <c r="Q212" s="58">
        <f>P212*1.18</f>
        <v/>
      </c>
      <c r="R212" s="58" t="inlineStr">
        <is>
          <t>VAT 1 Activation</t>
        </is>
      </c>
    </row>
    <row r="213">
      <c r="A213" s="52" t="n"/>
      <c r="B213" s="52" t="inlineStr">
        <is>
          <t>83DJ00DGIN</t>
        </is>
      </c>
      <c r="C213" s="52" t="inlineStr">
        <is>
          <t>T2 Green</t>
        </is>
      </c>
      <c r="D213" s="52" t="inlineStr">
        <is>
          <t>Activation</t>
        </is>
      </c>
      <c r="E213" s="52" t="inlineStr">
        <is>
          <t>Inventory Management - Tactical Support</t>
        </is>
      </c>
      <c r="F213" s="52" t="n"/>
      <c r="G213" s="57" t="inlineStr">
        <is>
          <t>All VAT1</t>
        </is>
      </c>
      <c r="H213" s="57" t="inlineStr">
        <is>
          <t>T3</t>
        </is>
      </c>
      <c r="I213" s="56" t="inlineStr">
        <is>
          <t>1.1.2026</t>
        </is>
      </c>
      <c r="J213" s="56" t="inlineStr">
        <is>
          <t>31.1.2026</t>
        </is>
      </c>
      <c r="K213" s="52" t="inlineStr">
        <is>
          <t>All</t>
        </is>
      </c>
      <c r="L213" s="52" t="inlineStr">
        <is>
          <t>All</t>
        </is>
      </c>
      <c r="M213" s="52" t="inlineStr">
        <is>
          <t>All</t>
        </is>
      </c>
      <c r="N213" s="52" t="n">
        <v>1</v>
      </c>
      <c r="O213" s="52" t="n">
        <v>0</v>
      </c>
      <c r="P213" s="58" t="n">
        <v>11053</v>
      </c>
      <c r="Q213" s="58">
        <f>P213*1.18</f>
        <v/>
      </c>
      <c r="R213" s="58" t="inlineStr">
        <is>
          <t>VAT 1 Activation</t>
        </is>
      </c>
    </row>
    <row r="214">
      <c r="A214" s="52" t="n"/>
      <c r="B214" s="52" t="inlineStr">
        <is>
          <t>83DJ00DDIN</t>
        </is>
      </c>
      <c r="C214" s="52" t="inlineStr">
        <is>
          <t>T2 Green</t>
        </is>
      </c>
      <c r="D214" s="52" t="inlineStr">
        <is>
          <t>Activation</t>
        </is>
      </c>
      <c r="E214" s="52" t="inlineStr">
        <is>
          <t>Inventory Management - Tactical Support</t>
        </is>
      </c>
      <c r="F214" s="52" t="n"/>
      <c r="G214" s="57" t="inlineStr">
        <is>
          <t>All VAT1</t>
        </is>
      </c>
      <c r="H214" s="57" t="inlineStr">
        <is>
          <t>T3</t>
        </is>
      </c>
      <c r="I214" s="56" t="inlineStr">
        <is>
          <t>1.1.2026</t>
        </is>
      </c>
      <c r="J214" s="56" t="inlineStr">
        <is>
          <t>31.1.2026</t>
        </is>
      </c>
      <c r="K214" s="52" t="inlineStr">
        <is>
          <t>All</t>
        </is>
      </c>
      <c r="L214" s="52" t="inlineStr">
        <is>
          <t>All</t>
        </is>
      </c>
      <c r="M214" s="52" t="inlineStr">
        <is>
          <t>All</t>
        </is>
      </c>
      <c r="N214" s="52" t="n">
        <v>1</v>
      </c>
      <c r="O214" s="52" t="n">
        <v>0</v>
      </c>
      <c r="P214" s="58" t="n">
        <v>7627</v>
      </c>
      <c r="Q214" s="58">
        <f>P214*1.18</f>
        <v/>
      </c>
      <c r="R214" s="58" t="inlineStr">
        <is>
          <t>VAT 1 Activation</t>
        </is>
      </c>
    </row>
    <row r="215">
      <c r="A215" s="52" t="n"/>
      <c r="B215" s="52" t="inlineStr">
        <is>
          <t>83DJ00AMIN</t>
        </is>
      </c>
      <c r="C215" s="52" t="inlineStr">
        <is>
          <t>T2 Green</t>
        </is>
      </c>
      <c r="D215" s="52" t="inlineStr">
        <is>
          <t>Activation</t>
        </is>
      </c>
      <c r="E215" s="52" t="inlineStr">
        <is>
          <t>Inventory Management - Tactical Support</t>
        </is>
      </c>
      <c r="F215" s="52" t="n"/>
      <c r="G215" s="57" t="inlineStr">
        <is>
          <t>All VAT1</t>
        </is>
      </c>
      <c r="H215" s="57" t="inlineStr">
        <is>
          <t>T3</t>
        </is>
      </c>
      <c r="I215" s="56" t="inlineStr">
        <is>
          <t>1.1.2026</t>
        </is>
      </c>
      <c r="J215" s="56" t="inlineStr">
        <is>
          <t>31.1.2026</t>
        </is>
      </c>
      <c r="K215" s="52" t="inlineStr">
        <is>
          <t>All</t>
        </is>
      </c>
      <c r="L215" s="52" t="inlineStr">
        <is>
          <t>All</t>
        </is>
      </c>
      <c r="M215" s="52" t="inlineStr">
        <is>
          <t>All</t>
        </is>
      </c>
      <c r="N215" s="52" t="n">
        <v>1</v>
      </c>
      <c r="O215" s="52" t="n">
        <v>0</v>
      </c>
      <c r="P215" s="58" t="n">
        <v>7627</v>
      </c>
      <c r="Q215" s="58">
        <f>P215*1.18</f>
        <v/>
      </c>
      <c r="R215" s="58" t="inlineStr">
        <is>
          <t>VAT 1 Activation</t>
        </is>
      </c>
    </row>
    <row r="216">
      <c r="A216" s="52" t="n"/>
      <c r="B216" s="52" t="inlineStr">
        <is>
          <t>83DJ00AKIN</t>
        </is>
      </c>
      <c r="C216" s="52" t="inlineStr">
        <is>
          <t>T2 Green</t>
        </is>
      </c>
      <c r="D216" s="52" t="inlineStr">
        <is>
          <t>Activation</t>
        </is>
      </c>
      <c r="E216" s="52" t="inlineStr">
        <is>
          <t>Inventory Management - Tactical Support</t>
        </is>
      </c>
      <c r="F216" s="52" t="n"/>
      <c r="G216" s="57" t="inlineStr">
        <is>
          <t>All VAT1</t>
        </is>
      </c>
      <c r="H216" s="57" t="inlineStr">
        <is>
          <t>T3</t>
        </is>
      </c>
      <c r="I216" s="56" t="inlineStr">
        <is>
          <t>1.1.2026</t>
        </is>
      </c>
      <c r="J216" s="56" t="inlineStr">
        <is>
          <t>31.1.2026</t>
        </is>
      </c>
      <c r="K216" s="52" t="inlineStr">
        <is>
          <t>All</t>
        </is>
      </c>
      <c r="L216" s="52" t="inlineStr">
        <is>
          <t>All</t>
        </is>
      </c>
      <c r="M216" s="52" t="inlineStr">
        <is>
          <t>All</t>
        </is>
      </c>
      <c r="N216" s="52" t="n">
        <v>1</v>
      </c>
      <c r="O216" s="52" t="n">
        <v>0</v>
      </c>
      <c r="P216" s="58" t="n">
        <v>7627</v>
      </c>
      <c r="Q216" s="58">
        <f>P216*1.18</f>
        <v/>
      </c>
      <c r="R216" s="58" t="inlineStr">
        <is>
          <t>VAT 1 Activation</t>
        </is>
      </c>
    </row>
  </sheetData>
  <conditionalFormatting sqref="A2">
    <cfRule type="duplicateValues" priority="18" dxfId="0"/>
  </conditionalFormatting>
  <conditionalFormatting sqref="B3:B66">
    <cfRule type="duplicateValues" priority="20" dxfId="0"/>
    <cfRule type="duplicateValues" priority="21" dxfId="0"/>
    <cfRule type="duplicateValues" priority="22" dxfId="0"/>
    <cfRule type="duplicateValues" priority="23" dxfId="0"/>
    <cfRule type="duplicateValues" priority="24" dxfId="0"/>
    <cfRule type="duplicateValues" priority="25" dxfId="0"/>
    <cfRule type="duplicateValues" priority="26" dxfId="0"/>
    <cfRule type="duplicateValues" priority="27" dxfId="0"/>
  </conditionalFormatting>
  <conditionalFormatting sqref="B37:B44">
    <cfRule type="duplicateValues" priority="19" dxfId="0"/>
  </conditionalFormatting>
  <conditionalFormatting sqref="B45:B66">
    <cfRule type="duplicateValues" priority="17" dxfId="0"/>
  </conditionalFormatting>
  <conditionalFormatting sqref="B67">
    <cfRule type="duplicateValues" priority="9" dxfId="0"/>
    <cfRule type="duplicateValues" priority="10" dxfId="0"/>
    <cfRule type="duplicateValues" priority="11" dxfId="0"/>
    <cfRule type="duplicateValues" priority="12" dxfId="0"/>
    <cfRule type="duplicateValues" priority="13" dxfId="0"/>
    <cfRule type="duplicateValues" priority="14" dxfId="0"/>
    <cfRule type="duplicateValues" priority="15" dxfId="0"/>
    <cfRule type="duplicateValues" priority="16" dxfId="0"/>
  </conditionalFormatting>
  <conditionalFormatting sqref="B190:B216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6" dxfId="0"/>
    <cfRule type="duplicateValues" priority="7" dxfId="0"/>
    <cfRule type="duplicateValues" priority="8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Sunil Mir1</dc:creator>
  <dcterms:created xsi:type="dcterms:W3CDTF">2015-06-05T18:17:20Z</dcterms:created>
  <dcterms:modified xsi:type="dcterms:W3CDTF">2026-01-02T13:23:11Z</dcterms:modified>
  <cp:lastModifiedBy>Rahul Sarin2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0x01010018B8E6B6103E0F45BB6C59C22B6E557C</vt:lpwstr>
  </property>
  <property name="MediaServiceImageTags" fmtid="{D5CDD505-2E9C-101B-9397-08002B2CF9AE}" pid="3">
    <vt:lpwstr/>
  </property>
</Properties>
</file>