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Rahul\Official\Q4FY2526\Pricing\January\Notebook\"/>
    </mc:Choice>
  </mc:AlternateContent>
  <xr:revisionPtr revIDLastSave="0" documentId="13_ncr:1_{5326119D-038B-45E4-806E-3AC246C9DB83}" xr6:coauthVersionLast="47" xr6:coauthVersionMax="47" xr10:uidLastSave="{00000000-0000-0000-0000-000000000000}"/>
  <bookViews>
    <workbookView xWindow="-110" yWindow="-110" windowWidth="19420" windowHeight="11500" tabRatio="840" firstSheet="1" activeTab="1" xr2:uid="{00000000-000D-0000-FFFF-FFFF00000000}"/>
  </bookViews>
  <sheets>
    <sheet name="Online 1-30 June Old PL" sheetId="22" state="hidden" r:id="rId1"/>
    <sheet name="Jan'26 Ch PL-Full" sheetId="16" r:id="rId2"/>
    <sheet name="Jan'26 Ch PL Zero  " sheetId="38" r:id="rId3"/>
    <sheet name="Activation" sheetId="51" r:id="rId4"/>
  </sheets>
  <definedNames>
    <definedName name="_xlnm._FilterDatabase" localSheetId="2" hidden="1">'Jan''26 Ch PL Zero  '!$A$5:$W$63</definedName>
    <definedName name="_xlnm._FilterDatabase" localSheetId="1" hidden="1">'Jan''26 Ch PL-Full'!$B$4:$W$123</definedName>
    <definedName name="_xlnm._FilterDatabase" localSheetId="0" hidden="1">'Online 1-30 June Old PL'!$A$2:$BL$2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6" i="51" l="1"/>
  <c r="Q215" i="51"/>
  <c r="Q214" i="51"/>
  <c r="Q213" i="51"/>
  <c r="Q212" i="51"/>
  <c r="Q211" i="51"/>
  <c r="Q210" i="51"/>
  <c r="Q209" i="51"/>
  <c r="Q208" i="51"/>
  <c r="Q207" i="51"/>
  <c r="Q206" i="51"/>
  <c r="Q205" i="51"/>
  <c r="Q204" i="51"/>
  <c r="Q203" i="51"/>
  <c r="Q202" i="51"/>
  <c r="Q201" i="51"/>
  <c r="Q200" i="51"/>
  <c r="Q199" i="51"/>
  <c r="Q198" i="51"/>
  <c r="Q197" i="51"/>
  <c r="Q196" i="51"/>
  <c r="Q195" i="51"/>
  <c r="Q194" i="51"/>
  <c r="Q193" i="51"/>
  <c r="Q192" i="51"/>
  <c r="Q191" i="51"/>
  <c r="Q190" i="51"/>
  <c r="Q189" i="51"/>
  <c r="Q188" i="51"/>
  <c r="Q187" i="51"/>
  <c r="Q186" i="51"/>
  <c r="Q185" i="51"/>
  <c r="Q184" i="51"/>
  <c r="Q183" i="51"/>
  <c r="Q182" i="51"/>
  <c r="Q181" i="51"/>
  <c r="Q180" i="51"/>
  <c r="Q179" i="51"/>
  <c r="Q178" i="51"/>
  <c r="Q177" i="51"/>
  <c r="Q176" i="51"/>
  <c r="Q175" i="51"/>
  <c r="Q174" i="51"/>
  <c r="Q173" i="51"/>
  <c r="Q172" i="51"/>
  <c r="Q171" i="51"/>
  <c r="Q170" i="51"/>
  <c r="Q169" i="51"/>
  <c r="Q168" i="51"/>
  <c r="Q167" i="51"/>
  <c r="Q166" i="51"/>
  <c r="Q165" i="51"/>
  <c r="Q164" i="51"/>
  <c r="Q163" i="51"/>
  <c r="Q162" i="51"/>
  <c r="Q161" i="51"/>
  <c r="Q160" i="51"/>
  <c r="Q159" i="51"/>
  <c r="Q158" i="51"/>
  <c r="Q157" i="51"/>
  <c r="Q156" i="51"/>
  <c r="Q155" i="51"/>
  <c r="Q154" i="51"/>
  <c r="Q153" i="51"/>
  <c r="Q152" i="51"/>
  <c r="Q151" i="51"/>
  <c r="Q150" i="51"/>
  <c r="Q149" i="51"/>
  <c r="Q148" i="51"/>
  <c r="Q147" i="51"/>
  <c r="Q146" i="51"/>
  <c r="Q145" i="51"/>
  <c r="Q144" i="51"/>
  <c r="Q143" i="51"/>
  <c r="Q142" i="51"/>
  <c r="Q141" i="51"/>
  <c r="Q140" i="51"/>
  <c r="Q139" i="51"/>
  <c r="Q138" i="51"/>
  <c r="Q137" i="51"/>
  <c r="Q136" i="51"/>
  <c r="Q135" i="51"/>
  <c r="Q134" i="51"/>
  <c r="Q133" i="51"/>
  <c r="Q132" i="51"/>
  <c r="Q131" i="51"/>
  <c r="Q130" i="51"/>
  <c r="Q129" i="51"/>
  <c r="Q128" i="51"/>
  <c r="Q127" i="51"/>
  <c r="Q126" i="51"/>
  <c r="Q125" i="51"/>
  <c r="Q124" i="51"/>
  <c r="Q123" i="51"/>
  <c r="Q122" i="51"/>
  <c r="Q121" i="51"/>
  <c r="Q120" i="51"/>
  <c r="Q119" i="51"/>
  <c r="Q118" i="51"/>
  <c r="Q117" i="51"/>
  <c r="Q116" i="51"/>
  <c r="Q115" i="51"/>
  <c r="Q114" i="51"/>
  <c r="Q113" i="51"/>
  <c r="Q112" i="51"/>
  <c r="Q111" i="51"/>
  <c r="Q110" i="51"/>
  <c r="Q109" i="51"/>
  <c r="Q108" i="51"/>
  <c r="Q107" i="51"/>
  <c r="Q106" i="51"/>
  <c r="Q105" i="51"/>
  <c r="Q104" i="51"/>
  <c r="Q103" i="51"/>
  <c r="Q102" i="51"/>
  <c r="Q101" i="51"/>
  <c r="Q100" i="51"/>
  <c r="Q99" i="51"/>
  <c r="Q98" i="51"/>
  <c r="Q97" i="51"/>
  <c r="Q96" i="51"/>
  <c r="Q95" i="51"/>
  <c r="Q94" i="51"/>
  <c r="Q93" i="51"/>
  <c r="Q92" i="51"/>
  <c r="Q91" i="51"/>
  <c r="Q90" i="51"/>
  <c r="Q89" i="51"/>
  <c r="Q88" i="51"/>
  <c r="Q87" i="51"/>
  <c r="Q86" i="51"/>
  <c r="Q85" i="51"/>
  <c r="Q84" i="51"/>
  <c r="Q83" i="51"/>
  <c r="Q82" i="51"/>
  <c r="Q81" i="51"/>
  <c r="Q80" i="51"/>
  <c r="Q79" i="51"/>
  <c r="Q78" i="51"/>
  <c r="Q77" i="51"/>
  <c r="Q76" i="51"/>
  <c r="Q75" i="51"/>
  <c r="Q74" i="51"/>
  <c r="Q73" i="51"/>
  <c r="Q72" i="51"/>
  <c r="Q71" i="51"/>
  <c r="Q70" i="51"/>
  <c r="Q69" i="51"/>
  <c r="Q68" i="51"/>
  <c r="Q67" i="51"/>
  <c r="Q66" i="51"/>
  <c r="Q65" i="51"/>
  <c r="Q64" i="51"/>
  <c r="Q63" i="51"/>
  <c r="Q62" i="51"/>
  <c r="Q61" i="51"/>
  <c r="Q60" i="51"/>
  <c r="Q59" i="51"/>
  <c r="Q58" i="51"/>
  <c r="Q57" i="51"/>
  <c r="Q56" i="51"/>
  <c r="Q55" i="51"/>
  <c r="Q54" i="51"/>
  <c r="Q53" i="51"/>
  <c r="Q52" i="51"/>
  <c r="Q51" i="51"/>
  <c r="Q50" i="51"/>
  <c r="Q49" i="51"/>
  <c r="Q48" i="51"/>
  <c r="Q47" i="51"/>
  <c r="Q46" i="51"/>
  <c r="Q45" i="51"/>
  <c r="Q44" i="51"/>
  <c r="Q43" i="51"/>
  <c r="Q42" i="51"/>
  <c r="Q41" i="51"/>
  <c r="Q40" i="51"/>
  <c r="Q39" i="51"/>
  <c r="Q38" i="51"/>
  <c r="Q37" i="51"/>
  <c r="Q36" i="51"/>
  <c r="Q35" i="51"/>
  <c r="Q34" i="51"/>
  <c r="Q33" i="51"/>
  <c r="Q32" i="51"/>
  <c r="Q31" i="51"/>
  <c r="Q30" i="51"/>
  <c r="Q29" i="51"/>
  <c r="Q28" i="51"/>
  <c r="Q27" i="51"/>
  <c r="Q26" i="51"/>
  <c r="Q25" i="51"/>
  <c r="Q24" i="51"/>
  <c r="Q23" i="51"/>
  <c r="Q22" i="51"/>
  <c r="Q21" i="51"/>
  <c r="Q20" i="51"/>
  <c r="Q19" i="51"/>
  <c r="Q18" i="51"/>
  <c r="Q17" i="51"/>
  <c r="Q16" i="51"/>
  <c r="Q15" i="51"/>
  <c r="Q14" i="51"/>
  <c r="Q13" i="51"/>
  <c r="Q12" i="51"/>
  <c r="Q11" i="51"/>
  <c r="Q10" i="51"/>
  <c r="Q9" i="51"/>
  <c r="Q8" i="51"/>
  <c r="Q7" i="51"/>
  <c r="Q6" i="51"/>
  <c r="Q5" i="51"/>
  <c r="Q4" i="51"/>
  <c r="Q3" i="51"/>
  <c r="W63" i="38" l="1"/>
  <c r="W62" i="38"/>
  <c r="W61" i="38"/>
  <c r="W60" i="38"/>
  <c r="W59" i="38"/>
  <c r="W58" i="38"/>
  <c r="W57" i="38"/>
  <c r="W56" i="38"/>
  <c r="W55" i="38"/>
  <c r="W54" i="38"/>
  <c r="W53" i="38"/>
  <c r="W52" i="38"/>
  <c r="W51" i="38"/>
  <c r="W50" i="38"/>
  <c r="W49" i="38"/>
  <c r="W48" i="38"/>
  <c r="W47" i="38"/>
  <c r="W46" i="38"/>
  <c r="W45" i="38"/>
  <c r="W44" i="38"/>
  <c r="W43" i="38"/>
  <c r="W42" i="38"/>
  <c r="W41" i="38"/>
  <c r="W40" i="38"/>
  <c r="W39" i="38"/>
  <c r="W38" i="38"/>
  <c r="W37" i="38"/>
  <c r="W36" i="38"/>
  <c r="W35" i="38"/>
  <c r="W34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9" i="38"/>
  <c r="W18" i="38"/>
  <c r="W17" i="38"/>
  <c r="W16" i="38"/>
  <c r="W15" i="38"/>
  <c r="W14" i="38"/>
  <c r="W13" i="38"/>
  <c r="W12" i="38"/>
  <c r="W11" i="38"/>
  <c r="W10" i="38"/>
  <c r="W9" i="38"/>
  <c r="W8" i="38"/>
  <c r="W7" i="38"/>
  <c r="W6" i="38"/>
  <c r="W123" i="16"/>
  <c r="T123" i="16" s="1"/>
  <c r="W122" i="16"/>
  <c r="T122" i="16" s="1"/>
  <c r="W121" i="16"/>
  <c r="T121" i="16" s="1"/>
  <c r="W120" i="16"/>
  <c r="T120" i="16" s="1"/>
  <c r="W119" i="16"/>
  <c r="T119" i="16" s="1"/>
  <c r="W118" i="16"/>
  <c r="T118" i="16" s="1"/>
  <c r="W117" i="16"/>
  <c r="T117" i="16" s="1"/>
  <c r="W116" i="16"/>
  <c r="T116" i="16" s="1"/>
  <c r="W115" i="16"/>
  <c r="T115" i="16" s="1"/>
  <c r="W114" i="16"/>
  <c r="T114" i="16" s="1"/>
  <c r="W113" i="16"/>
  <c r="T113" i="16" s="1"/>
  <c r="W112" i="16"/>
  <c r="T112" i="16" s="1"/>
  <c r="W111" i="16"/>
  <c r="T111" i="16" s="1"/>
  <c r="W110" i="16"/>
  <c r="T110" i="16" s="1"/>
  <c r="W109" i="16"/>
  <c r="T109" i="16" s="1"/>
  <c r="W108" i="16"/>
  <c r="T108" i="16" s="1"/>
  <c r="W107" i="16"/>
  <c r="T107" i="16" s="1"/>
  <c r="W106" i="16"/>
  <c r="T106" i="16" s="1"/>
  <c r="W105" i="16"/>
  <c r="T105" i="16" s="1"/>
  <c r="W104" i="16"/>
  <c r="T104" i="16" s="1"/>
  <c r="W103" i="16"/>
  <c r="T103" i="16" s="1"/>
  <c r="W102" i="16"/>
  <c r="T102" i="16" s="1"/>
  <c r="W101" i="16"/>
  <c r="T101" i="16" s="1"/>
  <c r="W100" i="16"/>
  <c r="T100" i="16" s="1"/>
  <c r="W99" i="16"/>
  <c r="T99" i="16" s="1"/>
  <c r="W98" i="16"/>
  <c r="T98" i="16" s="1"/>
  <c r="W97" i="16"/>
  <c r="T97" i="16" s="1"/>
  <c r="W96" i="16"/>
  <c r="T96" i="16" s="1"/>
  <c r="W95" i="16"/>
  <c r="T95" i="16" s="1"/>
  <c r="W94" i="16"/>
  <c r="T94" i="16" s="1"/>
  <c r="W93" i="16"/>
  <c r="T93" i="16" s="1"/>
  <c r="W92" i="16"/>
  <c r="T92" i="16" s="1"/>
  <c r="W91" i="16"/>
  <c r="T91" i="16" s="1"/>
  <c r="W90" i="16"/>
  <c r="T90" i="16" s="1"/>
  <c r="W89" i="16"/>
  <c r="T89" i="16" s="1"/>
  <c r="W88" i="16"/>
  <c r="T88" i="16" s="1"/>
  <c r="W87" i="16"/>
  <c r="T87" i="16" s="1"/>
  <c r="W86" i="16"/>
  <c r="T86" i="16" s="1"/>
  <c r="W85" i="16"/>
  <c r="T85" i="16" s="1"/>
  <c r="W84" i="16"/>
  <c r="T84" i="16" s="1"/>
  <c r="W83" i="16"/>
  <c r="T83" i="16" s="1"/>
  <c r="W82" i="16"/>
  <c r="T82" i="16" s="1"/>
  <c r="W81" i="16"/>
  <c r="T81" i="16" s="1"/>
  <c r="W80" i="16"/>
  <c r="T80" i="16" s="1"/>
  <c r="W79" i="16"/>
  <c r="T79" i="16" s="1"/>
  <c r="W78" i="16"/>
  <c r="T78" i="16" s="1"/>
  <c r="W77" i="16"/>
  <c r="T77" i="16" s="1"/>
  <c r="W76" i="16"/>
  <c r="T76" i="16" s="1"/>
  <c r="W75" i="16"/>
  <c r="T75" i="16" s="1"/>
  <c r="W74" i="16"/>
  <c r="T74" i="16" s="1"/>
  <c r="W73" i="16"/>
  <c r="T73" i="16" s="1"/>
  <c r="W72" i="16"/>
  <c r="T72" i="16" s="1"/>
  <c r="W71" i="16"/>
  <c r="T71" i="16" s="1"/>
  <c r="W70" i="16"/>
  <c r="T70" i="16" s="1"/>
  <c r="W69" i="16"/>
  <c r="T69" i="16" s="1"/>
  <c r="W68" i="16"/>
  <c r="T68" i="16" s="1"/>
  <c r="W67" i="16"/>
  <c r="T67" i="16" s="1"/>
  <c r="W66" i="16"/>
  <c r="T66" i="16" s="1"/>
  <c r="W65" i="16"/>
  <c r="T65" i="16" s="1"/>
  <c r="W64" i="16"/>
  <c r="T64" i="16" s="1"/>
  <c r="W63" i="16"/>
  <c r="T63" i="16" s="1"/>
  <c r="W62" i="16"/>
  <c r="T62" i="16" s="1"/>
  <c r="W61" i="16"/>
  <c r="T61" i="16" s="1"/>
  <c r="W60" i="16"/>
  <c r="T60" i="16" s="1"/>
  <c r="W59" i="16"/>
  <c r="T59" i="16" s="1"/>
  <c r="W58" i="16"/>
  <c r="T58" i="16" s="1"/>
  <c r="W57" i="16"/>
  <c r="T57" i="16" s="1"/>
  <c r="W56" i="16"/>
  <c r="T56" i="16" s="1"/>
  <c r="W55" i="16"/>
  <c r="T55" i="16" s="1"/>
  <c r="W54" i="16"/>
  <c r="T54" i="16" s="1"/>
  <c r="W53" i="16"/>
  <c r="T53" i="16" s="1"/>
  <c r="W52" i="16"/>
  <c r="T52" i="16" s="1"/>
  <c r="W51" i="16"/>
  <c r="T51" i="16" s="1"/>
  <c r="W50" i="16"/>
  <c r="T50" i="16" s="1"/>
  <c r="W49" i="16"/>
  <c r="T49" i="16" s="1"/>
  <c r="W48" i="16"/>
  <c r="T48" i="16" s="1"/>
  <c r="W47" i="16"/>
  <c r="T47" i="16" s="1"/>
  <c r="W46" i="16"/>
  <c r="T46" i="16" s="1"/>
  <c r="W45" i="16"/>
  <c r="T45" i="16" s="1"/>
  <c r="W44" i="16"/>
  <c r="T44" i="16" s="1"/>
  <c r="W43" i="16"/>
  <c r="T43" i="16" s="1"/>
  <c r="W42" i="16"/>
  <c r="T42" i="16" s="1"/>
  <c r="W41" i="16"/>
  <c r="T41" i="16" s="1"/>
  <c r="W40" i="16"/>
  <c r="T40" i="16" s="1"/>
  <c r="W39" i="16"/>
  <c r="T39" i="16" s="1"/>
  <c r="W38" i="16"/>
  <c r="T38" i="16" s="1"/>
  <c r="W37" i="16"/>
  <c r="T37" i="16" s="1"/>
  <c r="W36" i="16"/>
  <c r="T36" i="16" s="1"/>
  <c r="W35" i="16"/>
  <c r="T35" i="16" s="1"/>
  <c r="W34" i="16"/>
  <c r="T34" i="16" s="1"/>
  <c r="W33" i="16"/>
  <c r="T33" i="16" s="1"/>
  <c r="W32" i="16"/>
  <c r="T32" i="16" s="1"/>
  <c r="W31" i="16"/>
  <c r="T31" i="16" s="1"/>
  <c r="W30" i="16"/>
  <c r="T30" i="16" s="1"/>
  <c r="W29" i="16"/>
  <c r="T29" i="16" s="1"/>
  <c r="W28" i="16"/>
  <c r="T28" i="16" s="1"/>
  <c r="W27" i="16"/>
  <c r="T27" i="16" s="1"/>
  <c r="W26" i="16"/>
  <c r="T26" i="16" s="1"/>
  <c r="W25" i="16"/>
  <c r="T25" i="16" s="1"/>
  <c r="W24" i="16"/>
  <c r="T24" i="16" s="1"/>
  <c r="W23" i="16"/>
  <c r="T23" i="16" s="1"/>
  <c r="W22" i="16"/>
  <c r="T22" i="16" s="1"/>
  <c r="W21" i="16"/>
  <c r="T21" i="16" s="1"/>
  <c r="W20" i="16"/>
  <c r="T20" i="16" s="1"/>
  <c r="W19" i="16"/>
  <c r="T19" i="16" s="1"/>
  <c r="W18" i="16"/>
  <c r="T18" i="16" s="1"/>
  <c r="W17" i="16"/>
  <c r="T17" i="16" s="1"/>
  <c r="W16" i="16"/>
  <c r="T16" i="16" s="1"/>
  <c r="W15" i="16"/>
  <c r="T15" i="16" s="1"/>
  <c r="W14" i="16"/>
  <c r="T14" i="16" s="1"/>
  <c r="W13" i="16"/>
  <c r="T13" i="16" s="1"/>
  <c r="W12" i="16"/>
  <c r="T12" i="16" s="1"/>
  <c r="W11" i="16"/>
  <c r="T11" i="16" s="1"/>
  <c r="W10" i="16"/>
  <c r="T10" i="16" s="1"/>
  <c r="W9" i="16"/>
  <c r="T9" i="16" s="1"/>
  <c r="W8" i="16"/>
  <c r="T8" i="16" s="1"/>
  <c r="W7" i="16"/>
  <c r="T7" i="16" s="1"/>
  <c r="W6" i="16"/>
  <c r="T6" i="16" s="1"/>
  <c r="W5" i="16"/>
  <c r="T5" i="16" s="1"/>
  <c r="Y306" i="22" l="1"/>
  <c r="T306" i="22"/>
  <c r="Y305" i="22"/>
  <c r="T305" i="22"/>
  <c r="Y304" i="22"/>
  <c r="T304" i="22"/>
  <c r="Y303" i="22"/>
  <c r="T303" i="22"/>
  <c r="Y302" i="22"/>
  <c r="T302" i="22"/>
  <c r="AF301" i="22"/>
  <c r="Y301" i="22"/>
  <c r="AD301" i="22" s="1"/>
  <c r="AF300" i="22"/>
  <c r="Y300" i="22"/>
  <c r="AD300" i="22" s="1"/>
  <c r="T300" i="22"/>
  <c r="AF299" i="22"/>
  <c r="Y299" i="22"/>
  <c r="AD299" i="22" s="1"/>
  <c r="T299" i="22"/>
  <c r="AF298" i="22"/>
  <c r="Y298" i="22"/>
  <c r="AD298" i="22" s="1"/>
  <c r="AF297" i="22"/>
  <c r="Y297" i="22"/>
  <c r="AD297" i="22" s="1"/>
  <c r="T297" i="22"/>
  <c r="AF296" i="22"/>
  <c r="Y296" i="22"/>
  <c r="AD296" i="22" s="1"/>
  <c r="AF295" i="22"/>
  <c r="Y295" i="22"/>
  <c r="AD295" i="22" s="1"/>
  <c r="T295" i="22"/>
  <c r="BL294" i="22"/>
  <c r="B294" i="22" s="1"/>
  <c r="AF294" i="22"/>
  <c r="Y294" i="22"/>
  <c r="AD294" i="22" s="1"/>
  <c r="T294" i="22"/>
  <c r="BL293" i="22"/>
  <c r="B293" i="22" s="1"/>
  <c r="AF293" i="22"/>
  <c r="Z293" i="22"/>
  <c r="Y293" i="22"/>
  <c r="T293" i="22"/>
  <c r="BL292" i="22"/>
  <c r="B292" i="22" s="1"/>
  <c r="BD292" i="22"/>
  <c r="BH292" i="22" s="1"/>
  <c r="BJ292" i="22" s="1"/>
  <c r="AV292" i="22"/>
  <c r="AX292" i="22" s="1"/>
  <c r="AP292" i="22"/>
  <c r="AF292" i="22"/>
  <c r="Z292" i="22"/>
  <c r="Y292" i="22"/>
  <c r="AD292" i="22" s="1"/>
  <c r="BL291" i="22"/>
  <c r="B291" i="22" s="1"/>
  <c r="BD291" i="22"/>
  <c r="BH291" i="22" s="1"/>
  <c r="BJ291" i="22" s="1"/>
  <c r="AV291" i="22"/>
  <c r="AX291" i="22" s="1"/>
  <c r="AP291" i="22"/>
  <c r="AF291" i="22"/>
  <c r="Z291" i="22"/>
  <c r="Y291" i="22"/>
  <c r="AN291" i="22" s="1"/>
  <c r="BL290" i="22"/>
  <c r="B290" i="22" s="1"/>
  <c r="BD290" i="22"/>
  <c r="BH290" i="22" s="1"/>
  <c r="BJ290" i="22" s="1"/>
  <c r="AV290" i="22"/>
  <c r="AX290" i="22" s="1"/>
  <c r="AF290" i="22"/>
  <c r="Y290" i="22"/>
  <c r="AN290" i="22" s="1"/>
  <c r="T290" i="22"/>
  <c r="BL289" i="22"/>
  <c r="B289" i="22" s="1"/>
  <c r="BD289" i="22"/>
  <c r="BH289" i="22" s="1"/>
  <c r="BJ289" i="22" s="1"/>
  <c r="AV289" i="22"/>
  <c r="AX289" i="22" s="1"/>
  <c r="AP289" i="22"/>
  <c r="AF289" i="22"/>
  <c r="Y289" i="22"/>
  <c r="AN289" i="22" s="1"/>
  <c r="T289" i="22"/>
  <c r="BL288" i="22"/>
  <c r="B288" i="22" s="1"/>
  <c r="BD288" i="22"/>
  <c r="BH288" i="22" s="1"/>
  <c r="BJ288" i="22" s="1"/>
  <c r="AV288" i="22"/>
  <c r="AX288" i="22" s="1"/>
  <c r="AP288" i="22"/>
  <c r="AF288" i="22"/>
  <c r="Y288" i="22"/>
  <c r="AN288" i="22" s="1"/>
  <c r="T288" i="22"/>
  <c r="BL287" i="22"/>
  <c r="B287" i="22" s="1"/>
  <c r="BD287" i="22"/>
  <c r="BH287" i="22" s="1"/>
  <c r="BJ287" i="22" s="1"/>
  <c r="AV287" i="22"/>
  <c r="AX287" i="22" s="1"/>
  <c r="AP287" i="22"/>
  <c r="AF287" i="22"/>
  <c r="Z287" i="22"/>
  <c r="Y287" i="22"/>
  <c r="AD287" i="22" s="1"/>
  <c r="BL286" i="22"/>
  <c r="B286" i="22" s="1"/>
  <c r="BD286" i="22"/>
  <c r="BH286" i="22" s="1"/>
  <c r="BJ286" i="22" s="1"/>
  <c r="AV286" i="22"/>
  <c r="AX286" i="22" s="1"/>
  <c r="AP286" i="22"/>
  <c r="AF286" i="22"/>
  <c r="Z286" i="22"/>
  <c r="Y286" i="22"/>
  <c r="AN286" i="22" s="1"/>
  <c r="BL285" i="22"/>
  <c r="B285" i="22" s="1"/>
  <c r="BD285" i="22"/>
  <c r="BH285" i="22" s="1"/>
  <c r="BJ285" i="22" s="1"/>
  <c r="AV285" i="22"/>
  <c r="AX285" i="22" s="1"/>
  <c r="AP285" i="22"/>
  <c r="AF285" i="22"/>
  <c r="Y285" i="22"/>
  <c r="T285" i="22"/>
  <c r="BL284" i="22"/>
  <c r="B284" i="22" s="1"/>
  <c r="BD284" i="22"/>
  <c r="BH284" i="22" s="1"/>
  <c r="BJ284" i="22" s="1"/>
  <c r="AV284" i="22"/>
  <c r="AX284" i="22" s="1"/>
  <c r="AP284" i="22"/>
  <c r="AF284" i="22"/>
  <c r="Y284" i="22"/>
  <c r="AN284" i="22" s="1"/>
  <c r="T284" i="22"/>
  <c r="BL283" i="22"/>
  <c r="B283" i="22" s="1"/>
  <c r="BD283" i="22"/>
  <c r="BH283" i="22" s="1"/>
  <c r="BJ283" i="22" s="1"/>
  <c r="AV283" i="22"/>
  <c r="AX283" i="22" s="1"/>
  <c r="AP283" i="22"/>
  <c r="AF283" i="22"/>
  <c r="Y283" i="22"/>
  <c r="AD283" i="22" s="1"/>
  <c r="T283" i="22"/>
  <c r="BL282" i="22"/>
  <c r="B282" i="22" s="1"/>
  <c r="BD282" i="22"/>
  <c r="BH282" i="22" s="1"/>
  <c r="BJ282" i="22" s="1"/>
  <c r="AV282" i="22"/>
  <c r="AX282" i="22" s="1"/>
  <c r="AP282" i="22"/>
  <c r="AF282" i="22"/>
  <c r="Y282" i="22"/>
  <c r="T282" i="22"/>
  <c r="BL281" i="22"/>
  <c r="B281" i="22" s="1"/>
  <c r="BD281" i="22"/>
  <c r="BH281" i="22" s="1"/>
  <c r="BJ281" i="22" s="1"/>
  <c r="AV281" i="22"/>
  <c r="AX281" i="22" s="1"/>
  <c r="AP281" i="22"/>
  <c r="AF281" i="22"/>
  <c r="Y281" i="22"/>
  <c r="AN281" i="22" s="1"/>
  <c r="T281" i="22"/>
  <c r="BL280" i="22"/>
  <c r="B280" i="22" s="1"/>
  <c r="BD280" i="22"/>
  <c r="BH280" i="22" s="1"/>
  <c r="BJ280" i="22" s="1"/>
  <c r="AV280" i="22"/>
  <c r="AX280" i="22" s="1"/>
  <c r="AP280" i="22"/>
  <c r="AF280" i="22"/>
  <c r="Y280" i="22"/>
  <c r="AN280" i="22" s="1"/>
  <c r="T280" i="22"/>
  <c r="BL279" i="22"/>
  <c r="B279" i="22" s="1"/>
  <c r="BD279" i="22"/>
  <c r="BH279" i="22" s="1"/>
  <c r="BJ279" i="22" s="1"/>
  <c r="AV279" i="22"/>
  <c r="AX279" i="22" s="1"/>
  <c r="AP279" i="22"/>
  <c r="AF279" i="22"/>
  <c r="Y279" i="22"/>
  <c r="AN279" i="22" s="1"/>
  <c r="T279" i="22"/>
  <c r="BL278" i="22"/>
  <c r="B278" i="22" s="1"/>
  <c r="BD278" i="22"/>
  <c r="BH278" i="22" s="1"/>
  <c r="BJ278" i="22" s="1"/>
  <c r="AV278" i="22"/>
  <c r="AX278" i="22" s="1"/>
  <c r="AP278" i="22"/>
  <c r="AF278" i="22"/>
  <c r="Y278" i="22"/>
  <c r="AD278" i="22" s="1"/>
  <c r="T278" i="22"/>
  <c r="BL277" i="22"/>
  <c r="B277" i="22" s="1"/>
  <c r="BD277" i="22"/>
  <c r="BH277" i="22" s="1"/>
  <c r="BJ277" i="22" s="1"/>
  <c r="AV277" i="22"/>
  <c r="AX277" i="22" s="1"/>
  <c r="AP277" i="22"/>
  <c r="AF277" i="22"/>
  <c r="Y277" i="22"/>
  <c r="T277" i="22"/>
  <c r="BL276" i="22"/>
  <c r="B276" i="22" s="1"/>
  <c r="BD276" i="22"/>
  <c r="BH276" i="22" s="1"/>
  <c r="BJ276" i="22" s="1"/>
  <c r="AV276" i="22"/>
  <c r="AX276" i="22" s="1"/>
  <c r="AP276" i="22"/>
  <c r="AF276" i="22"/>
  <c r="Y276" i="22"/>
  <c r="AN276" i="22" s="1"/>
  <c r="T276" i="22"/>
  <c r="BL275" i="22"/>
  <c r="B275" i="22" s="1"/>
  <c r="BD275" i="22"/>
  <c r="BH275" i="22" s="1"/>
  <c r="BJ275" i="22" s="1"/>
  <c r="AV275" i="22"/>
  <c r="AX275" i="22" s="1"/>
  <c r="AP275" i="22"/>
  <c r="AF275" i="22"/>
  <c r="Y275" i="22"/>
  <c r="T275" i="22"/>
  <c r="BL274" i="22"/>
  <c r="B274" i="22" s="1"/>
  <c r="BD274" i="22"/>
  <c r="BH274" i="22" s="1"/>
  <c r="BJ274" i="22" s="1"/>
  <c r="AV274" i="22"/>
  <c r="AX274" i="22" s="1"/>
  <c r="AP274" i="22"/>
  <c r="AF274" i="22"/>
  <c r="Y274" i="22"/>
  <c r="AD274" i="22" s="1"/>
  <c r="T274" i="22"/>
  <c r="BL273" i="22"/>
  <c r="B273" i="22" s="1"/>
  <c r="BD273" i="22"/>
  <c r="BH273" i="22" s="1"/>
  <c r="BJ273" i="22" s="1"/>
  <c r="AV273" i="22"/>
  <c r="AX273" i="22" s="1"/>
  <c r="AP273" i="22"/>
  <c r="AF273" i="22"/>
  <c r="Y273" i="22"/>
  <c r="AN273" i="22" s="1"/>
  <c r="T273" i="22"/>
  <c r="BL272" i="22"/>
  <c r="B272" i="22" s="1"/>
  <c r="BD272" i="22"/>
  <c r="BH272" i="22" s="1"/>
  <c r="BJ272" i="22" s="1"/>
  <c r="AV272" i="22"/>
  <c r="AX272" i="22" s="1"/>
  <c r="AP272" i="22"/>
  <c r="AF272" i="22"/>
  <c r="Y272" i="22"/>
  <c r="AN272" i="22" s="1"/>
  <c r="T272" i="22"/>
  <c r="BL271" i="22"/>
  <c r="B271" i="22" s="1"/>
  <c r="BD271" i="22"/>
  <c r="BH271" i="22" s="1"/>
  <c r="BJ271" i="22" s="1"/>
  <c r="AV271" i="22"/>
  <c r="AX271" i="22" s="1"/>
  <c r="AP271" i="22"/>
  <c r="AF271" i="22"/>
  <c r="Y271" i="22"/>
  <c r="AN271" i="22" s="1"/>
  <c r="T271" i="22"/>
  <c r="BL270" i="22"/>
  <c r="B270" i="22" s="1"/>
  <c r="BD270" i="22"/>
  <c r="BH270" i="22" s="1"/>
  <c r="BJ270" i="22" s="1"/>
  <c r="AV270" i="22"/>
  <c r="AX270" i="22" s="1"/>
  <c r="AP270" i="22"/>
  <c r="AF270" i="22"/>
  <c r="Y270" i="22"/>
  <c r="T270" i="22"/>
  <c r="BL269" i="22"/>
  <c r="B269" i="22" s="1"/>
  <c r="BD269" i="22"/>
  <c r="BH269" i="22" s="1"/>
  <c r="BJ269" i="22" s="1"/>
  <c r="AV269" i="22"/>
  <c r="AX269" i="22" s="1"/>
  <c r="AP269" i="22"/>
  <c r="AF269" i="22"/>
  <c r="Y269" i="22"/>
  <c r="AN269" i="22" s="1"/>
  <c r="T269" i="22"/>
  <c r="BL268" i="22"/>
  <c r="B268" i="22" s="1"/>
  <c r="BD268" i="22"/>
  <c r="BH268" i="22" s="1"/>
  <c r="BJ268" i="22" s="1"/>
  <c r="AV268" i="22"/>
  <c r="AX268" i="22" s="1"/>
  <c r="AP268" i="22"/>
  <c r="AF268" i="22"/>
  <c r="Y268" i="22"/>
  <c r="AN268" i="22" s="1"/>
  <c r="T268" i="22"/>
  <c r="BL267" i="22"/>
  <c r="B267" i="22" s="1"/>
  <c r="BD267" i="22"/>
  <c r="BH267" i="22" s="1"/>
  <c r="BJ267" i="22" s="1"/>
  <c r="AV267" i="22"/>
  <c r="AX267" i="22" s="1"/>
  <c r="AP267" i="22"/>
  <c r="AF267" i="22"/>
  <c r="Y267" i="22"/>
  <c r="T267" i="22"/>
  <c r="BL266" i="22"/>
  <c r="B266" i="22" s="1"/>
  <c r="BD266" i="22"/>
  <c r="BH266" i="22" s="1"/>
  <c r="BJ266" i="22" s="1"/>
  <c r="AV266" i="22"/>
  <c r="AX266" i="22" s="1"/>
  <c r="AP266" i="22"/>
  <c r="AF266" i="22"/>
  <c r="Y266" i="22"/>
  <c r="AD266" i="22" s="1"/>
  <c r="T266" i="22"/>
  <c r="BL265" i="22"/>
  <c r="B265" i="22" s="1"/>
  <c r="BD265" i="22"/>
  <c r="BH265" i="22" s="1"/>
  <c r="BJ265" i="22" s="1"/>
  <c r="AV265" i="22"/>
  <c r="AX265" i="22" s="1"/>
  <c r="AP265" i="22"/>
  <c r="AF265" i="22"/>
  <c r="Y265" i="22"/>
  <c r="T265" i="22"/>
  <c r="BL264" i="22"/>
  <c r="B264" i="22" s="1"/>
  <c r="BD264" i="22"/>
  <c r="BH264" i="22" s="1"/>
  <c r="BJ264" i="22" s="1"/>
  <c r="AV264" i="22"/>
  <c r="AX264" i="22" s="1"/>
  <c r="AF264" i="22"/>
  <c r="Y264" i="22"/>
  <c r="AD264" i="22" s="1"/>
  <c r="T264" i="22"/>
  <c r="BL263" i="22"/>
  <c r="B263" i="22" s="1"/>
  <c r="BD263" i="22"/>
  <c r="BH263" i="22" s="1"/>
  <c r="BJ263" i="22" s="1"/>
  <c r="AV263" i="22"/>
  <c r="AX263" i="22" s="1"/>
  <c r="AP263" i="22"/>
  <c r="AF263" i="22"/>
  <c r="Y263" i="22"/>
  <c r="AD263" i="22" s="1"/>
  <c r="T263" i="22"/>
  <c r="BL262" i="22"/>
  <c r="B262" i="22" s="1"/>
  <c r="BD262" i="22"/>
  <c r="BH262" i="22" s="1"/>
  <c r="BJ262" i="22" s="1"/>
  <c r="AV262" i="22"/>
  <c r="AX262" i="22" s="1"/>
  <c r="AP262" i="22"/>
  <c r="AF262" i="22"/>
  <c r="Y262" i="22"/>
  <c r="AD262" i="22" s="1"/>
  <c r="T262" i="22"/>
  <c r="BL261" i="22"/>
  <c r="B261" i="22" s="1"/>
  <c r="BD261" i="22"/>
  <c r="BH261" i="22" s="1"/>
  <c r="BJ261" i="22" s="1"/>
  <c r="AV261" i="22"/>
  <c r="AX261" i="22" s="1"/>
  <c r="AP261" i="22"/>
  <c r="AF261" i="22"/>
  <c r="Y261" i="22"/>
  <c r="BL260" i="22"/>
  <c r="B260" i="22" s="1"/>
  <c r="BD260" i="22"/>
  <c r="BH260" i="22" s="1"/>
  <c r="BJ260" i="22" s="1"/>
  <c r="AV260" i="22"/>
  <c r="AX260" i="22" s="1"/>
  <c r="AP260" i="22"/>
  <c r="AF260" i="22"/>
  <c r="Y260" i="22"/>
  <c r="AD260" i="22" s="1"/>
  <c r="BL259" i="22"/>
  <c r="B259" i="22" s="1"/>
  <c r="BD259" i="22"/>
  <c r="BH259" i="22" s="1"/>
  <c r="BJ259" i="22" s="1"/>
  <c r="AV259" i="22"/>
  <c r="AX259" i="22" s="1"/>
  <c r="AP259" i="22"/>
  <c r="AF259" i="22"/>
  <c r="Z259" i="22"/>
  <c r="Y259" i="22"/>
  <c r="AD259" i="22" s="1"/>
  <c r="BL258" i="22"/>
  <c r="B258" i="22" s="1"/>
  <c r="BD258" i="22"/>
  <c r="BH258" i="22" s="1"/>
  <c r="BJ258" i="22" s="1"/>
  <c r="AV258" i="22"/>
  <c r="AX258" i="22" s="1"/>
  <c r="AP258" i="22"/>
  <c r="AF258" i="22"/>
  <c r="Y258" i="22"/>
  <c r="T258" i="22"/>
  <c r="BL257" i="22"/>
  <c r="B257" i="22" s="1"/>
  <c r="BD257" i="22"/>
  <c r="BH257" i="22" s="1"/>
  <c r="BJ257" i="22" s="1"/>
  <c r="AV257" i="22"/>
  <c r="AX257" i="22" s="1"/>
  <c r="AF257" i="22"/>
  <c r="Y257" i="22"/>
  <c r="T257" i="22"/>
  <c r="BL256" i="22"/>
  <c r="B256" i="22" s="1"/>
  <c r="BD256" i="22"/>
  <c r="BH256" i="22" s="1"/>
  <c r="BJ256" i="22" s="1"/>
  <c r="AV256" i="22"/>
  <c r="AX256" i="22" s="1"/>
  <c r="AF256" i="22"/>
  <c r="Y256" i="22"/>
  <c r="T256" i="22"/>
  <c r="BL255" i="22"/>
  <c r="B255" i="22" s="1"/>
  <c r="BD255" i="22"/>
  <c r="BH255" i="22" s="1"/>
  <c r="BJ255" i="22" s="1"/>
  <c r="AV255" i="22"/>
  <c r="AX255" i="22" s="1"/>
  <c r="AF255" i="22"/>
  <c r="Y255" i="22"/>
  <c r="AN255" i="22" s="1"/>
  <c r="T255" i="22"/>
  <c r="BL254" i="22"/>
  <c r="B254" i="22" s="1"/>
  <c r="BD254" i="22"/>
  <c r="BH254" i="22" s="1"/>
  <c r="BJ254" i="22" s="1"/>
  <c r="AV254" i="22"/>
  <c r="AX254" i="22" s="1"/>
  <c r="AP254" i="22"/>
  <c r="AF254" i="22"/>
  <c r="Y254" i="22"/>
  <c r="AD254" i="22" s="1"/>
  <c r="T254" i="22"/>
  <c r="BL253" i="22"/>
  <c r="B253" i="22" s="1"/>
  <c r="BD253" i="22"/>
  <c r="BH253" i="22" s="1"/>
  <c r="BJ253" i="22" s="1"/>
  <c r="AV253" i="22"/>
  <c r="AX253" i="22" s="1"/>
  <c r="AP253" i="22"/>
  <c r="AF253" i="22"/>
  <c r="Y253" i="22"/>
  <c r="AD253" i="22" s="1"/>
  <c r="T253" i="22"/>
  <c r="BL252" i="22"/>
  <c r="B252" i="22" s="1"/>
  <c r="BD252" i="22"/>
  <c r="BH252" i="22" s="1"/>
  <c r="BJ252" i="22" s="1"/>
  <c r="AV252" i="22"/>
  <c r="AX252" i="22" s="1"/>
  <c r="AP252" i="22"/>
  <c r="AF252" i="22"/>
  <c r="Y252" i="22"/>
  <c r="T252" i="22"/>
  <c r="BL251" i="22"/>
  <c r="B251" i="22" s="1"/>
  <c r="BD251" i="22"/>
  <c r="BH251" i="22" s="1"/>
  <c r="BJ251" i="22" s="1"/>
  <c r="AV251" i="22"/>
  <c r="AX251" i="22" s="1"/>
  <c r="AP251" i="22"/>
  <c r="AF251" i="22"/>
  <c r="Y251" i="22"/>
  <c r="AN251" i="22" s="1"/>
  <c r="T251" i="22"/>
  <c r="BL250" i="22"/>
  <c r="B250" i="22" s="1"/>
  <c r="BD250" i="22"/>
  <c r="BH250" i="22" s="1"/>
  <c r="BJ250" i="22" s="1"/>
  <c r="AV250" i="22"/>
  <c r="AX250" i="22" s="1"/>
  <c r="AP250" i="22"/>
  <c r="AF250" i="22"/>
  <c r="Y250" i="22"/>
  <c r="AN250" i="22" s="1"/>
  <c r="T250" i="22"/>
  <c r="BL249" i="22"/>
  <c r="B249" i="22" s="1"/>
  <c r="BD249" i="22"/>
  <c r="BH249" i="22" s="1"/>
  <c r="BJ249" i="22" s="1"/>
  <c r="AV249" i="22"/>
  <c r="AX249" i="22" s="1"/>
  <c r="AP249" i="22"/>
  <c r="AF249" i="22"/>
  <c r="Y249" i="22"/>
  <c r="AN249" i="22" s="1"/>
  <c r="T249" i="22"/>
  <c r="BL248" i="22"/>
  <c r="B248" i="22" s="1"/>
  <c r="BD248" i="22"/>
  <c r="BH248" i="22" s="1"/>
  <c r="BJ248" i="22" s="1"/>
  <c r="AV248" i="22"/>
  <c r="AX248" i="22" s="1"/>
  <c r="AP248" i="22"/>
  <c r="AF248" i="22"/>
  <c r="Y248" i="22"/>
  <c r="AD248" i="22" s="1"/>
  <c r="T248" i="22"/>
  <c r="BL247" i="22"/>
  <c r="B247" i="22" s="1"/>
  <c r="BD247" i="22"/>
  <c r="BH247" i="22" s="1"/>
  <c r="BJ247" i="22" s="1"/>
  <c r="AV247" i="22"/>
  <c r="AX247" i="22" s="1"/>
  <c r="AP247" i="22"/>
  <c r="AF247" i="22"/>
  <c r="Y247" i="22"/>
  <c r="AD247" i="22" s="1"/>
  <c r="T247" i="22"/>
  <c r="BL246" i="22"/>
  <c r="B246" i="22" s="1"/>
  <c r="BD246" i="22"/>
  <c r="BH246" i="22" s="1"/>
  <c r="BJ246" i="22" s="1"/>
  <c r="AV246" i="22"/>
  <c r="AX246" i="22" s="1"/>
  <c r="AP246" i="22"/>
  <c r="AF246" i="22"/>
  <c r="Y246" i="22"/>
  <c r="AN246" i="22" s="1"/>
  <c r="T246" i="22"/>
  <c r="BL245" i="22"/>
  <c r="B245" i="22" s="1"/>
  <c r="BD245" i="22"/>
  <c r="BH245" i="22" s="1"/>
  <c r="BJ245" i="22" s="1"/>
  <c r="AV245" i="22"/>
  <c r="AX245" i="22" s="1"/>
  <c r="AP245" i="22"/>
  <c r="AF245" i="22"/>
  <c r="Y245" i="22"/>
  <c r="AN245" i="22" s="1"/>
  <c r="T245" i="22"/>
  <c r="BL244" i="22"/>
  <c r="B244" i="22" s="1"/>
  <c r="BD244" i="22"/>
  <c r="BH244" i="22" s="1"/>
  <c r="BJ244" i="22" s="1"/>
  <c r="AV244" i="22"/>
  <c r="AX244" i="22" s="1"/>
  <c r="AP244" i="22"/>
  <c r="AF244" i="22"/>
  <c r="Z244" i="22"/>
  <c r="Y244" i="22"/>
  <c r="AD244" i="22" s="1"/>
  <c r="BL243" i="22"/>
  <c r="B243" i="22" s="1"/>
  <c r="BD243" i="22"/>
  <c r="BH243" i="22" s="1"/>
  <c r="BJ243" i="22" s="1"/>
  <c r="AV243" i="22"/>
  <c r="AX243" i="22" s="1"/>
  <c r="AP243" i="22"/>
  <c r="AF243" i="22"/>
  <c r="Z243" i="22"/>
  <c r="Y243" i="22"/>
  <c r="BL242" i="22"/>
  <c r="B242" i="22" s="1"/>
  <c r="BD242" i="22"/>
  <c r="BH242" i="22" s="1"/>
  <c r="BJ242" i="22" s="1"/>
  <c r="AV242" i="22"/>
  <c r="AX242" i="22" s="1"/>
  <c r="AP242" i="22"/>
  <c r="AF242" i="22"/>
  <c r="Z242" i="22"/>
  <c r="Y242" i="22"/>
  <c r="BL241" i="22"/>
  <c r="B241" i="22" s="1"/>
  <c r="BD241" i="22"/>
  <c r="BH241" i="22" s="1"/>
  <c r="BJ241" i="22" s="1"/>
  <c r="AV241" i="22"/>
  <c r="AX241" i="22" s="1"/>
  <c r="AP241" i="22"/>
  <c r="AF241" i="22"/>
  <c r="Z241" i="22"/>
  <c r="Y241" i="22"/>
  <c r="AN241" i="22" s="1"/>
  <c r="BL240" i="22"/>
  <c r="B240" i="22" s="1"/>
  <c r="BD240" i="22"/>
  <c r="BH240" i="22" s="1"/>
  <c r="BJ240" i="22" s="1"/>
  <c r="AV240" i="22"/>
  <c r="AX240" i="22" s="1"/>
  <c r="AF240" i="22"/>
  <c r="Y240" i="22"/>
  <c r="AD240" i="22" s="1"/>
  <c r="T240" i="22"/>
  <c r="BL239" i="22"/>
  <c r="B239" i="22" s="1"/>
  <c r="BD239" i="22"/>
  <c r="BH239" i="22" s="1"/>
  <c r="BJ239" i="22" s="1"/>
  <c r="AV239" i="22"/>
  <c r="AX239" i="22" s="1"/>
  <c r="AP239" i="22"/>
  <c r="AF239" i="22"/>
  <c r="Z239" i="22"/>
  <c r="Y239" i="22"/>
  <c r="AN239" i="22" s="1"/>
  <c r="BL238" i="22"/>
  <c r="B238" i="22" s="1"/>
  <c r="BD238" i="22"/>
  <c r="BH238" i="22" s="1"/>
  <c r="BJ238" i="22" s="1"/>
  <c r="AV238" i="22"/>
  <c r="AX238" i="22" s="1"/>
  <c r="AP238" i="22"/>
  <c r="AF238" i="22"/>
  <c r="Y238" i="22"/>
  <c r="AN238" i="22" s="1"/>
  <c r="T238" i="22"/>
  <c r="BL237" i="22"/>
  <c r="B237" i="22" s="1"/>
  <c r="BD237" i="22"/>
  <c r="BH237" i="22" s="1"/>
  <c r="BJ237" i="22" s="1"/>
  <c r="AV237" i="22"/>
  <c r="AX237" i="22" s="1"/>
  <c r="AP237" i="22"/>
  <c r="AF237" i="22"/>
  <c r="Y237" i="22"/>
  <c r="AN237" i="22" s="1"/>
  <c r="T237" i="22"/>
  <c r="BL236" i="22"/>
  <c r="B236" i="22" s="1"/>
  <c r="BD236" i="22"/>
  <c r="BH236" i="22" s="1"/>
  <c r="BJ236" i="22" s="1"/>
  <c r="AV236" i="22"/>
  <c r="AX236" i="22" s="1"/>
  <c r="AP236" i="22"/>
  <c r="AF236" i="22"/>
  <c r="Y236" i="22"/>
  <c r="T236" i="22"/>
  <c r="BL235" i="22"/>
  <c r="B235" i="22" s="1"/>
  <c r="BD235" i="22"/>
  <c r="BH235" i="22" s="1"/>
  <c r="BJ235" i="22" s="1"/>
  <c r="AV235" i="22"/>
  <c r="AX235" i="22" s="1"/>
  <c r="AP235" i="22"/>
  <c r="AF235" i="22"/>
  <c r="Z235" i="22"/>
  <c r="Y235" i="22"/>
  <c r="AN235" i="22" s="1"/>
  <c r="BL234" i="22"/>
  <c r="B234" i="22" s="1"/>
  <c r="BD234" i="22"/>
  <c r="BH234" i="22" s="1"/>
  <c r="BJ234" i="22" s="1"/>
  <c r="AV234" i="22"/>
  <c r="AX234" i="22" s="1"/>
  <c r="AP234" i="22"/>
  <c r="AF234" i="22"/>
  <c r="Z234" i="22"/>
  <c r="Y234" i="22"/>
  <c r="AD234" i="22" s="1"/>
  <c r="BL233" i="22"/>
  <c r="B233" i="22" s="1"/>
  <c r="BD233" i="22"/>
  <c r="BH233" i="22" s="1"/>
  <c r="BJ233" i="22" s="1"/>
  <c r="AV233" i="22"/>
  <c r="AX233" i="22" s="1"/>
  <c r="AP233" i="22"/>
  <c r="AF233" i="22"/>
  <c r="Z233" i="22"/>
  <c r="Y233" i="22"/>
  <c r="AN233" i="22" s="1"/>
  <c r="BL232" i="22"/>
  <c r="B232" i="22" s="1"/>
  <c r="BD232" i="22"/>
  <c r="BH232" i="22" s="1"/>
  <c r="BJ232" i="22" s="1"/>
  <c r="AV232" i="22"/>
  <c r="AX232" i="22" s="1"/>
  <c r="AF232" i="22"/>
  <c r="Y232" i="22"/>
  <c r="AD232" i="22" s="1"/>
  <c r="T232" i="22"/>
  <c r="BL231" i="22"/>
  <c r="B231" i="22" s="1"/>
  <c r="BD231" i="22"/>
  <c r="BH231" i="22" s="1"/>
  <c r="BJ231" i="22" s="1"/>
  <c r="AV231" i="22"/>
  <c r="AX231" i="22" s="1"/>
  <c r="AP231" i="22"/>
  <c r="AF231" i="22"/>
  <c r="Y231" i="22"/>
  <c r="AN231" i="22" s="1"/>
  <c r="T231" i="22"/>
  <c r="BL230" i="22"/>
  <c r="B230" i="22" s="1"/>
  <c r="BD230" i="22"/>
  <c r="BH230" i="22" s="1"/>
  <c r="BJ230" i="22" s="1"/>
  <c r="AV230" i="22"/>
  <c r="AX230" i="22" s="1"/>
  <c r="AP230" i="22"/>
  <c r="AF230" i="22"/>
  <c r="Z230" i="22"/>
  <c r="Y230" i="22"/>
  <c r="AN230" i="22" s="1"/>
  <c r="BL229" i="22"/>
  <c r="B229" i="22" s="1"/>
  <c r="BD229" i="22"/>
  <c r="BH229" i="22" s="1"/>
  <c r="BJ229" i="22" s="1"/>
  <c r="AV229" i="22"/>
  <c r="AX229" i="22" s="1"/>
  <c r="AP229" i="22"/>
  <c r="AF229" i="22"/>
  <c r="Y229" i="22"/>
  <c r="AN229" i="22" s="1"/>
  <c r="T229" i="22"/>
  <c r="BL228" i="22"/>
  <c r="B228" i="22" s="1"/>
  <c r="BD228" i="22"/>
  <c r="BH228" i="22" s="1"/>
  <c r="BJ228" i="22" s="1"/>
  <c r="AV228" i="22"/>
  <c r="AX228" i="22" s="1"/>
  <c r="AP228" i="22"/>
  <c r="AF228" i="22"/>
  <c r="Y228" i="22"/>
  <c r="AD228" i="22" s="1"/>
  <c r="T228" i="22"/>
  <c r="BL227" i="22"/>
  <c r="B227" i="22" s="1"/>
  <c r="BD227" i="22"/>
  <c r="BH227" i="22" s="1"/>
  <c r="BJ227" i="22" s="1"/>
  <c r="AV227" i="22"/>
  <c r="AX227" i="22" s="1"/>
  <c r="AP227" i="22"/>
  <c r="AF227" i="22"/>
  <c r="Z227" i="22"/>
  <c r="Y227" i="22"/>
  <c r="AD227" i="22" s="1"/>
  <c r="BL226" i="22"/>
  <c r="B226" i="22" s="1"/>
  <c r="BD226" i="22"/>
  <c r="BH226" i="22" s="1"/>
  <c r="BJ226" i="22" s="1"/>
  <c r="AV226" i="22"/>
  <c r="AX226" i="22" s="1"/>
  <c r="AP226" i="22"/>
  <c r="AF226" i="22"/>
  <c r="Y226" i="22"/>
  <c r="AN226" i="22" s="1"/>
  <c r="T226" i="22"/>
  <c r="BL225" i="22"/>
  <c r="B225" i="22" s="1"/>
  <c r="BD225" i="22"/>
  <c r="BH225" i="22" s="1"/>
  <c r="BJ225" i="22" s="1"/>
  <c r="AV225" i="22"/>
  <c r="AX225" i="22" s="1"/>
  <c r="AF225" i="22"/>
  <c r="Y225" i="22"/>
  <c r="T225" i="22"/>
  <c r="BL224" i="22"/>
  <c r="B224" i="22" s="1"/>
  <c r="BD224" i="22"/>
  <c r="BH224" i="22" s="1"/>
  <c r="BJ224" i="22" s="1"/>
  <c r="AV224" i="22"/>
  <c r="AX224" i="22" s="1"/>
  <c r="AF224" i="22"/>
  <c r="Y224" i="22"/>
  <c r="AD224" i="22" s="1"/>
  <c r="T224" i="22"/>
  <c r="BL223" i="22"/>
  <c r="B223" i="22" s="1"/>
  <c r="BD223" i="22"/>
  <c r="BH223" i="22" s="1"/>
  <c r="BJ223" i="22" s="1"/>
  <c r="AV223" i="22"/>
  <c r="AX223" i="22" s="1"/>
  <c r="AP223" i="22"/>
  <c r="AF223" i="22"/>
  <c r="Y223" i="22"/>
  <c r="AN223" i="22" s="1"/>
  <c r="T223" i="22"/>
  <c r="BL222" i="22"/>
  <c r="B222" i="22" s="1"/>
  <c r="BD222" i="22"/>
  <c r="BH222" i="22" s="1"/>
  <c r="BJ222" i="22" s="1"/>
  <c r="AV222" i="22"/>
  <c r="AX222" i="22" s="1"/>
  <c r="AP222" i="22"/>
  <c r="AF222" i="22"/>
  <c r="Y222" i="22"/>
  <c r="AN222" i="22" s="1"/>
  <c r="T222" i="22"/>
  <c r="BL221" i="22"/>
  <c r="B221" i="22" s="1"/>
  <c r="BD221" i="22"/>
  <c r="BH221" i="22" s="1"/>
  <c r="BJ221" i="22" s="1"/>
  <c r="AV221" i="22"/>
  <c r="AX221" i="22" s="1"/>
  <c r="AP221" i="22"/>
  <c r="AF221" i="22"/>
  <c r="Y221" i="22"/>
  <c r="AD221" i="22" s="1"/>
  <c r="T221" i="22"/>
  <c r="BL220" i="22"/>
  <c r="B220" i="22" s="1"/>
  <c r="BD220" i="22"/>
  <c r="BH220" i="22" s="1"/>
  <c r="BJ220" i="22" s="1"/>
  <c r="AV220" i="22"/>
  <c r="AX220" i="22" s="1"/>
  <c r="AP220" i="22"/>
  <c r="AF220" i="22"/>
  <c r="Y220" i="22"/>
  <c r="AN220" i="22" s="1"/>
  <c r="T220" i="22"/>
  <c r="BL219" i="22"/>
  <c r="B219" i="22" s="1"/>
  <c r="BD219" i="22"/>
  <c r="BH219" i="22" s="1"/>
  <c r="BJ219" i="22" s="1"/>
  <c r="AV219" i="22"/>
  <c r="AX219" i="22" s="1"/>
  <c r="AP219" i="22"/>
  <c r="AF219" i="22"/>
  <c r="Z219" i="22"/>
  <c r="Y219" i="22"/>
  <c r="AN219" i="22" s="1"/>
  <c r="BL218" i="22"/>
  <c r="B218" i="22" s="1"/>
  <c r="BD218" i="22"/>
  <c r="BH218" i="22" s="1"/>
  <c r="BJ218" i="22" s="1"/>
  <c r="AV218" i="22"/>
  <c r="AX218" i="22" s="1"/>
  <c r="AP218" i="22"/>
  <c r="AF218" i="22"/>
  <c r="Z218" i="22"/>
  <c r="Y218" i="22"/>
  <c r="BL217" i="22"/>
  <c r="B217" i="22" s="1"/>
  <c r="BD217" i="22"/>
  <c r="BH217" i="22" s="1"/>
  <c r="BJ217" i="22" s="1"/>
  <c r="AV217" i="22"/>
  <c r="AX217" i="22" s="1"/>
  <c r="AP217" i="22"/>
  <c r="AF217" i="22"/>
  <c r="Z217" i="22"/>
  <c r="Y217" i="22"/>
  <c r="AD217" i="22" s="1"/>
  <c r="BL216" i="22"/>
  <c r="B216" i="22" s="1"/>
  <c r="BD216" i="22"/>
  <c r="BH216" i="22" s="1"/>
  <c r="BJ216" i="22" s="1"/>
  <c r="AV216" i="22"/>
  <c r="AX216" i="22" s="1"/>
  <c r="AP216" i="22"/>
  <c r="AF216" i="22"/>
  <c r="Z216" i="22"/>
  <c r="Y216" i="22"/>
  <c r="AN216" i="22" s="1"/>
  <c r="BL215" i="22"/>
  <c r="B215" i="22" s="1"/>
  <c r="BD215" i="22"/>
  <c r="BH215" i="22" s="1"/>
  <c r="BJ215" i="22" s="1"/>
  <c r="AV215" i="22"/>
  <c r="AX215" i="22" s="1"/>
  <c r="AP215" i="22"/>
  <c r="AF215" i="22"/>
  <c r="Y215" i="22"/>
  <c r="AN215" i="22" s="1"/>
  <c r="T215" i="22"/>
  <c r="BL214" i="22"/>
  <c r="B214" i="22" s="1"/>
  <c r="BD214" i="22"/>
  <c r="BH214" i="22" s="1"/>
  <c r="BJ214" i="22" s="1"/>
  <c r="AV214" i="22"/>
  <c r="AX214" i="22" s="1"/>
  <c r="AP214" i="22"/>
  <c r="AF214" i="22"/>
  <c r="Y214" i="22"/>
  <c r="AN214" i="22" s="1"/>
  <c r="T214" i="22"/>
  <c r="BL213" i="22"/>
  <c r="B213" i="22" s="1"/>
  <c r="BD213" i="22"/>
  <c r="BH213" i="22" s="1"/>
  <c r="BJ213" i="22" s="1"/>
  <c r="AV213" i="22"/>
  <c r="AX213" i="22" s="1"/>
  <c r="AP213" i="22"/>
  <c r="AF213" i="22"/>
  <c r="Y213" i="22"/>
  <c r="AN213" i="22" s="1"/>
  <c r="T213" i="22"/>
  <c r="BL212" i="22"/>
  <c r="B212" i="22" s="1"/>
  <c r="BD212" i="22"/>
  <c r="BH212" i="22" s="1"/>
  <c r="BJ212" i="22" s="1"/>
  <c r="AV212" i="22"/>
  <c r="AX212" i="22" s="1"/>
  <c r="AP212" i="22"/>
  <c r="AF212" i="22"/>
  <c r="Z212" i="22"/>
  <c r="Y212" i="22"/>
  <c r="AD212" i="22" s="1"/>
  <c r="BL211" i="22"/>
  <c r="B211" i="22" s="1"/>
  <c r="BD211" i="22"/>
  <c r="BH211" i="22" s="1"/>
  <c r="BJ211" i="22" s="1"/>
  <c r="AV211" i="22"/>
  <c r="AX211" i="22" s="1"/>
  <c r="AP211" i="22"/>
  <c r="AF211" i="22"/>
  <c r="Y211" i="22"/>
  <c r="AD211" i="22" s="1"/>
  <c r="T211" i="22"/>
  <c r="BL210" i="22"/>
  <c r="B210" i="22" s="1"/>
  <c r="BD210" i="22"/>
  <c r="BH210" i="22" s="1"/>
  <c r="BJ210" i="22" s="1"/>
  <c r="AV210" i="22"/>
  <c r="AX210" i="22" s="1"/>
  <c r="AP210" i="22"/>
  <c r="AF210" i="22"/>
  <c r="Z210" i="22"/>
  <c r="Y210" i="22"/>
  <c r="AN210" i="22" s="1"/>
  <c r="BL209" i="22"/>
  <c r="B209" i="22" s="1"/>
  <c r="BD209" i="22"/>
  <c r="BH209" i="22" s="1"/>
  <c r="BJ209" i="22" s="1"/>
  <c r="AV209" i="22"/>
  <c r="AX209" i="22" s="1"/>
  <c r="AP209" i="22"/>
  <c r="AF209" i="22"/>
  <c r="Z209" i="22"/>
  <c r="Y209" i="22"/>
  <c r="BL208" i="22"/>
  <c r="B208" i="22" s="1"/>
  <c r="BD208" i="22"/>
  <c r="BH208" i="22" s="1"/>
  <c r="BJ208" i="22" s="1"/>
  <c r="AV208" i="22"/>
  <c r="AX208" i="22" s="1"/>
  <c r="AP208" i="22"/>
  <c r="AF208" i="22"/>
  <c r="Z208" i="22"/>
  <c r="Y208" i="22"/>
  <c r="BL207" i="22"/>
  <c r="B207" i="22" s="1"/>
  <c r="BD207" i="22"/>
  <c r="BH207" i="22" s="1"/>
  <c r="BJ207" i="22" s="1"/>
  <c r="AV207" i="22"/>
  <c r="AX207" i="22" s="1"/>
  <c r="AP207" i="22"/>
  <c r="AF207" i="22"/>
  <c r="Y207" i="22"/>
  <c r="AN207" i="22" s="1"/>
  <c r="T207" i="22"/>
  <c r="BL206" i="22"/>
  <c r="B206" i="22" s="1"/>
  <c r="BD206" i="22"/>
  <c r="BH206" i="22" s="1"/>
  <c r="BJ206" i="22" s="1"/>
  <c r="AV206" i="22"/>
  <c r="AX206" i="22" s="1"/>
  <c r="AP206" i="22"/>
  <c r="AF206" i="22"/>
  <c r="Z206" i="22"/>
  <c r="Y206" i="22"/>
  <c r="BL205" i="22"/>
  <c r="B205" i="22" s="1"/>
  <c r="BD205" i="22"/>
  <c r="BH205" i="22" s="1"/>
  <c r="BJ205" i="22" s="1"/>
  <c r="AV205" i="22"/>
  <c r="AX205" i="22" s="1"/>
  <c r="AP205" i="22"/>
  <c r="AF205" i="22"/>
  <c r="Z205" i="22"/>
  <c r="Y205" i="22"/>
  <c r="AN205" i="22" s="1"/>
  <c r="BL204" i="22"/>
  <c r="B204" i="22" s="1"/>
  <c r="BD204" i="22"/>
  <c r="BH204" i="22" s="1"/>
  <c r="BJ204" i="22" s="1"/>
  <c r="AV204" i="22"/>
  <c r="AX204" i="22" s="1"/>
  <c r="AP204" i="22"/>
  <c r="AF204" i="22"/>
  <c r="Z204" i="22"/>
  <c r="Y204" i="22"/>
  <c r="BL203" i="22"/>
  <c r="B203" i="22" s="1"/>
  <c r="BD203" i="22"/>
  <c r="BH203" i="22" s="1"/>
  <c r="BJ203" i="22" s="1"/>
  <c r="AV203" i="22"/>
  <c r="AX203" i="22" s="1"/>
  <c r="AP203" i="22"/>
  <c r="AF203" i="22"/>
  <c r="Z203" i="22"/>
  <c r="Y203" i="22"/>
  <c r="AN203" i="22" s="1"/>
  <c r="BL202" i="22"/>
  <c r="B202" i="22" s="1"/>
  <c r="BD202" i="22"/>
  <c r="BH202" i="22" s="1"/>
  <c r="BJ202" i="22" s="1"/>
  <c r="AV202" i="22"/>
  <c r="AX202" i="22" s="1"/>
  <c r="AP202" i="22"/>
  <c r="AF202" i="22"/>
  <c r="Z202" i="22"/>
  <c r="Y202" i="22"/>
  <c r="BL201" i="22"/>
  <c r="B201" i="22" s="1"/>
  <c r="BD201" i="22"/>
  <c r="BH201" i="22" s="1"/>
  <c r="BJ201" i="22" s="1"/>
  <c r="AV201" i="22"/>
  <c r="AX201" i="22" s="1"/>
  <c r="AP201" i="22"/>
  <c r="AF201" i="22"/>
  <c r="Y201" i="22"/>
  <c r="T201" i="22"/>
  <c r="BL200" i="22"/>
  <c r="B200" i="22" s="1"/>
  <c r="BD200" i="22"/>
  <c r="BH200" i="22" s="1"/>
  <c r="BJ200" i="22" s="1"/>
  <c r="AV200" i="22"/>
  <c r="AX200" i="22" s="1"/>
  <c r="AP200" i="22"/>
  <c r="AF200" i="22"/>
  <c r="Y200" i="22"/>
  <c r="AN200" i="22" s="1"/>
  <c r="T200" i="22"/>
  <c r="BL199" i="22"/>
  <c r="B199" i="22" s="1"/>
  <c r="BD199" i="22"/>
  <c r="BH199" i="22" s="1"/>
  <c r="BJ199" i="22" s="1"/>
  <c r="AV199" i="22"/>
  <c r="AX199" i="22" s="1"/>
  <c r="AP199" i="22"/>
  <c r="AF199" i="22"/>
  <c r="Z199" i="22"/>
  <c r="Y199" i="22"/>
  <c r="AD199" i="22" s="1"/>
  <c r="BL198" i="22"/>
  <c r="B198" i="22" s="1"/>
  <c r="BD198" i="22"/>
  <c r="BH198" i="22" s="1"/>
  <c r="BJ198" i="22" s="1"/>
  <c r="AV198" i="22"/>
  <c r="AX198" i="22" s="1"/>
  <c r="AP198" i="22"/>
  <c r="AF198" i="22"/>
  <c r="Z198" i="22"/>
  <c r="Y198" i="22"/>
  <c r="AD198" i="22" s="1"/>
  <c r="BL197" i="22"/>
  <c r="B197" i="22" s="1"/>
  <c r="BD197" i="22"/>
  <c r="BH197" i="22" s="1"/>
  <c r="BJ197" i="22" s="1"/>
  <c r="AV197" i="22"/>
  <c r="AX197" i="22" s="1"/>
  <c r="AP197" i="22"/>
  <c r="AF197" i="22"/>
  <c r="Z197" i="22"/>
  <c r="Y197" i="22"/>
  <c r="AN197" i="22" s="1"/>
  <c r="BL196" i="22"/>
  <c r="B196" i="22" s="1"/>
  <c r="BD196" i="22"/>
  <c r="BH196" i="22" s="1"/>
  <c r="BJ196" i="22" s="1"/>
  <c r="AV196" i="22"/>
  <c r="AX196" i="22" s="1"/>
  <c r="AP196" i="22"/>
  <c r="AF196" i="22"/>
  <c r="Y196" i="22"/>
  <c r="AN196" i="22" s="1"/>
  <c r="T196" i="22"/>
  <c r="BL195" i="22"/>
  <c r="B195" i="22" s="1"/>
  <c r="BD195" i="22"/>
  <c r="BH195" i="22" s="1"/>
  <c r="BJ195" i="22" s="1"/>
  <c r="AV195" i="22"/>
  <c r="AX195" i="22" s="1"/>
  <c r="AP195" i="22"/>
  <c r="AF195" i="22"/>
  <c r="Z195" i="22"/>
  <c r="Y195" i="22"/>
  <c r="AD195" i="22" s="1"/>
  <c r="BL194" i="22"/>
  <c r="B194" i="22" s="1"/>
  <c r="BD194" i="22"/>
  <c r="BH194" i="22" s="1"/>
  <c r="BJ194" i="22" s="1"/>
  <c r="AV194" i="22"/>
  <c r="AX194" i="22" s="1"/>
  <c r="AP194" i="22"/>
  <c r="AF194" i="22"/>
  <c r="Z194" i="22"/>
  <c r="Y194" i="22"/>
  <c r="BL193" i="22"/>
  <c r="B193" i="22" s="1"/>
  <c r="BD193" i="22"/>
  <c r="BH193" i="22" s="1"/>
  <c r="BJ193" i="22" s="1"/>
  <c r="AV193" i="22"/>
  <c r="AX193" i="22" s="1"/>
  <c r="AP193" i="22"/>
  <c r="AF193" i="22"/>
  <c r="Z193" i="22"/>
  <c r="Y193" i="22"/>
  <c r="AD193" i="22" s="1"/>
  <c r="BL192" i="22"/>
  <c r="B192" i="22" s="1"/>
  <c r="BD192" i="22"/>
  <c r="BH192" i="22" s="1"/>
  <c r="BJ192" i="22" s="1"/>
  <c r="AV192" i="22"/>
  <c r="AX192" i="22" s="1"/>
  <c r="AP192" i="22"/>
  <c r="AF192" i="22"/>
  <c r="Z192" i="22"/>
  <c r="Y192" i="22"/>
  <c r="AD192" i="22" s="1"/>
  <c r="BL191" i="22"/>
  <c r="B191" i="22" s="1"/>
  <c r="BD191" i="22"/>
  <c r="BH191" i="22" s="1"/>
  <c r="BJ191" i="22" s="1"/>
  <c r="AV191" i="22"/>
  <c r="AX191" i="22" s="1"/>
  <c r="AP191" i="22"/>
  <c r="AF191" i="22"/>
  <c r="Z191" i="22"/>
  <c r="Y191" i="22"/>
  <c r="AN191" i="22" s="1"/>
  <c r="BL190" i="22"/>
  <c r="B190" i="22" s="1"/>
  <c r="BD190" i="22"/>
  <c r="BH190" i="22" s="1"/>
  <c r="BJ190" i="22" s="1"/>
  <c r="AV190" i="22"/>
  <c r="AX190" i="22" s="1"/>
  <c r="AP190" i="22"/>
  <c r="AF190" i="22"/>
  <c r="Z190" i="22"/>
  <c r="Y190" i="22"/>
  <c r="BL189" i="22"/>
  <c r="B189" i="22" s="1"/>
  <c r="BD189" i="22"/>
  <c r="BH189" i="22" s="1"/>
  <c r="BJ189" i="22" s="1"/>
  <c r="AV189" i="22"/>
  <c r="AX189" i="22" s="1"/>
  <c r="AP189" i="22"/>
  <c r="AF189" i="22"/>
  <c r="Z189" i="22"/>
  <c r="Y189" i="22"/>
  <c r="BL188" i="22"/>
  <c r="B188" i="22" s="1"/>
  <c r="BD188" i="22"/>
  <c r="BH188" i="22" s="1"/>
  <c r="BJ188" i="22" s="1"/>
  <c r="AV188" i="22"/>
  <c r="AX188" i="22" s="1"/>
  <c r="AP188" i="22"/>
  <c r="AF188" i="22"/>
  <c r="Y188" i="22"/>
  <c r="AN188" i="22" s="1"/>
  <c r="T188" i="22"/>
  <c r="BL187" i="22"/>
  <c r="B187" i="22" s="1"/>
  <c r="BD187" i="22"/>
  <c r="BH187" i="22" s="1"/>
  <c r="BJ187" i="22" s="1"/>
  <c r="AV187" i="22"/>
  <c r="AX187" i="22" s="1"/>
  <c r="AP187" i="22"/>
  <c r="AF187" i="22"/>
  <c r="Y187" i="22"/>
  <c r="AN187" i="22" s="1"/>
  <c r="T187" i="22"/>
  <c r="BL186" i="22"/>
  <c r="B186" i="22" s="1"/>
  <c r="BD186" i="22"/>
  <c r="BH186" i="22" s="1"/>
  <c r="BJ186" i="22" s="1"/>
  <c r="AV186" i="22"/>
  <c r="AX186" i="22" s="1"/>
  <c r="AP186" i="22"/>
  <c r="AF186" i="22"/>
  <c r="Y186" i="22"/>
  <c r="AN186" i="22" s="1"/>
  <c r="T186" i="22"/>
  <c r="BL185" i="22"/>
  <c r="B185" i="22" s="1"/>
  <c r="BD185" i="22"/>
  <c r="BH185" i="22" s="1"/>
  <c r="BJ185" i="22" s="1"/>
  <c r="AV185" i="22"/>
  <c r="AX185" i="22" s="1"/>
  <c r="AP185" i="22"/>
  <c r="AF185" i="22"/>
  <c r="Z185" i="22"/>
  <c r="Y185" i="22"/>
  <c r="BL184" i="22"/>
  <c r="B184" i="22" s="1"/>
  <c r="BD184" i="22"/>
  <c r="BH184" i="22" s="1"/>
  <c r="BJ184" i="22" s="1"/>
  <c r="AV184" i="22"/>
  <c r="AX184" i="22" s="1"/>
  <c r="AP184" i="22"/>
  <c r="AF184" i="22"/>
  <c r="Z184" i="22"/>
  <c r="Y184" i="22"/>
  <c r="AD184" i="22" s="1"/>
  <c r="BL183" i="22"/>
  <c r="B183" i="22" s="1"/>
  <c r="BD183" i="22"/>
  <c r="BH183" i="22" s="1"/>
  <c r="BJ183" i="22" s="1"/>
  <c r="AV183" i="22"/>
  <c r="AX183" i="22" s="1"/>
  <c r="AP183" i="22"/>
  <c r="AF183" i="22"/>
  <c r="Z183" i="22"/>
  <c r="Y183" i="22"/>
  <c r="AN183" i="22" s="1"/>
  <c r="BL182" i="22"/>
  <c r="B182" i="22" s="1"/>
  <c r="BD182" i="22"/>
  <c r="BH182" i="22" s="1"/>
  <c r="BJ182" i="22" s="1"/>
  <c r="AV182" i="22"/>
  <c r="AX182" i="22" s="1"/>
  <c r="AP182" i="22"/>
  <c r="AF182" i="22"/>
  <c r="Z182" i="22"/>
  <c r="Y182" i="22"/>
  <c r="AD182" i="22" s="1"/>
  <c r="BL181" i="22"/>
  <c r="B181" i="22" s="1"/>
  <c r="BD181" i="22"/>
  <c r="BH181" i="22" s="1"/>
  <c r="BJ181" i="22" s="1"/>
  <c r="AV181" i="22"/>
  <c r="AX181" i="22" s="1"/>
  <c r="AP181" i="22"/>
  <c r="AF181" i="22"/>
  <c r="Y181" i="22"/>
  <c r="AD181" i="22" s="1"/>
  <c r="T181" i="22"/>
  <c r="BL180" i="22"/>
  <c r="B180" i="22" s="1"/>
  <c r="BD180" i="22"/>
  <c r="BH180" i="22" s="1"/>
  <c r="BJ180" i="22" s="1"/>
  <c r="AV180" i="22"/>
  <c r="AX180" i="22" s="1"/>
  <c r="AP180" i="22"/>
  <c r="AF180" i="22"/>
  <c r="Z180" i="22"/>
  <c r="Y180" i="22"/>
  <c r="BL179" i="22"/>
  <c r="B179" i="22" s="1"/>
  <c r="BD179" i="22"/>
  <c r="BH179" i="22" s="1"/>
  <c r="BJ179" i="22" s="1"/>
  <c r="AV179" i="22"/>
  <c r="AX179" i="22" s="1"/>
  <c r="AP179" i="22"/>
  <c r="AF179" i="22"/>
  <c r="Z179" i="22"/>
  <c r="Y179" i="22"/>
  <c r="AN179" i="22" s="1"/>
  <c r="BL178" i="22"/>
  <c r="B178" i="22" s="1"/>
  <c r="BD178" i="22"/>
  <c r="BH178" i="22" s="1"/>
  <c r="BJ178" i="22" s="1"/>
  <c r="AV178" i="22"/>
  <c r="AX178" i="22" s="1"/>
  <c r="AP178" i="22"/>
  <c r="AF178" i="22"/>
  <c r="Z178" i="22"/>
  <c r="Y178" i="22"/>
  <c r="AN178" i="22" s="1"/>
  <c r="BL177" i="22"/>
  <c r="B177" i="22" s="1"/>
  <c r="BD177" i="22"/>
  <c r="BH177" i="22" s="1"/>
  <c r="BJ177" i="22" s="1"/>
  <c r="AV177" i="22"/>
  <c r="AX177" i="22" s="1"/>
  <c r="AP177" i="22"/>
  <c r="AF177" i="22"/>
  <c r="Y177" i="22"/>
  <c r="AD177" i="22" s="1"/>
  <c r="T177" i="22"/>
  <c r="BL176" i="22"/>
  <c r="B176" i="22" s="1"/>
  <c r="BD176" i="22"/>
  <c r="BH176" i="22" s="1"/>
  <c r="BJ176" i="22" s="1"/>
  <c r="AV176" i="22"/>
  <c r="AX176" i="22" s="1"/>
  <c r="AP176" i="22"/>
  <c r="AF176" i="22"/>
  <c r="Y176" i="22"/>
  <c r="T176" i="22"/>
  <c r="BL175" i="22"/>
  <c r="B175" i="22" s="1"/>
  <c r="BD175" i="22"/>
  <c r="BH175" i="22" s="1"/>
  <c r="BJ175" i="22" s="1"/>
  <c r="AV175" i="22"/>
  <c r="AX175" i="22" s="1"/>
  <c r="AP175" i="22"/>
  <c r="AF175" i="22"/>
  <c r="Z175" i="22"/>
  <c r="Y175" i="22"/>
  <c r="AN175" i="22" s="1"/>
  <c r="BL174" i="22"/>
  <c r="B174" i="22" s="1"/>
  <c r="BD174" i="22"/>
  <c r="BH174" i="22" s="1"/>
  <c r="BJ174" i="22" s="1"/>
  <c r="AV174" i="22"/>
  <c r="AX174" i="22" s="1"/>
  <c r="AP174" i="22"/>
  <c r="AF174" i="22"/>
  <c r="Z174" i="22"/>
  <c r="Y174" i="22"/>
  <c r="AD174" i="22" s="1"/>
  <c r="BL173" i="22"/>
  <c r="B173" i="22" s="1"/>
  <c r="BD173" i="22"/>
  <c r="BH173" i="22" s="1"/>
  <c r="BJ173" i="22" s="1"/>
  <c r="AV173" i="22"/>
  <c r="AX173" i="22" s="1"/>
  <c r="AF173" i="22"/>
  <c r="Y173" i="22"/>
  <c r="AN173" i="22" s="1"/>
  <c r="T173" i="22"/>
  <c r="BL172" i="22"/>
  <c r="B172" i="22" s="1"/>
  <c r="BD172" i="22"/>
  <c r="BH172" i="22" s="1"/>
  <c r="BJ172" i="22" s="1"/>
  <c r="AV172" i="22"/>
  <c r="AX172" i="22" s="1"/>
  <c r="AF172" i="22"/>
  <c r="Y172" i="22"/>
  <c r="AN172" i="22" s="1"/>
  <c r="T172" i="22"/>
  <c r="BL171" i="22"/>
  <c r="B171" i="22" s="1"/>
  <c r="BD171" i="22"/>
  <c r="BH171" i="22" s="1"/>
  <c r="BJ171" i="22" s="1"/>
  <c r="AV171" i="22"/>
  <c r="AX171" i="22" s="1"/>
  <c r="AF171" i="22"/>
  <c r="Y171" i="22"/>
  <c r="AN171" i="22" s="1"/>
  <c r="T171" i="22"/>
  <c r="BL170" i="22"/>
  <c r="B170" i="22" s="1"/>
  <c r="BD170" i="22"/>
  <c r="BH170" i="22" s="1"/>
  <c r="BJ170" i="22" s="1"/>
  <c r="AV170" i="22"/>
  <c r="AX170" i="22" s="1"/>
  <c r="AF170" i="22"/>
  <c r="Y170" i="22"/>
  <c r="T170" i="22"/>
  <c r="BL169" i="22"/>
  <c r="B169" i="22" s="1"/>
  <c r="BD169" i="22"/>
  <c r="BH169" i="22" s="1"/>
  <c r="BJ169" i="22" s="1"/>
  <c r="AV169" i="22"/>
  <c r="AX169" i="22" s="1"/>
  <c r="AF169" i="22"/>
  <c r="Y169" i="22"/>
  <c r="T169" i="22"/>
  <c r="BL168" i="22"/>
  <c r="B168" i="22" s="1"/>
  <c r="BD168" i="22"/>
  <c r="BH168" i="22" s="1"/>
  <c r="BJ168" i="22" s="1"/>
  <c r="AV168" i="22"/>
  <c r="AX168" i="22" s="1"/>
  <c r="AF168" i="22"/>
  <c r="Y168" i="22"/>
  <c r="AN168" i="22" s="1"/>
  <c r="T168" i="22"/>
  <c r="BL167" i="22"/>
  <c r="B167" i="22" s="1"/>
  <c r="BD167" i="22"/>
  <c r="BH167" i="22" s="1"/>
  <c r="BJ167" i="22" s="1"/>
  <c r="AV167" i="22"/>
  <c r="AX167" i="22" s="1"/>
  <c r="AF167" i="22"/>
  <c r="Y167" i="22"/>
  <c r="AN167" i="22" s="1"/>
  <c r="T167" i="22"/>
  <c r="BL166" i="22"/>
  <c r="B166" i="22" s="1"/>
  <c r="BD166" i="22"/>
  <c r="BH166" i="22" s="1"/>
  <c r="BJ166" i="22" s="1"/>
  <c r="AV166" i="22"/>
  <c r="AX166" i="22" s="1"/>
  <c r="AF166" i="22"/>
  <c r="Y166" i="22"/>
  <c r="AN166" i="22" s="1"/>
  <c r="T166" i="22"/>
  <c r="BL165" i="22"/>
  <c r="B165" i="22" s="1"/>
  <c r="BD165" i="22"/>
  <c r="BH165" i="22" s="1"/>
  <c r="BJ165" i="22" s="1"/>
  <c r="AV165" i="22"/>
  <c r="AX165" i="22" s="1"/>
  <c r="AF165" i="22"/>
  <c r="Y165" i="22"/>
  <c r="AN165" i="22" s="1"/>
  <c r="T165" i="22"/>
  <c r="BL164" i="22"/>
  <c r="B164" i="22" s="1"/>
  <c r="BD164" i="22"/>
  <c r="BH164" i="22" s="1"/>
  <c r="BJ164" i="22" s="1"/>
  <c r="AV164" i="22"/>
  <c r="AX164" i="22" s="1"/>
  <c r="AF164" i="22"/>
  <c r="Y164" i="22"/>
  <c r="T164" i="22"/>
  <c r="BL163" i="22"/>
  <c r="B163" i="22" s="1"/>
  <c r="BD163" i="22"/>
  <c r="BH163" i="22" s="1"/>
  <c r="BJ163" i="22" s="1"/>
  <c r="AV163" i="22"/>
  <c r="AX163" i="22" s="1"/>
  <c r="AF163" i="22"/>
  <c r="Y163" i="22"/>
  <c r="AN163" i="22" s="1"/>
  <c r="T163" i="22"/>
  <c r="BL162" i="22"/>
  <c r="B162" i="22" s="1"/>
  <c r="BD162" i="22"/>
  <c r="BH162" i="22" s="1"/>
  <c r="BJ162" i="22" s="1"/>
  <c r="AV162" i="22"/>
  <c r="AX162" i="22" s="1"/>
  <c r="AF162" i="22"/>
  <c r="Y162" i="22"/>
  <c r="T162" i="22"/>
  <c r="BL161" i="22"/>
  <c r="B161" i="22" s="1"/>
  <c r="BD161" i="22"/>
  <c r="BH161" i="22" s="1"/>
  <c r="BJ161" i="22" s="1"/>
  <c r="AV161" i="22"/>
  <c r="AX161" i="22" s="1"/>
  <c r="AF161" i="22"/>
  <c r="Y161" i="22"/>
  <c r="T161" i="22"/>
  <c r="BL160" i="22"/>
  <c r="B160" i="22" s="1"/>
  <c r="BD160" i="22"/>
  <c r="BH160" i="22" s="1"/>
  <c r="BJ160" i="22" s="1"/>
  <c r="AV160" i="22"/>
  <c r="AX160" i="22" s="1"/>
  <c r="AF160" i="22"/>
  <c r="Y160" i="22"/>
  <c r="AN160" i="22" s="1"/>
  <c r="T160" i="22"/>
  <c r="BL159" i="22"/>
  <c r="B159" i="22" s="1"/>
  <c r="BD159" i="22"/>
  <c r="BH159" i="22" s="1"/>
  <c r="BJ159" i="22" s="1"/>
  <c r="AV159" i="22"/>
  <c r="AX159" i="22" s="1"/>
  <c r="AF159" i="22"/>
  <c r="Y159" i="22"/>
  <c r="AN159" i="22" s="1"/>
  <c r="T159" i="22"/>
  <c r="BL158" i="22"/>
  <c r="B158" i="22" s="1"/>
  <c r="BD158" i="22"/>
  <c r="BH158" i="22" s="1"/>
  <c r="BJ158" i="22" s="1"/>
  <c r="AV158" i="22"/>
  <c r="AX158" i="22" s="1"/>
  <c r="AF158" i="22"/>
  <c r="Y158" i="22"/>
  <c r="AN158" i="22" s="1"/>
  <c r="T158" i="22"/>
  <c r="BL157" i="22"/>
  <c r="B157" i="22" s="1"/>
  <c r="BD157" i="22"/>
  <c r="BH157" i="22" s="1"/>
  <c r="BJ157" i="22" s="1"/>
  <c r="AV157" i="22"/>
  <c r="AX157" i="22" s="1"/>
  <c r="AF157" i="22"/>
  <c r="Y157" i="22"/>
  <c r="AN157" i="22" s="1"/>
  <c r="T157" i="22"/>
  <c r="BL156" i="22"/>
  <c r="B156" i="22" s="1"/>
  <c r="BD156" i="22"/>
  <c r="BH156" i="22" s="1"/>
  <c r="BJ156" i="22" s="1"/>
  <c r="AV156" i="22"/>
  <c r="AX156" i="22" s="1"/>
  <c r="AF156" i="22"/>
  <c r="Y156" i="22"/>
  <c r="AN156" i="22" s="1"/>
  <c r="T156" i="22"/>
  <c r="BL155" i="22"/>
  <c r="B155" i="22" s="1"/>
  <c r="BD155" i="22"/>
  <c r="BH155" i="22" s="1"/>
  <c r="BJ155" i="22" s="1"/>
  <c r="AV155" i="22"/>
  <c r="AX155" i="22" s="1"/>
  <c r="AF155" i="22"/>
  <c r="Y155" i="22"/>
  <c r="AN155" i="22" s="1"/>
  <c r="T155" i="22"/>
  <c r="BL154" i="22"/>
  <c r="B154" i="22" s="1"/>
  <c r="BD154" i="22"/>
  <c r="BH154" i="22" s="1"/>
  <c r="BJ154" i="22" s="1"/>
  <c r="AV154" i="22"/>
  <c r="AX154" i="22" s="1"/>
  <c r="AF154" i="22"/>
  <c r="Y154" i="22"/>
  <c r="T154" i="22"/>
  <c r="BL153" i="22"/>
  <c r="B153" i="22" s="1"/>
  <c r="BD153" i="22"/>
  <c r="BH153" i="22" s="1"/>
  <c r="BJ153" i="22" s="1"/>
  <c r="AV153" i="22"/>
  <c r="AX153" i="22" s="1"/>
  <c r="AF153" i="22"/>
  <c r="Y153" i="22"/>
  <c r="T153" i="22"/>
  <c r="BL152" i="22"/>
  <c r="B152" i="22" s="1"/>
  <c r="BD152" i="22"/>
  <c r="BH152" i="22" s="1"/>
  <c r="BJ152" i="22" s="1"/>
  <c r="AV152" i="22"/>
  <c r="AX152" i="22" s="1"/>
  <c r="AF152" i="22"/>
  <c r="Y152" i="22"/>
  <c r="AN152" i="22" s="1"/>
  <c r="T152" i="22"/>
  <c r="BL151" i="22"/>
  <c r="B151" i="22" s="1"/>
  <c r="BD151" i="22"/>
  <c r="BH151" i="22" s="1"/>
  <c r="BJ151" i="22" s="1"/>
  <c r="AV151" i="22"/>
  <c r="AX151" i="22" s="1"/>
  <c r="AF151" i="22"/>
  <c r="Y151" i="22"/>
  <c r="T151" i="22"/>
  <c r="BL150" i="22"/>
  <c r="B150" i="22" s="1"/>
  <c r="BD150" i="22"/>
  <c r="BH150" i="22" s="1"/>
  <c r="BJ150" i="22" s="1"/>
  <c r="AV150" i="22"/>
  <c r="AX150" i="22" s="1"/>
  <c r="AF150" i="22"/>
  <c r="Y150" i="22"/>
  <c r="AN150" i="22" s="1"/>
  <c r="T150" i="22"/>
  <c r="BL149" i="22"/>
  <c r="B149" i="22" s="1"/>
  <c r="BD149" i="22"/>
  <c r="BH149" i="22" s="1"/>
  <c r="BJ149" i="22" s="1"/>
  <c r="AV149" i="22"/>
  <c r="AX149" i="22" s="1"/>
  <c r="AF149" i="22"/>
  <c r="Y149" i="22"/>
  <c r="T149" i="22"/>
  <c r="BL148" i="22"/>
  <c r="B148" i="22" s="1"/>
  <c r="BD148" i="22"/>
  <c r="BH148" i="22" s="1"/>
  <c r="BJ148" i="22" s="1"/>
  <c r="AV148" i="22"/>
  <c r="AX148" i="22" s="1"/>
  <c r="AF148" i="22"/>
  <c r="Y148" i="22"/>
  <c r="AN148" i="22" s="1"/>
  <c r="T148" i="22"/>
  <c r="BL147" i="22"/>
  <c r="B147" i="22" s="1"/>
  <c r="BD147" i="22"/>
  <c r="BH147" i="22" s="1"/>
  <c r="BJ147" i="22" s="1"/>
  <c r="AV147" i="22"/>
  <c r="AX147" i="22" s="1"/>
  <c r="AF147" i="22"/>
  <c r="Y147" i="22"/>
  <c r="T147" i="22"/>
  <c r="BL146" i="22"/>
  <c r="B146" i="22" s="1"/>
  <c r="BD146" i="22"/>
  <c r="BH146" i="22" s="1"/>
  <c r="BJ146" i="22" s="1"/>
  <c r="AV146" i="22"/>
  <c r="AX146" i="22" s="1"/>
  <c r="AF146" i="22"/>
  <c r="Y146" i="22"/>
  <c r="AN146" i="22" s="1"/>
  <c r="T146" i="22"/>
  <c r="BL145" i="22"/>
  <c r="B145" i="22" s="1"/>
  <c r="BD145" i="22"/>
  <c r="BH145" i="22" s="1"/>
  <c r="BJ145" i="22" s="1"/>
  <c r="AV145" i="22"/>
  <c r="AX145" i="22" s="1"/>
  <c r="AF145" i="22"/>
  <c r="Y145" i="22"/>
  <c r="T145" i="22"/>
  <c r="BL144" i="22"/>
  <c r="B144" i="22" s="1"/>
  <c r="BD144" i="22"/>
  <c r="BH144" i="22" s="1"/>
  <c r="BJ144" i="22" s="1"/>
  <c r="AV144" i="22"/>
  <c r="AX144" i="22" s="1"/>
  <c r="AF144" i="22"/>
  <c r="Y144" i="22"/>
  <c r="AN144" i="22" s="1"/>
  <c r="T144" i="22"/>
  <c r="BL143" i="22"/>
  <c r="B143" i="22" s="1"/>
  <c r="BD143" i="22"/>
  <c r="BH143" i="22" s="1"/>
  <c r="BJ143" i="22" s="1"/>
  <c r="AV143" i="22"/>
  <c r="AX143" i="22" s="1"/>
  <c r="AF143" i="22"/>
  <c r="Y143" i="22"/>
  <c r="T143" i="22"/>
  <c r="BL142" i="22"/>
  <c r="B142" i="22" s="1"/>
  <c r="BD142" i="22"/>
  <c r="BH142" i="22" s="1"/>
  <c r="BJ142" i="22" s="1"/>
  <c r="AV142" i="22"/>
  <c r="AX142" i="22" s="1"/>
  <c r="AP142" i="22"/>
  <c r="AF142" i="22"/>
  <c r="Y142" i="22"/>
  <c r="AN142" i="22" s="1"/>
  <c r="T142" i="22"/>
  <c r="BL141" i="22"/>
  <c r="B141" i="22" s="1"/>
  <c r="BD141" i="22"/>
  <c r="BH141" i="22" s="1"/>
  <c r="BJ141" i="22" s="1"/>
  <c r="AV141" i="22"/>
  <c r="AX141" i="22" s="1"/>
  <c r="AP141" i="22"/>
  <c r="AF141" i="22"/>
  <c r="Y141" i="22"/>
  <c r="AN141" i="22" s="1"/>
  <c r="T141" i="22"/>
  <c r="BL140" i="22"/>
  <c r="B140" i="22" s="1"/>
  <c r="BD140" i="22"/>
  <c r="BH140" i="22" s="1"/>
  <c r="BJ140" i="22" s="1"/>
  <c r="AV140" i="22"/>
  <c r="AX140" i="22" s="1"/>
  <c r="AP140" i="22"/>
  <c r="AF140" i="22"/>
  <c r="Y140" i="22"/>
  <c r="AN140" i="22" s="1"/>
  <c r="T140" i="22"/>
  <c r="BL139" i="22"/>
  <c r="B139" i="22" s="1"/>
  <c r="BD139" i="22"/>
  <c r="BH139" i="22" s="1"/>
  <c r="BJ139" i="22" s="1"/>
  <c r="AV139" i="22"/>
  <c r="AX139" i="22" s="1"/>
  <c r="AP139" i="22"/>
  <c r="AF139" i="22"/>
  <c r="Y139" i="22"/>
  <c r="AN139" i="22" s="1"/>
  <c r="T139" i="22"/>
  <c r="BL138" i="22"/>
  <c r="B138" i="22" s="1"/>
  <c r="BD138" i="22"/>
  <c r="BH138" i="22" s="1"/>
  <c r="BJ138" i="22" s="1"/>
  <c r="AV138" i="22"/>
  <c r="AX138" i="22" s="1"/>
  <c r="AP138" i="22"/>
  <c r="AF138" i="22"/>
  <c r="Y138" i="22"/>
  <c r="AN138" i="22" s="1"/>
  <c r="T138" i="22"/>
  <c r="BL137" i="22"/>
  <c r="B137" i="22" s="1"/>
  <c r="BD137" i="22"/>
  <c r="BH137" i="22" s="1"/>
  <c r="BJ137" i="22" s="1"/>
  <c r="AV137" i="22"/>
  <c r="AX137" i="22" s="1"/>
  <c r="AP137" i="22"/>
  <c r="AF137" i="22"/>
  <c r="Y137" i="22"/>
  <c r="AN137" i="22" s="1"/>
  <c r="T137" i="22"/>
  <c r="BL136" i="22"/>
  <c r="B136" i="22" s="1"/>
  <c r="BD136" i="22"/>
  <c r="BH136" i="22" s="1"/>
  <c r="BJ136" i="22" s="1"/>
  <c r="AV136" i="22"/>
  <c r="AX136" i="22" s="1"/>
  <c r="AP136" i="22"/>
  <c r="AF136" i="22"/>
  <c r="Y136" i="22"/>
  <c r="AD136" i="22" s="1"/>
  <c r="T136" i="22"/>
  <c r="BL135" i="22"/>
  <c r="B135" i="22" s="1"/>
  <c r="BD135" i="22"/>
  <c r="BH135" i="22" s="1"/>
  <c r="BJ135" i="22" s="1"/>
  <c r="AV135" i="22"/>
  <c r="AX135" i="22" s="1"/>
  <c r="AP135" i="22"/>
  <c r="AF135" i="22"/>
  <c r="Y135" i="22"/>
  <c r="T135" i="22"/>
  <c r="BL134" i="22"/>
  <c r="B134" i="22" s="1"/>
  <c r="BD134" i="22"/>
  <c r="BH134" i="22" s="1"/>
  <c r="BJ134" i="22" s="1"/>
  <c r="AV134" i="22"/>
  <c r="AX134" i="22" s="1"/>
  <c r="AP134" i="22"/>
  <c r="AF134" i="22"/>
  <c r="Y134" i="22"/>
  <c r="AN134" i="22" s="1"/>
  <c r="T134" i="22"/>
  <c r="BL133" i="22"/>
  <c r="B133" i="22" s="1"/>
  <c r="BD133" i="22"/>
  <c r="BH133" i="22" s="1"/>
  <c r="BJ133" i="22" s="1"/>
  <c r="AV133" i="22"/>
  <c r="AX133" i="22" s="1"/>
  <c r="AP133" i="22"/>
  <c r="AF133" i="22"/>
  <c r="Y133" i="22"/>
  <c r="AN133" i="22" s="1"/>
  <c r="T133" i="22"/>
  <c r="BL132" i="22"/>
  <c r="B132" i="22" s="1"/>
  <c r="BD132" i="22"/>
  <c r="BH132" i="22" s="1"/>
  <c r="BJ132" i="22" s="1"/>
  <c r="AV132" i="22"/>
  <c r="AX132" i="22" s="1"/>
  <c r="AP132" i="22"/>
  <c r="AF132" i="22"/>
  <c r="Y132" i="22"/>
  <c r="T132" i="22"/>
  <c r="BL131" i="22"/>
  <c r="B131" i="22" s="1"/>
  <c r="BD131" i="22"/>
  <c r="BH131" i="22" s="1"/>
  <c r="BJ131" i="22" s="1"/>
  <c r="AV131" i="22"/>
  <c r="AX131" i="22" s="1"/>
  <c r="AP131" i="22"/>
  <c r="AF131" i="22"/>
  <c r="Y131" i="22"/>
  <c r="AN131" i="22" s="1"/>
  <c r="T131" i="22"/>
  <c r="BL130" i="22"/>
  <c r="B130" i="22" s="1"/>
  <c r="BD130" i="22"/>
  <c r="BH130" i="22" s="1"/>
  <c r="BJ130" i="22" s="1"/>
  <c r="AV130" i="22"/>
  <c r="AX130" i="22" s="1"/>
  <c r="AP130" i="22"/>
  <c r="AF130" i="22"/>
  <c r="Y130" i="22"/>
  <c r="AN130" i="22" s="1"/>
  <c r="T130" i="22"/>
  <c r="BL129" i="22"/>
  <c r="B129" i="22" s="1"/>
  <c r="BD129" i="22"/>
  <c r="BH129" i="22" s="1"/>
  <c r="BJ129" i="22" s="1"/>
  <c r="AV129" i="22"/>
  <c r="AX129" i="22" s="1"/>
  <c r="AP129" i="22"/>
  <c r="AF129" i="22"/>
  <c r="Y129" i="22"/>
  <c r="AN129" i="22" s="1"/>
  <c r="T129" i="22"/>
  <c r="BL128" i="22"/>
  <c r="B128" i="22" s="1"/>
  <c r="BD128" i="22"/>
  <c r="BH128" i="22" s="1"/>
  <c r="BJ128" i="22" s="1"/>
  <c r="AV128" i="22"/>
  <c r="AX128" i="22" s="1"/>
  <c r="AP128" i="22"/>
  <c r="AF128" i="22"/>
  <c r="Y128" i="22"/>
  <c r="AD128" i="22" s="1"/>
  <c r="T128" i="22"/>
  <c r="BL127" i="22"/>
  <c r="B127" i="22" s="1"/>
  <c r="BD127" i="22"/>
  <c r="BH127" i="22" s="1"/>
  <c r="BJ127" i="22" s="1"/>
  <c r="AV127" i="22"/>
  <c r="AX127" i="22" s="1"/>
  <c r="AP127" i="22"/>
  <c r="AF127" i="22"/>
  <c r="Y127" i="22"/>
  <c r="T127" i="22"/>
  <c r="BL126" i="22"/>
  <c r="B126" i="22" s="1"/>
  <c r="BD126" i="22"/>
  <c r="BH126" i="22" s="1"/>
  <c r="BJ126" i="22" s="1"/>
  <c r="AV126" i="22"/>
  <c r="AX126" i="22" s="1"/>
  <c r="AP126" i="22"/>
  <c r="AF126" i="22"/>
  <c r="Z126" i="22"/>
  <c r="Y126" i="22"/>
  <c r="AN126" i="22" s="1"/>
  <c r="BL125" i="22"/>
  <c r="B125" i="22" s="1"/>
  <c r="BD125" i="22"/>
  <c r="BH125" i="22" s="1"/>
  <c r="BJ125" i="22" s="1"/>
  <c r="AV125" i="22"/>
  <c r="AX125" i="22" s="1"/>
  <c r="AP125" i="22"/>
  <c r="AF125" i="22"/>
  <c r="Z125" i="22"/>
  <c r="Y125" i="22"/>
  <c r="BL124" i="22"/>
  <c r="B124" i="22" s="1"/>
  <c r="BD124" i="22"/>
  <c r="BH124" i="22" s="1"/>
  <c r="BJ124" i="22" s="1"/>
  <c r="AV124" i="22"/>
  <c r="AX124" i="22" s="1"/>
  <c r="AP124" i="22"/>
  <c r="AF124" i="22"/>
  <c r="Z124" i="22"/>
  <c r="Y124" i="22"/>
  <c r="AD124" i="22" s="1"/>
  <c r="BL123" i="22"/>
  <c r="B123" i="22" s="1"/>
  <c r="BD123" i="22"/>
  <c r="BH123" i="22" s="1"/>
  <c r="BJ123" i="22" s="1"/>
  <c r="AV123" i="22"/>
  <c r="AX123" i="22" s="1"/>
  <c r="AP123" i="22"/>
  <c r="AF123" i="22"/>
  <c r="Y123" i="22"/>
  <c r="AN123" i="22" s="1"/>
  <c r="T123" i="22"/>
  <c r="BL122" i="22"/>
  <c r="B122" i="22" s="1"/>
  <c r="BD122" i="22"/>
  <c r="BH122" i="22" s="1"/>
  <c r="BJ122" i="22" s="1"/>
  <c r="AV122" i="22"/>
  <c r="AX122" i="22" s="1"/>
  <c r="AP122" i="22"/>
  <c r="AF122" i="22"/>
  <c r="Y122" i="22"/>
  <c r="AN122" i="22" s="1"/>
  <c r="T122" i="22"/>
  <c r="BL121" i="22"/>
  <c r="B121" i="22" s="1"/>
  <c r="BD121" i="22"/>
  <c r="BH121" i="22" s="1"/>
  <c r="BJ121" i="22" s="1"/>
  <c r="AV121" i="22"/>
  <c r="AX121" i="22" s="1"/>
  <c r="AP121" i="22"/>
  <c r="AF121" i="22"/>
  <c r="Y121" i="22"/>
  <c r="AN121" i="22" s="1"/>
  <c r="T121" i="22"/>
  <c r="BL120" i="22"/>
  <c r="B120" i="22" s="1"/>
  <c r="BD120" i="22"/>
  <c r="BH120" i="22" s="1"/>
  <c r="BJ120" i="22" s="1"/>
  <c r="AV120" i="22"/>
  <c r="AX120" i="22" s="1"/>
  <c r="AP120" i="22"/>
  <c r="AF120" i="22"/>
  <c r="Y120" i="22"/>
  <c r="AN120" i="22" s="1"/>
  <c r="T120" i="22"/>
  <c r="BL119" i="22"/>
  <c r="B119" i="22" s="1"/>
  <c r="BD119" i="22"/>
  <c r="BH119" i="22" s="1"/>
  <c r="BJ119" i="22" s="1"/>
  <c r="AV119" i="22"/>
  <c r="AX119" i="22" s="1"/>
  <c r="AP119" i="22"/>
  <c r="AF119" i="22"/>
  <c r="Y119" i="22"/>
  <c r="AN119" i="22" s="1"/>
  <c r="T119" i="22"/>
  <c r="BL118" i="22"/>
  <c r="B118" i="22" s="1"/>
  <c r="BD118" i="22"/>
  <c r="BH118" i="22" s="1"/>
  <c r="BJ118" i="22" s="1"/>
  <c r="AV118" i="22"/>
  <c r="AX118" i="22" s="1"/>
  <c r="AP118" i="22"/>
  <c r="AF118" i="22"/>
  <c r="Y118" i="22"/>
  <c r="AN118" i="22" s="1"/>
  <c r="T118" i="22"/>
  <c r="BL117" i="22"/>
  <c r="B117" i="22" s="1"/>
  <c r="BD117" i="22"/>
  <c r="BH117" i="22" s="1"/>
  <c r="BJ117" i="22" s="1"/>
  <c r="AV117" i="22"/>
  <c r="AX117" i="22" s="1"/>
  <c r="AP117" i="22"/>
  <c r="AF117" i="22"/>
  <c r="Y117" i="22"/>
  <c r="AN117" i="22" s="1"/>
  <c r="T117" i="22"/>
  <c r="BL116" i="22"/>
  <c r="B116" i="22" s="1"/>
  <c r="BD116" i="22"/>
  <c r="BH116" i="22" s="1"/>
  <c r="BJ116" i="22" s="1"/>
  <c r="AV116" i="22"/>
  <c r="AX116" i="22" s="1"/>
  <c r="AP116" i="22"/>
  <c r="AF116" i="22"/>
  <c r="Y116" i="22"/>
  <c r="AN116" i="22" s="1"/>
  <c r="T116" i="22"/>
  <c r="BL115" i="22"/>
  <c r="B115" i="22" s="1"/>
  <c r="BD115" i="22"/>
  <c r="BH115" i="22" s="1"/>
  <c r="BJ115" i="22" s="1"/>
  <c r="AV115" i="22"/>
  <c r="AX115" i="22" s="1"/>
  <c r="AP115" i="22"/>
  <c r="AF115" i="22"/>
  <c r="Y115" i="22"/>
  <c r="AN115" i="22" s="1"/>
  <c r="T115" i="22"/>
  <c r="BL114" i="22"/>
  <c r="B114" i="22" s="1"/>
  <c r="BD114" i="22"/>
  <c r="BH114" i="22" s="1"/>
  <c r="BJ114" i="22" s="1"/>
  <c r="AV114" i="22"/>
  <c r="AX114" i="22" s="1"/>
  <c r="AP114" i="22"/>
  <c r="AF114" i="22"/>
  <c r="Y114" i="22"/>
  <c r="AN114" i="22" s="1"/>
  <c r="T114" i="22"/>
  <c r="BL113" i="22"/>
  <c r="B113" i="22" s="1"/>
  <c r="BD113" i="22"/>
  <c r="BH113" i="22" s="1"/>
  <c r="BJ113" i="22" s="1"/>
  <c r="AV113" i="22"/>
  <c r="AX113" i="22" s="1"/>
  <c r="AP113" i="22"/>
  <c r="AF113" i="22"/>
  <c r="Y113" i="22"/>
  <c r="AN113" i="22" s="1"/>
  <c r="T113" i="22"/>
  <c r="BL112" i="22"/>
  <c r="B112" i="22" s="1"/>
  <c r="BD112" i="22"/>
  <c r="BH112" i="22" s="1"/>
  <c r="BJ112" i="22" s="1"/>
  <c r="AV112" i="22"/>
  <c r="AX112" i="22" s="1"/>
  <c r="AP112" i="22"/>
  <c r="AF112" i="22"/>
  <c r="Y112" i="22"/>
  <c r="AN112" i="22" s="1"/>
  <c r="T112" i="22"/>
  <c r="BL111" i="22"/>
  <c r="B111" i="22" s="1"/>
  <c r="BD111" i="22"/>
  <c r="BH111" i="22" s="1"/>
  <c r="BJ111" i="22" s="1"/>
  <c r="AV111" i="22"/>
  <c r="AX111" i="22" s="1"/>
  <c r="AP111" i="22"/>
  <c r="AF111" i="22"/>
  <c r="Y111" i="22"/>
  <c r="AN111" i="22" s="1"/>
  <c r="T111" i="22"/>
  <c r="BL110" i="22"/>
  <c r="B110" i="22" s="1"/>
  <c r="BD110" i="22"/>
  <c r="BH110" i="22" s="1"/>
  <c r="BJ110" i="22" s="1"/>
  <c r="AV110" i="22"/>
  <c r="AX110" i="22" s="1"/>
  <c r="AP110" i="22"/>
  <c r="AF110" i="22"/>
  <c r="Y110" i="22"/>
  <c r="AN110" i="22" s="1"/>
  <c r="T110" i="22"/>
  <c r="BL109" i="22"/>
  <c r="B109" i="22" s="1"/>
  <c r="BD109" i="22"/>
  <c r="BH109" i="22" s="1"/>
  <c r="BJ109" i="22" s="1"/>
  <c r="AV109" i="22"/>
  <c r="AX109" i="22" s="1"/>
  <c r="AP109" i="22"/>
  <c r="AF109" i="22"/>
  <c r="Y109" i="22"/>
  <c r="AN109" i="22" s="1"/>
  <c r="T109" i="22"/>
  <c r="BL108" i="22"/>
  <c r="B108" i="22" s="1"/>
  <c r="BD108" i="22"/>
  <c r="BH108" i="22" s="1"/>
  <c r="BJ108" i="22" s="1"/>
  <c r="AV108" i="22"/>
  <c r="AX108" i="22" s="1"/>
  <c r="AP108" i="22"/>
  <c r="AF108" i="22"/>
  <c r="Y108" i="22"/>
  <c r="AD108" i="22" s="1"/>
  <c r="T108" i="22"/>
  <c r="BL107" i="22"/>
  <c r="B107" i="22" s="1"/>
  <c r="BD107" i="22"/>
  <c r="BH107" i="22" s="1"/>
  <c r="BJ107" i="22" s="1"/>
  <c r="AV107" i="22"/>
  <c r="AX107" i="22" s="1"/>
  <c r="AP107" i="22"/>
  <c r="AF107" i="22"/>
  <c r="Y107" i="22"/>
  <c r="T107" i="22"/>
  <c r="BL106" i="22"/>
  <c r="B106" i="22" s="1"/>
  <c r="BD106" i="22"/>
  <c r="BH106" i="22" s="1"/>
  <c r="BJ106" i="22" s="1"/>
  <c r="AV106" i="22"/>
  <c r="AX106" i="22" s="1"/>
  <c r="AP106" i="22"/>
  <c r="AF106" i="22"/>
  <c r="Y106" i="22"/>
  <c r="AN106" i="22" s="1"/>
  <c r="T106" i="22"/>
  <c r="BL105" i="22"/>
  <c r="B105" i="22" s="1"/>
  <c r="BD105" i="22"/>
  <c r="BH105" i="22" s="1"/>
  <c r="BJ105" i="22" s="1"/>
  <c r="AV105" i="22"/>
  <c r="AX105" i="22" s="1"/>
  <c r="AP105" i="22"/>
  <c r="AI105" i="22"/>
  <c r="AF105" i="22"/>
  <c r="Y105" i="22"/>
  <c r="T105" i="22"/>
  <c r="BL104" i="22"/>
  <c r="B104" i="22" s="1"/>
  <c r="BD104" i="22"/>
  <c r="BH104" i="22" s="1"/>
  <c r="BJ104" i="22" s="1"/>
  <c r="AV104" i="22"/>
  <c r="AX104" i="22" s="1"/>
  <c r="AP104" i="22"/>
  <c r="AF104" i="22"/>
  <c r="Y104" i="22"/>
  <c r="AN104" i="22" s="1"/>
  <c r="T104" i="22"/>
  <c r="BL103" i="22"/>
  <c r="B103" i="22" s="1"/>
  <c r="BD103" i="22"/>
  <c r="BH103" i="22" s="1"/>
  <c r="BJ103" i="22" s="1"/>
  <c r="AV103" i="22"/>
  <c r="AX103" i="22" s="1"/>
  <c r="AP103" i="22"/>
  <c r="AF103" i="22"/>
  <c r="Y103" i="22"/>
  <c r="AN103" i="22" s="1"/>
  <c r="T103" i="22"/>
  <c r="BL102" i="22"/>
  <c r="B102" i="22" s="1"/>
  <c r="BD102" i="22"/>
  <c r="BH102" i="22" s="1"/>
  <c r="BJ102" i="22" s="1"/>
  <c r="AV102" i="22"/>
  <c r="AX102" i="22" s="1"/>
  <c r="AP102" i="22"/>
  <c r="AF102" i="22"/>
  <c r="Y102" i="22"/>
  <c r="AN102" i="22" s="1"/>
  <c r="T102" i="22"/>
  <c r="BL101" i="22"/>
  <c r="B101" i="22" s="1"/>
  <c r="BD101" i="22"/>
  <c r="BH101" i="22" s="1"/>
  <c r="BJ101" i="22" s="1"/>
  <c r="AV101" i="22"/>
  <c r="AX101" i="22" s="1"/>
  <c r="AP101" i="22"/>
  <c r="AF101" i="22"/>
  <c r="Y101" i="22"/>
  <c r="AN101" i="22" s="1"/>
  <c r="T101" i="22"/>
  <c r="BL100" i="22"/>
  <c r="B100" i="22" s="1"/>
  <c r="BD100" i="22"/>
  <c r="BH100" i="22" s="1"/>
  <c r="BJ100" i="22" s="1"/>
  <c r="AV100" i="22"/>
  <c r="AX100" i="22" s="1"/>
  <c r="AP100" i="22"/>
  <c r="AF100" i="22"/>
  <c r="Y100" i="22"/>
  <c r="AD100" i="22" s="1"/>
  <c r="T100" i="22"/>
  <c r="BL99" i="22"/>
  <c r="B99" i="22" s="1"/>
  <c r="BD99" i="22"/>
  <c r="BH99" i="22" s="1"/>
  <c r="BJ99" i="22" s="1"/>
  <c r="AV99" i="22"/>
  <c r="AX99" i="22" s="1"/>
  <c r="AP99" i="22"/>
  <c r="AF99" i="22"/>
  <c r="Y99" i="22"/>
  <c r="AN99" i="22" s="1"/>
  <c r="T99" i="22"/>
  <c r="BL98" i="22"/>
  <c r="B98" i="22" s="1"/>
  <c r="BD98" i="22"/>
  <c r="BH98" i="22" s="1"/>
  <c r="BJ98" i="22" s="1"/>
  <c r="AV98" i="22"/>
  <c r="AX98" i="22" s="1"/>
  <c r="AP98" i="22"/>
  <c r="AF98" i="22"/>
  <c r="Y98" i="22"/>
  <c r="AN98" i="22" s="1"/>
  <c r="T98" i="22"/>
  <c r="BL97" i="22"/>
  <c r="B97" i="22" s="1"/>
  <c r="BD97" i="22"/>
  <c r="BH97" i="22" s="1"/>
  <c r="BJ97" i="22" s="1"/>
  <c r="AV97" i="22"/>
  <c r="AX97" i="22" s="1"/>
  <c r="AP97" i="22"/>
  <c r="AF97" i="22"/>
  <c r="Y97" i="22"/>
  <c r="AN97" i="22" s="1"/>
  <c r="T97" i="22"/>
  <c r="BL96" i="22"/>
  <c r="B96" i="22" s="1"/>
  <c r="BD96" i="22"/>
  <c r="BH96" i="22" s="1"/>
  <c r="BJ96" i="22" s="1"/>
  <c r="AV96" i="22"/>
  <c r="AX96" i="22" s="1"/>
  <c r="AP96" i="22"/>
  <c r="AF96" i="22"/>
  <c r="Y96" i="22"/>
  <c r="AN96" i="22" s="1"/>
  <c r="T96" i="22"/>
  <c r="BL95" i="22"/>
  <c r="B95" i="22" s="1"/>
  <c r="BD95" i="22"/>
  <c r="BH95" i="22" s="1"/>
  <c r="BJ95" i="22" s="1"/>
  <c r="AV95" i="22"/>
  <c r="AX95" i="22" s="1"/>
  <c r="AP95" i="22"/>
  <c r="AF95" i="22"/>
  <c r="Y95" i="22"/>
  <c r="AN95" i="22" s="1"/>
  <c r="T95" i="22"/>
  <c r="BL94" i="22"/>
  <c r="B94" i="22" s="1"/>
  <c r="BD94" i="22"/>
  <c r="BH94" i="22" s="1"/>
  <c r="BJ94" i="22" s="1"/>
  <c r="AV94" i="22"/>
  <c r="AX94" i="22" s="1"/>
  <c r="AP94" i="22"/>
  <c r="AF94" i="22"/>
  <c r="Y94" i="22"/>
  <c r="AN94" i="22" s="1"/>
  <c r="T94" i="22"/>
  <c r="BL93" i="22"/>
  <c r="B93" i="22" s="1"/>
  <c r="BD93" i="22"/>
  <c r="BH93" i="22" s="1"/>
  <c r="BJ93" i="22" s="1"/>
  <c r="AV93" i="22"/>
  <c r="AX93" i="22" s="1"/>
  <c r="AP93" i="22"/>
  <c r="AF93" i="22"/>
  <c r="Z93" i="22"/>
  <c r="Y93" i="22"/>
  <c r="AD93" i="22" s="1"/>
  <c r="BL92" i="22"/>
  <c r="B92" i="22" s="1"/>
  <c r="BD92" i="22"/>
  <c r="BH92" i="22" s="1"/>
  <c r="BJ92" i="22" s="1"/>
  <c r="AV92" i="22"/>
  <c r="AX92" i="22" s="1"/>
  <c r="AP92" i="22"/>
  <c r="AF92" i="22"/>
  <c r="Y92" i="22"/>
  <c r="AN92" i="22" s="1"/>
  <c r="T92" i="22"/>
  <c r="BL91" i="22"/>
  <c r="B91" i="22" s="1"/>
  <c r="BD91" i="22"/>
  <c r="BH91" i="22" s="1"/>
  <c r="BJ91" i="22" s="1"/>
  <c r="AV91" i="22"/>
  <c r="AX91" i="22" s="1"/>
  <c r="AP91" i="22"/>
  <c r="AF91" i="22"/>
  <c r="Y91" i="22"/>
  <c r="T91" i="22"/>
  <c r="BL90" i="22"/>
  <c r="B90" i="22" s="1"/>
  <c r="BD90" i="22"/>
  <c r="BH90" i="22" s="1"/>
  <c r="BJ90" i="22" s="1"/>
  <c r="AV90" i="22"/>
  <c r="AX90" i="22" s="1"/>
  <c r="AP90" i="22"/>
  <c r="AF90" i="22"/>
  <c r="Y90" i="22"/>
  <c r="AN90" i="22" s="1"/>
  <c r="T90" i="22"/>
  <c r="BL89" i="22"/>
  <c r="B89" i="22" s="1"/>
  <c r="BD89" i="22"/>
  <c r="BH89" i="22" s="1"/>
  <c r="BJ89" i="22" s="1"/>
  <c r="AV89" i="22"/>
  <c r="AX89" i="22" s="1"/>
  <c r="AP89" i="22"/>
  <c r="AF89" i="22"/>
  <c r="Y89" i="22"/>
  <c r="AN89" i="22" s="1"/>
  <c r="T89" i="22"/>
  <c r="BL88" i="22"/>
  <c r="B88" i="22" s="1"/>
  <c r="BD88" i="22"/>
  <c r="BH88" i="22" s="1"/>
  <c r="BJ88" i="22" s="1"/>
  <c r="AV88" i="22"/>
  <c r="AX88" i="22" s="1"/>
  <c r="AP88" i="22"/>
  <c r="AF88" i="22"/>
  <c r="Y88" i="22"/>
  <c r="AN88" i="22" s="1"/>
  <c r="T88" i="22"/>
  <c r="BL87" i="22"/>
  <c r="B87" i="22" s="1"/>
  <c r="BD87" i="22"/>
  <c r="BH87" i="22" s="1"/>
  <c r="BJ87" i="22" s="1"/>
  <c r="AV87" i="22"/>
  <c r="AX87" i="22" s="1"/>
  <c r="AP87" i="22"/>
  <c r="AF87" i="22"/>
  <c r="Y87" i="22"/>
  <c r="AD87" i="22" s="1"/>
  <c r="T87" i="22"/>
  <c r="BL86" i="22"/>
  <c r="B86" i="22" s="1"/>
  <c r="BD86" i="22"/>
  <c r="BH86" i="22" s="1"/>
  <c r="BJ86" i="22" s="1"/>
  <c r="AV86" i="22"/>
  <c r="AX86" i="22" s="1"/>
  <c r="AP86" i="22"/>
  <c r="AF86" i="22"/>
  <c r="Y86" i="22"/>
  <c r="AN86" i="22" s="1"/>
  <c r="T86" i="22"/>
  <c r="BL85" i="22"/>
  <c r="B85" i="22" s="1"/>
  <c r="BD85" i="22"/>
  <c r="BH85" i="22" s="1"/>
  <c r="BJ85" i="22" s="1"/>
  <c r="AV85" i="22"/>
  <c r="AX85" i="22" s="1"/>
  <c r="AP85" i="22"/>
  <c r="AF85" i="22"/>
  <c r="Z85" i="22"/>
  <c r="Y85" i="22"/>
  <c r="AN85" i="22" s="1"/>
  <c r="BL84" i="22"/>
  <c r="B84" i="22" s="1"/>
  <c r="BD84" i="22"/>
  <c r="BH84" i="22" s="1"/>
  <c r="BJ84" i="22" s="1"/>
  <c r="AV84" i="22"/>
  <c r="AX84" i="22" s="1"/>
  <c r="AP84" i="22"/>
  <c r="AF84" i="22"/>
  <c r="Z84" i="22"/>
  <c r="Y84" i="22"/>
  <c r="AD84" i="22" s="1"/>
  <c r="BL83" i="22"/>
  <c r="B83" i="22" s="1"/>
  <c r="BD83" i="22"/>
  <c r="BH83" i="22" s="1"/>
  <c r="BJ83" i="22" s="1"/>
  <c r="AV83" i="22"/>
  <c r="AX83" i="22" s="1"/>
  <c r="AP83" i="22"/>
  <c r="AF83" i="22"/>
  <c r="Z83" i="22"/>
  <c r="Y83" i="22"/>
  <c r="BL82" i="22"/>
  <c r="B82" i="22" s="1"/>
  <c r="BD82" i="22"/>
  <c r="BH82" i="22" s="1"/>
  <c r="BJ82" i="22" s="1"/>
  <c r="AV82" i="22"/>
  <c r="AX82" i="22" s="1"/>
  <c r="AP82" i="22"/>
  <c r="AF82" i="22"/>
  <c r="Y82" i="22"/>
  <c r="AD82" i="22" s="1"/>
  <c r="T82" i="22"/>
  <c r="BL81" i="22"/>
  <c r="B81" i="22" s="1"/>
  <c r="BD81" i="22"/>
  <c r="BH81" i="22" s="1"/>
  <c r="BJ81" i="22" s="1"/>
  <c r="AV81" i="22"/>
  <c r="AX81" i="22" s="1"/>
  <c r="AP81" i="22"/>
  <c r="AF81" i="22"/>
  <c r="Z81" i="22"/>
  <c r="Y81" i="22"/>
  <c r="AN81" i="22" s="1"/>
  <c r="BL80" i="22"/>
  <c r="B80" i="22" s="1"/>
  <c r="BD80" i="22"/>
  <c r="BH80" i="22" s="1"/>
  <c r="BJ80" i="22" s="1"/>
  <c r="AV80" i="22"/>
  <c r="AX80" i="22" s="1"/>
  <c r="AP80" i="22"/>
  <c r="AF80" i="22"/>
  <c r="Z80" i="22"/>
  <c r="Y80" i="22"/>
  <c r="AN80" i="22" s="1"/>
  <c r="BL79" i="22"/>
  <c r="B79" i="22" s="1"/>
  <c r="BD79" i="22"/>
  <c r="BH79" i="22" s="1"/>
  <c r="BJ79" i="22" s="1"/>
  <c r="AV79" i="22"/>
  <c r="AX79" i="22" s="1"/>
  <c r="AP79" i="22"/>
  <c r="AF79" i="22"/>
  <c r="Z79" i="22"/>
  <c r="Y79" i="22"/>
  <c r="AN79" i="22" s="1"/>
  <c r="BL78" i="22"/>
  <c r="B78" i="22" s="1"/>
  <c r="BD78" i="22"/>
  <c r="BH78" i="22" s="1"/>
  <c r="BJ78" i="22" s="1"/>
  <c r="AV78" i="22"/>
  <c r="AX78" i="22" s="1"/>
  <c r="AP78" i="22"/>
  <c r="AF78" i="22"/>
  <c r="Y78" i="22"/>
  <c r="AD78" i="22" s="1"/>
  <c r="T78" i="22"/>
  <c r="BL77" i="22"/>
  <c r="B77" i="22" s="1"/>
  <c r="BD77" i="22"/>
  <c r="BH77" i="22" s="1"/>
  <c r="BJ77" i="22" s="1"/>
  <c r="AV77" i="22"/>
  <c r="AX77" i="22" s="1"/>
  <c r="AP77" i="22"/>
  <c r="AF77" i="22"/>
  <c r="Y77" i="22"/>
  <c r="AN77" i="22" s="1"/>
  <c r="T77" i="22"/>
  <c r="BL76" i="22"/>
  <c r="B76" i="22" s="1"/>
  <c r="BD76" i="22"/>
  <c r="BH76" i="22" s="1"/>
  <c r="BJ76" i="22" s="1"/>
  <c r="AV76" i="22"/>
  <c r="AX76" i="22" s="1"/>
  <c r="AP76" i="22"/>
  <c r="AF76" i="22"/>
  <c r="Z76" i="22"/>
  <c r="Y76" i="22"/>
  <c r="AN76" i="22" s="1"/>
  <c r="BL75" i="22"/>
  <c r="B75" i="22" s="1"/>
  <c r="BD75" i="22"/>
  <c r="BH75" i="22" s="1"/>
  <c r="BJ75" i="22" s="1"/>
  <c r="AV75" i="22"/>
  <c r="AX75" i="22" s="1"/>
  <c r="AP75" i="22"/>
  <c r="AF75" i="22"/>
  <c r="Z75" i="22"/>
  <c r="Y75" i="22"/>
  <c r="AN75" i="22" s="1"/>
  <c r="BL74" i="22"/>
  <c r="B74" i="22" s="1"/>
  <c r="BD74" i="22"/>
  <c r="BH74" i="22" s="1"/>
  <c r="BJ74" i="22" s="1"/>
  <c r="AV74" i="22"/>
  <c r="AX74" i="22" s="1"/>
  <c r="AP74" i="22"/>
  <c r="AF74" i="22"/>
  <c r="Y74" i="22"/>
  <c r="AD74" i="22" s="1"/>
  <c r="T74" i="22"/>
  <c r="BL73" i="22"/>
  <c r="B73" i="22" s="1"/>
  <c r="BD73" i="22"/>
  <c r="BH73" i="22" s="1"/>
  <c r="BJ73" i="22" s="1"/>
  <c r="AV73" i="22"/>
  <c r="AX73" i="22" s="1"/>
  <c r="AP73" i="22"/>
  <c r="AF73" i="22"/>
  <c r="Y73" i="22"/>
  <c r="AN73" i="22" s="1"/>
  <c r="T73" i="22"/>
  <c r="BL72" i="22"/>
  <c r="B72" i="22" s="1"/>
  <c r="BD72" i="22"/>
  <c r="BH72" i="22" s="1"/>
  <c r="BJ72" i="22" s="1"/>
  <c r="AV72" i="22"/>
  <c r="AX72" i="22" s="1"/>
  <c r="AP72" i="22"/>
  <c r="AF72" i="22"/>
  <c r="Y72" i="22"/>
  <c r="AD72" i="22" s="1"/>
  <c r="T72" i="22"/>
  <c r="BL71" i="22"/>
  <c r="B71" i="22" s="1"/>
  <c r="BD71" i="22"/>
  <c r="BH71" i="22" s="1"/>
  <c r="BJ71" i="22" s="1"/>
  <c r="AV71" i="22"/>
  <c r="AX71" i="22" s="1"/>
  <c r="AP71" i="22"/>
  <c r="AF71" i="22"/>
  <c r="Y71" i="22"/>
  <c r="AN71" i="22" s="1"/>
  <c r="T71" i="22"/>
  <c r="BL70" i="22"/>
  <c r="B70" i="22" s="1"/>
  <c r="BD70" i="22"/>
  <c r="BH70" i="22" s="1"/>
  <c r="BJ70" i="22" s="1"/>
  <c r="AV70" i="22"/>
  <c r="AX70" i="22" s="1"/>
  <c r="AP70" i="22"/>
  <c r="AF70" i="22"/>
  <c r="Z70" i="22"/>
  <c r="Y70" i="22"/>
  <c r="BL69" i="22"/>
  <c r="B69" i="22" s="1"/>
  <c r="BD69" i="22"/>
  <c r="BH69" i="22" s="1"/>
  <c r="BJ69" i="22" s="1"/>
  <c r="AV69" i="22"/>
  <c r="AX69" i="22" s="1"/>
  <c r="AP69" i="22"/>
  <c r="AF69" i="22"/>
  <c r="Z69" i="22"/>
  <c r="Y69" i="22"/>
  <c r="AD69" i="22" s="1"/>
  <c r="BL68" i="22"/>
  <c r="B68" i="22" s="1"/>
  <c r="BD68" i="22"/>
  <c r="BH68" i="22" s="1"/>
  <c r="BJ68" i="22" s="1"/>
  <c r="AV68" i="22"/>
  <c r="AX68" i="22" s="1"/>
  <c r="AP68" i="22"/>
  <c r="AF68" i="22"/>
  <c r="Y68" i="22"/>
  <c r="AD68" i="22" s="1"/>
  <c r="T68" i="22"/>
  <c r="BL67" i="22"/>
  <c r="B67" i="22" s="1"/>
  <c r="BD67" i="22"/>
  <c r="BH67" i="22" s="1"/>
  <c r="BJ67" i="22" s="1"/>
  <c r="AV67" i="22"/>
  <c r="AX67" i="22" s="1"/>
  <c r="AP67" i="22"/>
  <c r="AF67" i="22"/>
  <c r="Y67" i="22"/>
  <c r="T67" i="22"/>
  <c r="BL66" i="22"/>
  <c r="B66" i="22" s="1"/>
  <c r="BD66" i="22"/>
  <c r="BH66" i="22" s="1"/>
  <c r="BJ66" i="22" s="1"/>
  <c r="AV66" i="22"/>
  <c r="AX66" i="22" s="1"/>
  <c r="AP66" i="22"/>
  <c r="AF66" i="22"/>
  <c r="Z66" i="22"/>
  <c r="Y66" i="22"/>
  <c r="AN66" i="22" s="1"/>
  <c r="BL65" i="22"/>
  <c r="B65" i="22" s="1"/>
  <c r="BD65" i="22"/>
  <c r="BH65" i="22" s="1"/>
  <c r="BJ65" i="22" s="1"/>
  <c r="AV65" i="22"/>
  <c r="AX65" i="22" s="1"/>
  <c r="AP65" i="22"/>
  <c r="AF65" i="22"/>
  <c r="Z65" i="22"/>
  <c r="Y65" i="22"/>
  <c r="AN65" i="22" s="1"/>
  <c r="BL64" i="22"/>
  <c r="B64" i="22" s="1"/>
  <c r="BD64" i="22"/>
  <c r="BH64" i="22" s="1"/>
  <c r="BJ64" i="22" s="1"/>
  <c r="AV64" i="22"/>
  <c r="AX64" i="22" s="1"/>
  <c r="AP64" i="22"/>
  <c r="AF64" i="22"/>
  <c r="Y64" i="22"/>
  <c r="AN64" i="22" s="1"/>
  <c r="T64" i="22"/>
  <c r="BL63" i="22"/>
  <c r="B63" i="22" s="1"/>
  <c r="BD63" i="22"/>
  <c r="BH63" i="22" s="1"/>
  <c r="BJ63" i="22" s="1"/>
  <c r="AV63" i="22"/>
  <c r="AX63" i="22" s="1"/>
  <c r="AP63" i="22"/>
  <c r="AF63" i="22"/>
  <c r="Z63" i="22"/>
  <c r="Y63" i="22"/>
  <c r="AN63" i="22" s="1"/>
  <c r="BL62" i="22"/>
  <c r="B62" i="22" s="1"/>
  <c r="BD62" i="22"/>
  <c r="BH62" i="22" s="1"/>
  <c r="BJ62" i="22" s="1"/>
  <c r="AV62" i="22"/>
  <c r="AX62" i="22" s="1"/>
  <c r="AP62" i="22"/>
  <c r="AF62" i="22"/>
  <c r="Z62" i="22"/>
  <c r="Y62" i="22"/>
  <c r="AN62" i="22" s="1"/>
  <c r="BL61" i="22"/>
  <c r="B61" i="22" s="1"/>
  <c r="BD61" i="22"/>
  <c r="BH61" i="22" s="1"/>
  <c r="BJ61" i="22" s="1"/>
  <c r="AV61" i="22"/>
  <c r="AX61" i="22" s="1"/>
  <c r="AP61" i="22"/>
  <c r="AF61" i="22"/>
  <c r="Z61" i="22"/>
  <c r="Y61" i="22"/>
  <c r="AN61" i="22" s="1"/>
  <c r="BL60" i="22"/>
  <c r="B60" i="22" s="1"/>
  <c r="BD60" i="22"/>
  <c r="BH60" i="22" s="1"/>
  <c r="BJ60" i="22" s="1"/>
  <c r="AV60" i="22"/>
  <c r="AX60" i="22" s="1"/>
  <c r="AP60" i="22"/>
  <c r="AF60" i="22"/>
  <c r="Z60" i="22"/>
  <c r="Y60" i="22"/>
  <c r="AD60" i="22" s="1"/>
  <c r="BL59" i="22"/>
  <c r="B59" i="22" s="1"/>
  <c r="BD59" i="22"/>
  <c r="BH59" i="22" s="1"/>
  <c r="BJ59" i="22" s="1"/>
  <c r="AV59" i="22"/>
  <c r="AX59" i="22" s="1"/>
  <c r="AP59" i="22"/>
  <c r="AF59" i="22"/>
  <c r="Z59" i="22"/>
  <c r="Y59" i="22"/>
  <c r="AD59" i="22" s="1"/>
  <c r="BL58" i="22"/>
  <c r="B58" i="22" s="1"/>
  <c r="BD58" i="22"/>
  <c r="BH58" i="22" s="1"/>
  <c r="BJ58" i="22" s="1"/>
  <c r="AV58" i="22"/>
  <c r="AX58" i="22" s="1"/>
  <c r="AP58" i="22"/>
  <c r="AF58" i="22"/>
  <c r="Z58" i="22"/>
  <c r="Y58" i="22"/>
  <c r="AN58" i="22" s="1"/>
  <c r="BL57" i="22"/>
  <c r="B57" i="22" s="1"/>
  <c r="BD57" i="22"/>
  <c r="BH57" i="22" s="1"/>
  <c r="BJ57" i="22" s="1"/>
  <c r="AV57" i="22"/>
  <c r="AX57" i="22" s="1"/>
  <c r="AP57" i="22"/>
  <c r="AF57" i="22"/>
  <c r="Z57" i="22"/>
  <c r="Y57" i="22"/>
  <c r="AN57" i="22" s="1"/>
  <c r="BL56" i="22"/>
  <c r="B56" i="22" s="1"/>
  <c r="BD56" i="22"/>
  <c r="BH56" i="22" s="1"/>
  <c r="BJ56" i="22" s="1"/>
  <c r="AV56" i="22"/>
  <c r="AX56" i="22" s="1"/>
  <c r="AP56" i="22"/>
  <c r="AF56" i="22"/>
  <c r="Y56" i="22"/>
  <c r="AN56" i="22" s="1"/>
  <c r="T56" i="22"/>
  <c r="BL55" i="22"/>
  <c r="B55" i="22" s="1"/>
  <c r="BD55" i="22"/>
  <c r="BH55" i="22" s="1"/>
  <c r="BJ55" i="22" s="1"/>
  <c r="AV55" i="22"/>
  <c r="AX55" i="22" s="1"/>
  <c r="AP55" i="22"/>
  <c r="AF55" i="22"/>
  <c r="Y55" i="22"/>
  <c r="AN55" i="22" s="1"/>
  <c r="T55" i="22"/>
  <c r="BL54" i="22"/>
  <c r="B54" i="22" s="1"/>
  <c r="BD54" i="22"/>
  <c r="BH54" i="22" s="1"/>
  <c r="BJ54" i="22" s="1"/>
  <c r="AV54" i="22"/>
  <c r="AX54" i="22" s="1"/>
  <c r="AP54" i="22"/>
  <c r="AF54" i="22"/>
  <c r="Y54" i="22"/>
  <c r="AN54" i="22" s="1"/>
  <c r="T54" i="22"/>
  <c r="BL53" i="22"/>
  <c r="B53" i="22" s="1"/>
  <c r="BD53" i="22"/>
  <c r="BH53" i="22" s="1"/>
  <c r="BJ53" i="22" s="1"/>
  <c r="AV53" i="22"/>
  <c r="AX53" i="22" s="1"/>
  <c r="AP53" i="22"/>
  <c r="AF53" i="22"/>
  <c r="Z53" i="22"/>
  <c r="Y53" i="22"/>
  <c r="AD53" i="22" s="1"/>
  <c r="BL52" i="22"/>
  <c r="B52" i="22" s="1"/>
  <c r="BD52" i="22"/>
  <c r="BH52" i="22" s="1"/>
  <c r="BJ52" i="22" s="1"/>
  <c r="AV52" i="22"/>
  <c r="AX52" i="22" s="1"/>
  <c r="AP52" i="22"/>
  <c r="AF52" i="22"/>
  <c r="Y52" i="22"/>
  <c r="AN52" i="22" s="1"/>
  <c r="T52" i="22"/>
  <c r="BL51" i="22"/>
  <c r="B51" i="22" s="1"/>
  <c r="BD51" i="22"/>
  <c r="BH51" i="22" s="1"/>
  <c r="BJ51" i="22" s="1"/>
  <c r="AV51" i="22"/>
  <c r="AX51" i="22" s="1"/>
  <c r="AP51" i="22"/>
  <c r="AF51" i="22"/>
  <c r="Y51" i="22"/>
  <c r="AD51" i="22" s="1"/>
  <c r="T51" i="22"/>
  <c r="BL50" i="22"/>
  <c r="B50" i="22" s="1"/>
  <c r="BD50" i="22"/>
  <c r="BH50" i="22" s="1"/>
  <c r="BJ50" i="22" s="1"/>
  <c r="AV50" i="22"/>
  <c r="AX50" i="22" s="1"/>
  <c r="AP50" i="22"/>
  <c r="AF50" i="22"/>
  <c r="Y50" i="22"/>
  <c r="AN50" i="22" s="1"/>
  <c r="T50" i="22"/>
  <c r="BL49" i="22"/>
  <c r="B49" i="22" s="1"/>
  <c r="BD49" i="22"/>
  <c r="BH49" i="22" s="1"/>
  <c r="BJ49" i="22" s="1"/>
  <c r="AV49" i="22"/>
  <c r="AX49" i="22" s="1"/>
  <c r="AF49" i="22"/>
  <c r="Y49" i="22"/>
  <c r="AN49" i="22" s="1"/>
  <c r="T49" i="22"/>
  <c r="BL48" i="22"/>
  <c r="B48" i="22" s="1"/>
  <c r="BD48" i="22"/>
  <c r="BH48" i="22" s="1"/>
  <c r="BJ48" i="22" s="1"/>
  <c r="AV48" i="22"/>
  <c r="AX48" i="22" s="1"/>
  <c r="AP48" i="22"/>
  <c r="AF48" i="22"/>
  <c r="Z48" i="22"/>
  <c r="Y48" i="22"/>
  <c r="AN48" i="22" s="1"/>
  <c r="BL47" i="22"/>
  <c r="B47" i="22" s="1"/>
  <c r="BD47" i="22"/>
  <c r="BH47" i="22" s="1"/>
  <c r="BJ47" i="22" s="1"/>
  <c r="AV47" i="22"/>
  <c r="AX47" i="22" s="1"/>
  <c r="AP47" i="22"/>
  <c r="AF47" i="22"/>
  <c r="Z47" i="22"/>
  <c r="Y47" i="22"/>
  <c r="AN47" i="22" s="1"/>
  <c r="BL46" i="22"/>
  <c r="B46" i="22" s="1"/>
  <c r="BD46" i="22"/>
  <c r="BH46" i="22" s="1"/>
  <c r="BJ46" i="22" s="1"/>
  <c r="AV46" i="22"/>
  <c r="AX46" i="22" s="1"/>
  <c r="AP46" i="22"/>
  <c r="AF46" i="22"/>
  <c r="Y46" i="22"/>
  <c r="AD46" i="22" s="1"/>
  <c r="T46" i="22"/>
  <c r="BL45" i="22"/>
  <c r="B45" i="22" s="1"/>
  <c r="BD45" i="22"/>
  <c r="BH45" i="22" s="1"/>
  <c r="BJ45" i="22" s="1"/>
  <c r="AV45" i="22"/>
  <c r="AX45" i="22" s="1"/>
  <c r="AP45" i="22"/>
  <c r="AF45" i="22"/>
  <c r="Z45" i="22"/>
  <c r="Y45" i="22"/>
  <c r="AN45" i="22" s="1"/>
  <c r="BL44" i="22"/>
  <c r="B44" i="22" s="1"/>
  <c r="BD44" i="22"/>
  <c r="BH44" i="22" s="1"/>
  <c r="BJ44" i="22" s="1"/>
  <c r="AV44" i="22"/>
  <c r="AX44" i="22" s="1"/>
  <c r="AP44" i="22"/>
  <c r="AF44" i="22"/>
  <c r="Y44" i="22"/>
  <c r="AN44" i="22" s="1"/>
  <c r="T44" i="22"/>
  <c r="BL43" i="22"/>
  <c r="B43" i="22" s="1"/>
  <c r="BD43" i="22"/>
  <c r="BH43" i="22" s="1"/>
  <c r="BJ43" i="22" s="1"/>
  <c r="AV43" i="22"/>
  <c r="AX43" i="22" s="1"/>
  <c r="AP43" i="22"/>
  <c r="AF43" i="22"/>
  <c r="Y43" i="22"/>
  <c r="AD43" i="22" s="1"/>
  <c r="T43" i="22"/>
  <c r="BL42" i="22"/>
  <c r="B42" i="22" s="1"/>
  <c r="BD42" i="22"/>
  <c r="BH42" i="22" s="1"/>
  <c r="BJ42" i="22" s="1"/>
  <c r="AV42" i="22"/>
  <c r="AX42" i="22" s="1"/>
  <c r="AP42" i="22"/>
  <c r="AF42" i="22"/>
  <c r="Y42" i="22"/>
  <c r="AN42" i="22" s="1"/>
  <c r="T42" i="22"/>
  <c r="BL41" i="22"/>
  <c r="B41" i="22" s="1"/>
  <c r="BD41" i="22"/>
  <c r="BH41" i="22" s="1"/>
  <c r="BJ41" i="22" s="1"/>
  <c r="AV41" i="22"/>
  <c r="AX41" i="22" s="1"/>
  <c r="AP41" i="22"/>
  <c r="AF41" i="22"/>
  <c r="Y41" i="22"/>
  <c r="AD41" i="22" s="1"/>
  <c r="T41" i="22"/>
  <c r="BL40" i="22"/>
  <c r="B40" i="22" s="1"/>
  <c r="BD40" i="22"/>
  <c r="BH40" i="22" s="1"/>
  <c r="BJ40" i="22" s="1"/>
  <c r="AV40" i="22"/>
  <c r="AX40" i="22" s="1"/>
  <c r="AP40" i="22"/>
  <c r="AF40" i="22"/>
  <c r="Y40" i="22"/>
  <c r="AD40" i="22" s="1"/>
  <c r="T40" i="22"/>
  <c r="BL39" i="22"/>
  <c r="B39" i="22" s="1"/>
  <c r="BD39" i="22"/>
  <c r="BH39" i="22" s="1"/>
  <c r="BJ39" i="22" s="1"/>
  <c r="AV39" i="22"/>
  <c r="AX39" i="22" s="1"/>
  <c r="AP39" i="22"/>
  <c r="AF39" i="22"/>
  <c r="Y39" i="22"/>
  <c r="AN39" i="22" s="1"/>
  <c r="T39" i="22"/>
  <c r="BL38" i="22"/>
  <c r="B38" i="22" s="1"/>
  <c r="BD38" i="22"/>
  <c r="BH38" i="22" s="1"/>
  <c r="BJ38" i="22" s="1"/>
  <c r="AV38" i="22"/>
  <c r="AX38" i="22" s="1"/>
  <c r="AP38" i="22"/>
  <c r="AF38" i="22"/>
  <c r="Y38" i="22"/>
  <c r="AD38" i="22" s="1"/>
  <c r="T38" i="22"/>
  <c r="BL37" i="22"/>
  <c r="B37" i="22" s="1"/>
  <c r="BD37" i="22"/>
  <c r="BH37" i="22" s="1"/>
  <c r="BJ37" i="22" s="1"/>
  <c r="AV37" i="22"/>
  <c r="AX37" i="22" s="1"/>
  <c r="AP37" i="22"/>
  <c r="AF37" i="22"/>
  <c r="Y37" i="22"/>
  <c r="AN37" i="22" s="1"/>
  <c r="T37" i="22"/>
  <c r="BL36" i="22"/>
  <c r="B36" i="22" s="1"/>
  <c r="BD36" i="22"/>
  <c r="BH36" i="22" s="1"/>
  <c r="BJ36" i="22" s="1"/>
  <c r="AV36" i="22"/>
  <c r="AX36" i="22" s="1"/>
  <c r="AP36" i="22"/>
  <c r="AF36" i="22"/>
  <c r="Y36" i="22"/>
  <c r="AD36" i="22" s="1"/>
  <c r="T36" i="22"/>
  <c r="BL35" i="22"/>
  <c r="B35" i="22" s="1"/>
  <c r="BD35" i="22"/>
  <c r="BH35" i="22" s="1"/>
  <c r="BJ35" i="22" s="1"/>
  <c r="AV35" i="22"/>
  <c r="AX35" i="22" s="1"/>
  <c r="AP35" i="22"/>
  <c r="AF35" i="22"/>
  <c r="Y35" i="22"/>
  <c r="AN35" i="22" s="1"/>
  <c r="T35" i="22"/>
  <c r="BL34" i="22"/>
  <c r="B34" i="22" s="1"/>
  <c r="BD34" i="22"/>
  <c r="BH34" i="22" s="1"/>
  <c r="BJ34" i="22" s="1"/>
  <c r="AV34" i="22"/>
  <c r="AX34" i="22" s="1"/>
  <c r="AP34" i="22"/>
  <c r="AF34" i="22"/>
  <c r="Y34" i="22"/>
  <c r="AN34" i="22" s="1"/>
  <c r="T34" i="22"/>
  <c r="BL33" i="22"/>
  <c r="B33" i="22" s="1"/>
  <c r="BD33" i="22"/>
  <c r="BH33" i="22" s="1"/>
  <c r="BJ33" i="22" s="1"/>
  <c r="AV33" i="22"/>
  <c r="AX33" i="22" s="1"/>
  <c r="AP33" i="22"/>
  <c r="AF33" i="22"/>
  <c r="Y33" i="22"/>
  <c r="AN33" i="22" s="1"/>
  <c r="T33" i="22"/>
  <c r="BL32" i="22"/>
  <c r="B32" i="22" s="1"/>
  <c r="BD32" i="22"/>
  <c r="BH32" i="22" s="1"/>
  <c r="BJ32" i="22" s="1"/>
  <c r="AV32" i="22"/>
  <c r="AX32" i="22" s="1"/>
  <c r="AP32" i="22"/>
  <c r="AF32" i="22"/>
  <c r="Y32" i="22"/>
  <c r="AN32" i="22" s="1"/>
  <c r="T32" i="22"/>
  <c r="BL31" i="22"/>
  <c r="B31" i="22" s="1"/>
  <c r="BD31" i="22"/>
  <c r="BH31" i="22" s="1"/>
  <c r="BJ31" i="22" s="1"/>
  <c r="AV31" i="22"/>
  <c r="AX31" i="22" s="1"/>
  <c r="AP31" i="22"/>
  <c r="AF31" i="22"/>
  <c r="Y31" i="22"/>
  <c r="AD31" i="22" s="1"/>
  <c r="T31" i="22"/>
  <c r="BL30" i="22"/>
  <c r="B30" i="22" s="1"/>
  <c r="BD30" i="22"/>
  <c r="BH30" i="22" s="1"/>
  <c r="BJ30" i="22" s="1"/>
  <c r="AV30" i="22"/>
  <c r="AX30" i="22" s="1"/>
  <c r="AP30" i="22"/>
  <c r="AF30" i="22"/>
  <c r="Y30" i="22"/>
  <c r="AD30" i="22" s="1"/>
  <c r="T30" i="22"/>
  <c r="BL29" i="22"/>
  <c r="B29" i="22" s="1"/>
  <c r="BD29" i="22"/>
  <c r="BH29" i="22" s="1"/>
  <c r="BJ29" i="22" s="1"/>
  <c r="AV29" i="22"/>
  <c r="AX29" i="22" s="1"/>
  <c r="AP29" i="22"/>
  <c r="AF29" i="22"/>
  <c r="Y29" i="22"/>
  <c r="AN29" i="22" s="1"/>
  <c r="T29" i="22"/>
  <c r="BL28" i="22"/>
  <c r="B28" i="22" s="1"/>
  <c r="BD28" i="22"/>
  <c r="BH28" i="22" s="1"/>
  <c r="BJ28" i="22" s="1"/>
  <c r="AV28" i="22"/>
  <c r="AX28" i="22" s="1"/>
  <c r="AP28" i="22"/>
  <c r="AF28" i="22"/>
  <c r="Z28" i="22"/>
  <c r="Y28" i="22"/>
  <c r="AN28" i="22" s="1"/>
  <c r="BL27" i="22"/>
  <c r="B27" i="22" s="1"/>
  <c r="BD27" i="22"/>
  <c r="BH27" i="22" s="1"/>
  <c r="BJ27" i="22" s="1"/>
  <c r="AV27" i="22"/>
  <c r="AX27" i="22" s="1"/>
  <c r="AP27" i="22"/>
  <c r="AI27" i="22"/>
  <c r="AF27" i="22"/>
  <c r="Y27" i="22"/>
  <c r="AN27" i="22" s="1"/>
  <c r="T27" i="22"/>
  <c r="BL26" i="22"/>
  <c r="B26" i="22" s="1"/>
  <c r="BD26" i="22"/>
  <c r="BH26" i="22" s="1"/>
  <c r="BJ26" i="22" s="1"/>
  <c r="AV26" i="22"/>
  <c r="AX26" i="22" s="1"/>
  <c r="AP26" i="22"/>
  <c r="AF26" i="22"/>
  <c r="Z26" i="22"/>
  <c r="Y26" i="22"/>
  <c r="AN26" i="22" s="1"/>
  <c r="BL25" i="22"/>
  <c r="B25" i="22" s="1"/>
  <c r="BD25" i="22"/>
  <c r="BH25" i="22" s="1"/>
  <c r="BJ25" i="22" s="1"/>
  <c r="AV25" i="22"/>
  <c r="AX25" i="22" s="1"/>
  <c r="AP25" i="22"/>
  <c r="AF25" i="22"/>
  <c r="Z25" i="22"/>
  <c r="Y25" i="22"/>
  <c r="AN25" i="22" s="1"/>
  <c r="BL24" i="22"/>
  <c r="B24" i="22" s="1"/>
  <c r="BD24" i="22"/>
  <c r="BH24" i="22" s="1"/>
  <c r="BJ24" i="22" s="1"/>
  <c r="AV24" i="22"/>
  <c r="AX24" i="22" s="1"/>
  <c r="AP24" i="22"/>
  <c r="AI24" i="22"/>
  <c r="AF24" i="22"/>
  <c r="Y24" i="22"/>
  <c r="AD24" i="22" s="1"/>
  <c r="T24" i="22"/>
  <c r="BL23" i="22"/>
  <c r="B23" i="22" s="1"/>
  <c r="BD23" i="22"/>
  <c r="BH23" i="22" s="1"/>
  <c r="BJ23" i="22" s="1"/>
  <c r="AV23" i="22"/>
  <c r="AX23" i="22" s="1"/>
  <c r="AP23" i="22"/>
  <c r="AF23" i="22"/>
  <c r="Z23" i="22"/>
  <c r="Y23" i="22"/>
  <c r="AN23" i="22" s="1"/>
  <c r="BL22" i="22"/>
  <c r="B22" i="22" s="1"/>
  <c r="BD22" i="22"/>
  <c r="BH22" i="22" s="1"/>
  <c r="BJ22" i="22" s="1"/>
  <c r="AV22" i="22"/>
  <c r="AX22" i="22" s="1"/>
  <c r="AP22" i="22"/>
  <c r="AF22" i="22"/>
  <c r="Z22" i="22"/>
  <c r="Y22" i="22"/>
  <c r="AN22" i="22" s="1"/>
  <c r="BL21" i="22"/>
  <c r="B21" i="22" s="1"/>
  <c r="BD21" i="22"/>
  <c r="BH21" i="22" s="1"/>
  <c r="BJ21" i="22" s="1"/>
  <c r="AV21" i="22"/>
  <c r="AX21" i="22" s="1"/>
  <c r="AP21" i="22"/>
  <c r="AF21" i="22"/>
  <c r="Y21" i="22"/>
  <c r="AN21" i="22" s="1"/>
  <c r="T21" i="22"/>
  <c r="BL20" i="22"/>
  <c r="B20" i="22" s="1"/>
  <c r="BD20" i="22"/>
  <c r="BH20" i="22" s="1"/>
  <c r="BJ20" i="22" s="1"/>
  <c r="AV20" i="22"/>
  <c r="AX20" i="22" s="1"/>
  <c r="AP20" i="22"/>
  <c r="AI20" i="22"/>
  <c r="AF20" i="22"/>
  <c r="Y20" i="22"/>
  <c r="AD20" i="22" s="1"/>
  <c r="T20" i="22"/>
  <c r="BL19" i="22"/>
  <c r="B19" i="22" s="1"/>
  <c r="BD19" i="22"/>
  <c r="BH19" i="22" s="1"/>
  <c r="BJ19" i="22" s="1"/>
  <c r="AV19" i="22"/>
  <c r="AX19" i="22" s="1"/>
  <c r="AP19" i="22"/>
  <c r="AF19" i="22"/>
  <c r="Y19" i="22"/>
  <c r="AD19" i="22" s="1"/>
  <c r="T19" i="22"/>
  <c r="BL18" i="22"/>
  <c r="B18" i="22" s="1"/>
  <c r="BD18" i="22"/>
  <c r="BH18" i="22" s="1"/>
  <c r="BJ18" i="22" s="1"/>
  <c r="AV18" i="22"/>
  <c r="AX18" i="22" s="1"/>
  <c r="AP18" i="22"/>
  <c r="AF18" i="22"/>
  <c r="Y18" i="22"/>
  <c r="AN18" i="22" s="1"/>
  <c r="T18" i="22"/>
  <c r="BL17" i="22"/>
  <c r="B17" i="22" s="1"/>
  <c r="BD17" i="22"/>
  <c r="BH17" i="22" s="1"/>
  <c r="BJ17" i="22" s="1"/>
  <c r="AV17" i="22"/>
  <c r="AX17" i="22" s="1"/>
  <c r="AP17" i="22"/>
  <c r="AF17" i="22"/>
  <c r="Y17" i="22"/>
  <c r="AN17" i="22" s="1"/>
  <c r="T17" i="22"/>
  <c r="BL16" i="22"/>
  <c r="B16" i="22" s="1"/>
  <c r="BD16" i="22"/>
  <c r="BH16" i="22" s="1"/>
  <c r="BJ16" i="22" s="1"/>
  <c r="AV16" i="22"/>
  <c r="AX16" i="22" s="1"/>
  <c r="AP16" i="22"/>
  <c r="AF16" i="22"/>
  <c r="Y16" i="22"/>
  <c r="AN16" i="22" s="1"/>
  <c r="T16" i="22"/>
  <c r="BL15" i="22"/>
  <c r="B15" i="22" s="1"/>
  <c r="BD15" i="22"/>
  <c r="BH15" i="22" s="1"/>
  <c r="BJ15" i="22" s="1"/>
  <c r="AV15" i="22"/>
  <c r="AP15" i="22"/>
  <c r="W15" i="22"/>
  <c r="AF15" i="22" s="1"/>
  <c r="T15" i="22"/>
  <c r="BL14" i="22"/>
  <c r="B14" i="22" s="1"/>
  <c r="BD14" i="22"/>
  <c r="BH14" i="22" s="1"/>
  <c r="BJ14" i="22" s="1"/>
  <c r="AV14" i="22"/>
  <c r="AX14" i="22" s="1"/>
  <c r="AP14" i="22"/>
  <c r="AI14" i="22"/>
  <c r="AF14" i="22"/>
  <c r="Y14" i="22"/>
  <c r="AD14" i="22" s="1"/>
  <c r="T14" i="22"/>
  <c r="BL13" i="22"/>
  <c r="B13" i="22" s="1"/>
  <c r="BD13" i="22"/>
  <c r="BH13" i="22" s="1"/>
  <c r="BJ13" i="22" s="1"/>
  <c r="AV13" i="22"/>
  <c r="AX13" i="22" s="1"/>
  <c r="AP13" i="22"/>
  <c r="AF13" i="22"/>
  <c r="Y13" i="22"/>
  <c r="AN13" i="22" s="1"/>
  <c r="T13" i="22"/>
  <c r="BL12" i="22"/>
  <c r="B12" i="22" s="1"/>
  <c r="BD12" i="22"/>
  <c r="AV12" i="22"/>
  <c r="AX12" i="22" s="1"/>
  <c r="AP12" i="22"/>
  <c r="AF12" i="22"/>
  <c r="Y12" i="22"/>
  <c r="AD12" i="22" s="1"/>
  <c r="T12" i="22"/>
  <c r="BL11" i="22"/>
  <c r="B11" i="22" s="1"/>
  <c r="BD11" i="22"/>
  <c r="BH11" i="22" s="1"/>
  <c r="BJ11" i="22" s="1"/>
  <c r="AV11" i="22"/>
  <c r="AX11" i="22" s="1"/>
  <c r="AP11" i="22"/>
  <c r="AF11" i="22"/>
  <c r="Z11" i="22"/>
  <c r="Y11" i="22"/>
  <c r="AN11" i="22" s="1"/>
  <c r="BL10" i="22"/>
  <c r="B10" i="22" s="1"/>
  <c r="BD10" i="22"/>
  <c r="BH10" i="22" s="1"/>
  <c r="BJ10" i="22" s="1"/>
  <c r="AV10" i="22"/>
  <c r="AX10" i="22" s="1"/>
  <c r="AP10" i="22"/>
  <c r="AF10" i="22"/>
  <c r="Z10" i="22"/>
  <c r="Y10" i="22"/>
  <c r="AN10" i="22" s="1"/>
  <c r="BL9" i="22"/>
  <c r="B9" i="22" s="1"/>
  <c r="BD9" i="22"/>
  <c r="BH9" i="22" s="1"/>
  <c r="BJ9" i="22" s="1"/>
  <c r="AV9" i="22"/>
  <c r="AX9" i="22" s="1"/>
  <c r="AP9" i="22"/>
  <c r="AF9" i="22"/>
  <c r="Z9" i="22"/>
  <c r="Y9" i="22"/>
  <c r="AN9" i="22" s="1"/>
  <c r="BL8" i="22"/>
  <c r="B8" i="22" s="1"/>
  <c r="BD8" i="22"/>
  <c r="BH8" i="22" s="1"/>
  <c r="BJ8" i="22" s="1"/>
  <c r="AV8" i="22"/>
  <c r="AX8" i="22" s="1"/>
  <c r="AP8" i="22"/>
  <c r="AF8" i="22"/>
  <c r="Z8" i="22"/>
  <c r="Y8" i="22"/>
  <c r="AN8" i="22" s="1"/>
  <c r="BL7" i="22"/>
  <c r="B7" i="22" s="1"/>
  <c r="BD7" i="22"/>
  <c r="BH7" i="22" s="1"/>
  <c r="BJ7" i="22" s="1"/>
  <c r="AV7" i="22"/>
  <c r="AX7" i="22" s="1"/>
  <c r="AP7" i="22"/>
  <c r="AF7" i="22"/>
  <c r="Y7" i="22"/>
  <c r="AN7" i="22" s="1"/>
  <c r="T7" i="22"/>
  <c r="BL6" i="22"/>
  <c r="B6" i="22" s="1"/>
  <c r="BD6" i="22"/>
  <c r="BH6" i="22" s="1"/>
  <c r="BJ6" i="22" s="1"/>
  <c r="AV6" i="22"/>
  <c r="AX6" i="22" s="1"/>
  <c r="AP6" i="22"/>
  <c r="AF6" i="22"/>
  <c r="Y6" i="22"/>
  <c r="AN6" i="22" s="1"/>
  <c r="T6" i="22"/>
  <c r="BL5" i="22"/>
  <c r="B5" i="22" s="1"/>
  <c r="BD5" i="22"/>
  <c r="BH5" i="22" s="1"/>
  <c r="BJ5" i="22" s="1"/>
  <c r="AV5" i="22"/>
  <c r="AX5" i="22" s="1"/>
  <c r="AP5" i="22"/>
  <c r="AF5" i="22"/>
  <c r="Y5" i="22"/>
  <c r="AN5" i="22" s="1"/>
  <c r="T5" i="22"/>
  <c r="BL4" i="22"/>
  <c r="B4" i="22" s="1"/>
  <c r="BD4" i="22"/>
  <c r="BH4" i="22" s="1"/>
  <c r="BJ4" i="22" s="1"/>
  <c r="AV4" i="22"/>
  <c r="AX4" i="22" s="1"/>
  <c r="AP4" i="22"/>
  <c r="AF4" i="22"/>
  <c r="Y4" i="22"/>
  <c r="AN4" i="22" s="1"/>
  <c r="T4" i="22"/>
  <c r="BL3" i="22"/>
  <c r="B3" i="22" s="1"/>
  <c r="BD3" i="22"/>
  <c r="BH3" i="22" s="1"/>
  <c r="AV3" i="22"/>
  <c r="AX3" i="22" s="1"/>
  <c r="AP3" i="22"/>
  <c r="AF3" i="22"/>
  <c r="Y3" i="22"/>
  <c r="AD3" i="22" s="1"/>
  <c r="T3" i="22"/>
  <c r="BF1" i="22"/>
  <c r="BE1" i="22"/>
  <c r="BC1" i="22"/>
  <c r="BB1" i="22"/>
  <c r="BA1" i="22"/>
  <c r="AT1" i="22"/>
  <c r="AH1" i="22"/>
  <c r="V1" i="22"/>
  <c r="AD290" i="22" l="1"/>
  <c r="AN264" i="22"/>
  <c r="AN195" i="22"/>
  <c r="AN3" i="22"/>
  <c r="AN38" i="22"/>
  <c r="AD142" i="22"/>
  <c r="AN181" i="22"/>
  <c r="AN68" i="22"/>
  <c r="AD196" i="22"/>
  <c r="AD269" i="22"/>
  <c r="AD17" i="22"/>
  <c r="AD160" i="22"/>
  <c r="AD165" i="22"/>
  <c r="AD32" i="22"/>
  <c r="AN60" i="22"/>
  <c r="AN74" i="22"/>
  <c r="AD79" i="22"/>
  <c r="AD102" i="22"/>
  <c r="AN262" i="22"/>
  <c r="AN78" i="22"/>
  <c r="AD137" i="22"/>
  <c r="AN192" i="22"/>
  <c r="AD281" i="22"/>
  <c r="AD129" i="22"/>
  <c r="AD134" i="22"/>
  <c r="AD241" i="22"/>
  <c r="AD284" i="22"/>
  <c r="AD110" i="22"/>
  <c r="AD126" i="22"/>
  <c r="AD168" i="22"/>
  <c r="AD178" i="22"/>
  <c r="AD179" i="22"/>
  <c r="AD186" i="22"/>
  <c r="AD187" i="22"/>
  <c r="AN212" i="22"/>
  <c r="AN283" i="22"/>
  <c r="AN43" i="22"/>
  <c r="AN108" i="22"/>
  <c r="AD155" i="22"/>
  <c r="AD288" i="22"/>
  <c r="AD52" i="22"/>
  <c r="AN84" i="22"/>
  <c r="AD85" i="22"/>
  <c r="AN93" i="22"/>
  <c r="AD163" i="22"/>
  <c r="AN232" i="22"/>
  <c r="AN234" i="22"/>
  <c r="AN244" i="22"/>
  <c r="AN53" i="22"/>
  <c r="AD54" i="22"/>
  <c r="AD64" i="22"/>
  <c r="AD150" i="22"/>
  <c r="AD152" i="22"/>
  <c r="AD172" i="22"/>
  <c r="AD205" i="22"/>
  <c r="AD237" i="22"/>
  <c r="AN247" i="22"/>
  <c r="AD250" i="22"/>
  <c r="AN254" i="22"/>
  <c r="AD255" i="22"/>
  <c r="AD271" i="22"/>
  <c r="AN294" i="22"/>
  <c r="AN19" i="22"/>
  <c r="AD47" i="22"/>
  <c r="AD48" i="22"/>
  <c r="AD56" i="22"/>
  <c r="AD66" i="22"/>
  <c r="AD76" i="22"/>
  <c r="AD173" i="22"/>
  <c r="AD230" i="22"/>
  <c r="AD239" i="22"/>
  <c r="AD276" i="22"/>
  <c r="AN228" i="22"/>
  <c r="AN12" i="22"/>
  <c r="AN14" i="22"/>
  <c r="AX15" i="22"/>
  <c r="AX1" i="22" s="1"/>
  <c r="AY1" i="22" s="1"/>
  <c r="AN20" i="22"/>
  <c r="AN24" i="22"/>
  <c r="AD28" i="22"/>
  <c r="AD58" i="22"/>
  <c r="AN184" i="22"/>
  <c r="AN278" i="22"/>
  <c r="AD280" i="22"/>
  <c r="AD183" i="22"/>
  <c r="AN31" i="22"/>
  <c r="AN36" i="22"/>
  <c r="AN41" i="22"/>
  <c r="AD167" i="22"/>
  <c r="AN136" i="22"/>
  <c r="AN217" i="22"/>
  <c r="AD202" i="22"/>
  <c r="AN202" i="22"/>
  <c r="AD21" i="22"/>
  <c r="AD70" i="22"/>
  <c r="AN70" i="22"/>
  <c r="AN82" i="22"/>
  <c r="AN151" i="22"/>
  <c r="AD151" i="22"/>
  <c r="AN185" i="22"/>
  <c r="AD185" i="22"/>
  <c r="AI1" i="22"/>
  <c r="BD1" i="22"/>
  <c r="BG1" i="22" s="1"/>
  <c r="AD16" i="22"/>
  <c r="AD26" i="22"/>
  <c r="AD57" i="22"/>
  <c r="AN209" i="22"/>
  <c r="AD209" i="22"/>
  <c r="AD270" i="22"/>
  <c r="AN270" i="22"/>
  <c r="AD83" i="22"/>
  <c r="AN83" i="22"/>
  <c r="AN189" i="22"/>
  <c r="AD189" i="22"/>
  <c r="AD29" i="22"/>
  <c r="AD61" i="22"/>
  <c r="AN91" i="22"/>
  <c r="AD91" i="22"/>
  <c r="AN105" i="22"/>
  <c r="AD105" i="22"/>
  <c r="AN132" i="22"/>
  <c r="AD132" i="22"/>
  <c r="AN194" i="22"/>
  <c r="AD194" i="22"/>
  <c r="AN243" i="22"/>
  <c r="AD243" i="22"/>
  <c r="AN285" i="22"/>
  <c r="AD285" i="22"/>
  <c r="AF1" i="22"/>
  <c r="AN67" i="22"/>
  <c r="AD67" i="22"/>
  <c r="AN40" i="22"/>
  <c r="AV1" i="22"/>
  <c r="AN30" i="22"/>
  <c r="AN164" i="22"/>
  <c r="AD164" i="22"/>
  <c r="AN72" i="22"/>
  <c r="AD130" i="22"/>
  <c r="AD133" i="22"/>
  <c r="AD139" i="22"/>
  <c r="AD156" i="22"/>
  <c r="AD166" i="22"/>
  <c r="AD210" i="22"/>
  <c r="AD214" i="22"/>
  <c r="AN224" i="22"/>
  <c r="AD245" i="22"/>
  <c r="AN260" i="22"/>
  <c r="AN266" i="22"/>
  <c r="AD268" i="22"/>
  <c r="AN128" i="22"/>
  <c r="AN240" i="22"/>
  <c r="AD291" i="22"/>
  <c r="AN87" i="22"/>
  <c r="AD111" i="22"/>
  <c r="AD119" i="22"/>
  <c r="AD140" i="22"/>
  <c r="AD146" i="22"/>
  <c r="AD157" i="22"/>
  <c r="AD200" i="22"/>
  <c r="AD251" i="22"/>
  <c r="AD272" i="22"/>
  <c r="AD279" i="22"/>
  <c r="AD286" i="22"/>
  <c r="AN211" i="22"/>
  <c r="AN221" i="22"/>
  <c r="AD233" i="22"/>
  <c r="AN253" i="22"/>
  <c r="AN263" i="22"/>
  <c r="AN274" i="22"/>
  <c r="AD131" i="22"/>
  <c r="AD138" i="22"/>
  <c r="AD141" i="22"/>
  <c r="AD159" i="22"/>
  <c r="AN292" i="22"/>
  <c r="BJ3" i="22"/>
  <c r="AN147" i="22"/>
  <c r="AD147" i="22"/>
  <c r="AN153" i="22"/>
  <c r="AD153" i="22"/>
  <c r="AN154" i="22"/>
  <c r="AD154" i="22"/>
  <c r="AD190" i="22"/>
  <c r="AN190" i="22"/>
  <c r="AN218" i="22"/>
  <c r="AD218" i="22"/>
  <c r="AD39" i="22"/>
  <c r="AD27" i="22"/>
  <c r="AD35" i="22"/>
  <c r="AD49" i="22"/>
  <c r="AN51" i="22"/>
  <c r="AN100" i="22"/>
  <c r="AN161" i="22"/>
  <c r="AD161" i="22"/>
  <c r="AN162" i="22"/>
  <c r="AD162" i="22"/>
  <c r="AN180" i="22"/>
  <c r="AD180" i="22"/>
  <c r="AN257" i="22"/>
  <c r="AD257" i="22"/>
  <c r="AN258" i="22"/>
  <c r="AD258" i="22"/>
  <c r="W1" i="22"/>
  <c r="AD13" i="22"/>
  <c r="Y15" i="22"/>
  <c r="AD25" i="22"/>
  <c r="AD33" i="22"/>
  <c r="AD42" i="22"/>
  <c r="AD55" i="22"/>
  <c r="AD65" i="22"/>
  <c r="AD71" i="22"/>
  <c r="AD75" i="22"/>
  <c r="AD80" i="22"/>
  <c r="AN125" i="22"/>
  <c r="AD125" i="22"/>
  <c r="AN143" i="22"/>
  <c r="AD143" i="22"/>
  <c r="AD148" i="22"/>
  <c r="AN169" i="22"/>
  <c r="AD169" i="22"/>
  <c r="AN170" i="22"/>
  <c r="AD170" i="22"/>
  <c r="AN236" i="22"/>
  <c r="AD236" i="22"/>
  <c r="AN59" i="22"/>
  <c r="AN69" i="22"/>
  <c r="AN107" i="22"/>
  <c r="AD107" i="22"/>
  <c r="AN124" i="22"/>
  <c r="AN135" i="22"/>
  <c r="AD135" i="22"/>
  <c r="AN149" i="22"/>
  <c r="AD149" i="22"/>
  <c r="AN174" i="22"/>
  <c r="AD252" i="22"/>
  <c r="AN252" i="22"/>
  <c r="AD4" i="22"/>
  <c r="BH12" i="22"/>
  <c r="BJ12" i="22" s="1"/>
  <c r="AD44" i="22"/>
  <c r="AD50" i="22"/>
  <c r="AD77" i="22"/>
  <c r="AD81" i="22"/>
  <c r="AD94" i="22"/>
  <c r="AD144" i="22"/>
  <c r="AN176" i="22"/>
  <c r="AD176" i="22"/>
  <c r="AN46" i="22"/>
  <c r="AN127" i="22"/>
  <c r="AD127" i="22"/>
  <c r="AN145" i="22"/>
  <c r="AD145" i="22"/>
  <c r="AD18" i="22"/>
  <c r="AD158" i="22"/>
  <c r="AN201" i="22"/>
  <c r="AD201" i="22"/>
  <c r="AN208" i="22"/>
  <c r="AD208" i="22"/>
  <c r="AD242" i="22"/>
  <c r="AN242" i="22"/>
  <c r="AN248" i="22"/>
  <c r="AN277" i="22"/>
  <c r="AD277" i="22"/>
  <c r="AN199" i="22"/>
  <c r="AD229" i="22"/>
  <c r="AD197" i="22"/>
  <c r="AD203" i="22"/>
  <c r="AD206" i="22"/>
  <c r="AN206" i="22"/>
  <c r="AD216" i="22"/>
  <c r="AD261" i="22"/>
  <c r="AN261" i="22"/>
  <c r="AN265" i="22"/>
  <c r="AD265" i="22"/>
  <c r="AD231" i="22"/>
  <c r="AD267" i="22"/>
  <c r="AN267" i="22"/>
  <c r="AD273" i="22"/>
  <c r="AN182" i="22"/>
  <c r="AD188" i="22"/>
  <c r="AD191" i="22"/>
  <c r="AN193" i="22"/>
  <c r="AN204" i="22"/>
  <c r="AD204" i="22"/>
  <c r="AN227" i="22"/>
  <c r="AD235" i="22"/>
  <c r="AD275" i="22"/>
  <c r="AN275" i="22"/>
  <c r="AD175" i="22"/>
  <c r="AN177" i="22"/>
  <c r="AD219" i="22"/>
  <c r="AD282" i="22"/>
  <c r="AN282" i="22"/>
  <c r="AN287" i="22"/>
  <c r="AN198" i="22"/>
  <c r="AD225" i="22"/>
  <c r="AN225" i="22"/>
  <c r="AN256" i="22"/>
  <c r="AD256" i="22"/>
  <c r="AN293" i="22"/>
  <c r="AD293" i="22"/>
  <c r="AN259" i="22"/>
  <c r="BJ1" i="22" l="1"/>
  <c r="BK1" i="22" s="1"/>
  <c r="AN15" i="22"/>
  <c r="AD15" i="22"/>
  <c r="BH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Nakul Gola</author>
  </authors>
  <commentList>
    <comment ref="Z139" authorId="0" shapeId="0" xr:uid="{7E760322-7E66-4390-B9BD-CCFCF168DDB0}">
      <text>
        <r>
          <rPr>
            <b/>
            <sz val="9"/>
            <color indexed="81"/>
            <rFont val="Tahoma"/>
            <family val="2"/>
          </rPr>
          <t>Nakul Gola: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<sst xmlns="http://schemas.openxmlformats.org/spreadsheetml/2006/main" count="10938" uniqueCount="1421">
  <si>
    <t>MTM</t>
  </si>
  <si>
    <t>New Tagging</t>
  </si>
  <si>
    <t>Old Tagging</t>
  </si>
  <si>
    <t>Family</t>
  </si>
  <si>
    <t>Form Factor</t>
  </si>
  <si>
    <t>Sub Series</t>
  </si>
  <si>
    <t>CPU</t>
  </si>
  <si>
    <t>Gen</t>
  </si>
  <si>
    <t>RAM</t>
  </si>
  <si>
    <t>Storage</t>
  </si>
  <si>
    <t>OS</t>
  </si>
  <si>
    <t>Office</t>
  </si>
  <si>
    <t>Graphics</t>
  </si>
  <si>
    <t>Display</t>
  </si>
  <si>
    <t>Warranty</t>
  </si>
  <si>
    <t>GTN</t>
  </si>
  <si>
    <t>Backpack</t>
  </si>
  <si>
    <t>DTP</t>
  </si>
  <si>
    <t>Online SRP</t>
  </si>
  <si>
    <t>BAU ST Support (1-30th June) w/o tax</t>
  </si>
  <si>
    <t>BAU SO Support (1-30th June) w/o tax</t>
  </si>
  <si>
    <t>Tactical (1-30th June) w/o tax</t>
  </si>
  <si>
    <t>EUP @ 8% Margin</t>
  </si>
  <si>
    <t>Aligned EUP Final</t>
  </si>
  <si>
    <t>Check</t>
  </si>
  <si>
    <t>Online (1-30th June) EUP</t>
  </si>
  <si>
    <t>Addt Support w/o tax (1-30th June)</t>
  </si>
  <si>
    <t>Total SO Support</t>
  </si>
  <si>
    <t>BAU ST Support (15-30 April) w/o tax</t>
  </si>
  <si>
    <t>BAU SO Support (23-30 April) w/o tax</t>
  </si>
  <si>
    <t>Effective EUP 1-15</t>
  </si>
  <si>
    <t>Increase</t>
  </si>
  <si>
    <t>BAU ST Support (7-31 March) w/o tax</t>
  </si>
  <si>
    <t>BAU SO Support (7-31 March) w/o tax</t>
  </si>
  <si>
    <t>1-8 SO qty</t>
  </si>
  <si>
    <t>21 April- 30 June</t>
  </si>
  <si>
    <t>Total Support</t>
  </si>
  <si>
    <t>Jan ST</t>
  </si>
  <si>
    <t>Feb ST</t>
  </si>
  <si>
    <t>March ST</t>
  </si>
  <si>
    <t>Q4 ST</t>
  </si>
  <si>
    <t>T1 Inv.</t>
  </si>
  <si>
    <t>FG+Incoming</t>
  </si>
  <si>
    <t>AMJ ST</t>
  </si>
  <si>
    <t>Total ST Support</t>
  </si>
  <si>
    <t>82JU01C7IN</t>
  </si>
  <si>
    <t>Premium</t>
  </si>
  <si>
    <t>R7 OS 6GB Graphics Office</t>
  </si>
  <si>
    <t>Gaming</t>
  </si>
  <si>
    <t>Legion 5</t>
  </si>
  <si>
    <t>Legion 5 15ACH6H</t>
  </si>
  <si>
    <t>R7</t>
  </si>
  <si>
    <t>5XXXH</t>
  </si>
  <si>
    <t>Ryzen 7 5800H</t>
  </si>
  <si>
    <t>16GB</t>
  </si>
  <si>
    <t>1TB SSD</t>
  </si>
  <si>
    <t>Win11</t>
  </si>
  <si>
    <t>Office 2021</t>
  </si>
  <si>
    <t>RTX 3060 6GB</t>
  </si>
  <si>
    <t>15.6WQHD_AG_300N_165_N_SRGB</t>
  </si>
  <si>
    <t>1 Yr Onsite + 1 Yr LUS + 1 Yr ADP</t>
  </si>
  <si>
    <t>Full GTN</t>
  </si>
  <si>
    <t>82JU00TAIN</t>
  </si>
  <si>
    <t>82SA00B2IN</t>
  </si>
  <si>
    <t>i7 OS 6GB Graphics Office</t>
  </si>
  <si>
    <t>IP Gaming 3</t>
  </si>
  <si>
    <t>IdeaPad Gaming 3 16IAH7</t>
  </si>
  <si>
    <t>i7</t>
  </si>
  <si>
    <t>12th Gen</t>
  </si>
  <si>
    <t>i7-12700H</t>
  </si>
  <si>
    <t>512GB SSD</t>
  </si>
  <si>
    <t>16_WUXGA_AG_350N_165_N_SRGB</t>
  </si>
  <si>
    <t>1 Yr Onsite + 1 Yr PC + 1 Yr ADP</t>
  </si>
  <si>
    <t>Zero GTN</t>
  </si>
  <si>
    <t>82SA00H2IN</t>
  </si>
  <si>
    <t>82K201UNIN</t>
  </si>
  <si>
    <t>IdeaPad Gaming 3 15ACH6</t>
  </si>
  <si>
    <t>15.6FHD_AG_300N_165_N</t>
  </si>
  <si>
    <t>82H802XXIN</t>
  </si>
  <si>
    <t>Mainstream</t>
  </si>
  <si>
    <t>i5 OS Office</t>
  </si>
  <si>
    <t>Thin &amp; Light</t>
  </si>
  <si>
    <t>Slim 3</t>
  </si>
  <si>
    <t>IP 3 15ITL6</t>
  </si>
  <si>
    <t>i5</t>
  </si>
  <si>
    <t>11th Gen</t>
  </si>
  <si>
    <t>i5-1135G7</t>
  </si>
  <si>
    <t>INTEGRATED_GRAPHICS</t>
  </si>
  <si>
    <t>15.6FHD_TN_AG_250N_N</t>
  </si>
  <si>
    <t>2 Yr Warranty</t>
  </si>
  <si>
    <t>Ok</t>
  </si>
  <si>
    <t>82H802KVIN</t>
  </si>
  <si>
    <t>8GB</t>
  </si>
  <si>
    <t>82H802KYIN</t>
  </si>
  <si>
    <t>82H802XTIN</t>
  </si>
  <si>
    <t>82XV00F4IN</t>
  </si>
  <si>
    <t>i5 OS 4GB Graphics Office</t>
  </si>
  <si>
    <t>LOQ</t>
  </si>
  <si>
    <t>LOQ 15IRH8</t>
  </si>
  <si>
    <t>i5-12450H</t>
  </si>
  <si>
    <t>Windows 11</t>
  </si>
  <si>
    <t xml:space="preserve">OFFICE H&amp;S 2021  </t>
  </si>
  <si>
    <t>RTX 2050 4GB</t>
  </si>
  <si>
    <t>15.6FHD_AG_350N_144_N</t>
  </si>
  <si>
    <t>1 Year Onsite</t>
  </si>
  <si>
    <t>82SB00V5IN</t>
  </si>
  <si>
    <t>R7 OS 4GB Graphics Office</t>
  </si>
  <si>
    <t>IdeaPad Gaming 3 15ARH7</t>
  </si>
  <si>
    <t>6XXXH</t>
  </si>
  <si>
    <t>R7 6800H</t>
  </si>
  <si>
    <t>RTX 3050 4GB</t>
  </si>
  <si>
    <t>15.6_FHD_AG_250N_120Hz</t>
  </si>
  <si>
    <t>1 year Onsite</t>
  </si>
  <si>
    <t>82LN00JSIN</t>
  </si>
  <si>
    <t>R7 OS Office</t>
  </si>
  <si>
    <t>Slim 5</t>
  </si>
  <si>
    <t>IdeaPad 5 15ALC05</t>
  </si>
  <si>
    <t>5XXXU</t>
  </si>
  <si>
    <t>Ryzen 7 5700U</t>
  </si>
  <si>
    <t>15.6FHD_IPS_AG_300N_N</t>
  </si>
  <si>
    <t>82XE004RIN</t>
  </si>
  <si>
    <t>R5 OS Office</t>
  </si>
  <si>
    <t>IPS5 14ABR8</t>
  </si>
  <si>
    <t>R5</t>
  </si>
  <si>
    <t>7XXXU</t>
  </si>
  <si>
    <t>R5-7530U</t>
  </si>
  <si>
    <t>14.0FHD_AG_300N_N</t>
  </si>
  <si>
    <t>1 Yr Onsite + 1 Yr PC</t>
  </si>
  <si>
    <t>82K200X3IN</t>
  </si>
  <si>
    <t>15.6FHD_AG_250N_120_N</t>
  </si>
  <si>
    <t>82K201UMIN</t>
  </si>
  <si>
    <t>82K20145IN</t>
  </si>
  <si>
    <t>OFFICE_TRIAL</t>
  </si>
  <si>
    <t>82K2022WIN</t>
  </si>
  <si>
    <t>82SB00NXIN</t>
  </si>
  <si>
    <t>R5 OS 4GB Graphics</t>
  </si>
  <si>
    <t>Ideapad Gaming 3 15ARH7</t>
  </si>
  <si>
    <t>7XXXHS</t>
  </si>
  <si>
    <t>R5-7535HS</t>
  </si>
  <si>
    <t>No Office</t>
  </si>
  <si>
    <t>1 Yr. Onsite</t>
  </si>
  <si>
    <t>82K2025MIN</t>
  </si>
  <si>
    <t>R5-5600H</t>
  </si>
  <si>
    <t>GTX 1650 4GB</t>
  </si>
  <si>
    <t>82R10049IN</t>
  </si>
  <si>
    <t>R3 OS Office</t>
  </si>
  <si>
    <t>Slim 1</t>
  </si>
  <si>
    <t>IdeaPad 1 15ADA7</t>
  </si>
  <si>
    <t>R3</t>
  </si>
  <si>
    <t>3XXu</t>
  </si>
  <si>
    <t>R3-3250U</t>
  </si>
  <si>
    <t>82R1007XIN</t>
  </si>
  <si>
    <t>82XV00BRIN</t>
  </si>
  <si>
    <t>i7 OS 8GB Graphics Office</t>
  </si>
  <si>
    <t>13th Gen</t>
  </si>
  <si>
    <t>i7-13620H</t>
  </si>
  <si>
    <t>RTX 4060 8GB</t>
  </si>
  <si>
    <t>15.6_FHD_AG_350N_144_N</t>
  </si>
  <si>
    <t>82KU0238IN</t>
  </si>
  <si>
    <t>IdeaPad 3 15ALC6</t>
  </si>
  <si>
    <t>R5-5500U</t>
  </si>
  <si>
    <t>15.6FHD_AG_300N_N</t>
  </si>
  <si>
    <t>82R400ERIN</t>
  </si>
  <si>
    <t>IP 1 15ALC7</t>
  </si>
  <si>
    <t>15.6FHD_AG_220N_N</t>
  </si>
  <si>
    <t>1 Yr. Onsite + 1 Yr. ADP</t>
  </si>
  <si>
    <t>82SF008YIN</t>
  </si>
  <si>
    <t>IdeaPad 5 15IAL7</t>
  </si>
  <si>
    <t>i5-1235U</t>
  </si>
  <si>
    <t>82R400BRIN</t>
  </si>
  <si>
    <t>82XT004KIN</t>
  </si>
  <si>
    <t>R7 OS 8GB Graphics Office</t>
  </si>
  <si>
    <t>LOQ 15APH8</t>
  </si>
  <si>
    <t>R7-7840HS</t>
  </si>
  <si>
    <t>1 Year onsite</t>
  </si>
  <si>
    <t>82XT009CIN</t>
  </si>
  <si>
    <t>R7 7840HS</t>
  </si>
  <si>
    <t>15.6" FHD (1920x1080) IPS 350nits</t>
  </si>
  <si>
    <t>82JU00SYIN</t>
  </si>
  <si>
    <t>15.6FHD_AG_300N_165_N_SRGB</t>
  </si>
  <si>
    <t>82XT004JIN</t>
  </si>
  <si>
    <t>7xxxHS</t>
  </si>
  <si>
    <t>RTX 4050 6GB</t>
  </si>
  <si>
    <t>82K201UKIN</t>
  </si>
  <si>
    <t>82XV00BQIN</t>
  </si>
  <si>
    <t>82XV00F7IN</t>
  </si>
  <si>
    <t>i5 OS 8GB Graphics Office</t>
  </si>
  <si>
    <t>82K201Y8IN</t>
  </si>
  <si>
    <t>82JU00YPIN</t>
  </si>
  <si>
    <t>R7 5800H</t>
  </si>
  <si>
    <t>82XV00F6IN</t>
  </si>
  <si>
    <t>i5 OS 6GB Graphics Office</t>
  </si>
  <si>
    <t>82JQ00JCIN</t>
  </si>
  <si>
    <t>Legion 5 Pro</t>
  </si>
  <si>
    <t>Legion 5 Pro 16ACH6H</t>
  </si>
  <si>
    <t>16WQXGA_AG_500N_165_N_HDR_SRGB</t>
  </si>
  <si>
    <t>3 Yr Warranty + 1 Yr LUS + 1 Yr ADP</t>
  </si>
  <si>
    <t>82JQ011FIN</t>
  </si>
  <si>
    <t>82XE0072IN</t>
  </si>
  <si>
    <t>R7-7730U</t>
  </si>
  <si>
    <t>OFFICE 2021</t>
  </si>
  <si>
    <t>82XE007DIN</t>
  </si>
  <si>
    <t>14_WUXGA_OLED_GL_400N</t>
  </si>
  <si>
    <t>83BF000UIN</t>
  </si>
  <si>
    <t>IPS5 14IAH8</t>
  </si>
  <si>
    <t>14_WUXGA_AG_300N_N</t>
  </si>
  <si>
    <t>82K2029CIN</t>
  </si>
  <si>
    <t>R5 5500H</t>
  </si>
  <si>
    <t>15.5 FHD 250N 60_N</t>
  </si>
  <si>
    <t>82RJ004BIN</t>
  </si>
  <si>
    <t>i3 OS Office</t>
  </si>
  <si>
    <t>IP3 14IAU7</t>
  </si>
  <si>
    <t>i3</t>
  </si>
  <si>
    <t>i3-1215U</t>
  </si>
  <si>
    <t>82K201V2IN</t>
  </si>
  <si>
    <t>82XQ008VIN</t>
  </si>
  <si>
    <t>IPS3 15AMN8</t>
  </si>
  <si>
    <t>R5-7520U</t>
  </si>
  <si>
    <t>82XQ008GIN</t>
  </si>
  <si>
    <t>82R700JJIN</t>
  </si>
  <si>
    <t>Convertible</t>
  </si>
  <si>
    <t>Flex 5</t>
  </si>
  <si>
    <t>IdeaPad Flex 5 14IAU7</t>
  </si>
  <si>
    <t>14_WUXGA_GL_300N_MT_N_G</t>
  </si>
  <si>
    <t>82JD005LIN</t>
  </si>
  <si>
    <t>Legion 5 Pro 16ITH6H</t>
  </si>
  <si>
    <t>i7-11800H</t>
  </si>
  <si>
    <t>32GB</t>
  </si>
  <si>
    <t>Win10</t>
  </si>
  <si>
    <t>Office 2019</t>
  </si>
  <si>
    <t>RTX 3070 8GB</t>
  </si>
  <si>
    <t>15.6 QHD IPS AG-165 Hz, 500 nits</t>
  </si>
  <si>
    <t>82K10198IN</t>
  </si>
  <si>
    <t>i5 OS 4GB Graphics</t>
  </si>
  <si>
    <t>IdeaPad Gaming 3 15IHU6</t>
  </si>
  <si>
    <t>Ci5-11300H</t>
  </si>
  <si>
    <t>83BG000PIN</t>
  </si>
  <si>
    <t>IPS5 16IAH8</t>
  </si>
  <si>
    <t>16_WUXGA_AG_300N_N</t>
  </si>
  <si>
    <t>82VG00ESIN</t>
  </si>
  <si>
    <t>IP1 15AMN7</t>
  </si>
  <si>
    <t>15.6HD_TN_AG_220N_N</t>
  </si>
  <si>
    <t>82K2025LIN</t>
  </si>
  <si>
    <t>15.6FHD_AG_250N_60_N</t>
  </si>
  <si>
    <t>82K2025WIN</t>
  </si>
  <si>
    <t>82JQ010EIN</t>
  </si>
  <si>
    <t>R7-5800H</t>
  </si>
  <si>
    <t>16_WQXGA_AG_500N_165Hz</t>
  </si>
  <si>
    <t>1 Yr Onsite + 1 Yr LUS</t>
  </si>
  <si>
    <t>82KU017EIN</t>
  </si>
  <si>
    <t>15.6FHD_AG_250N_N</t>
  </si>
  <si>
    <t>82KU017KIN</t>
  </si>
  <si>
    <t>82VG00EQIN</t>
  </si>
  <si>
    <t>Entry</t>
  </si>
  <si>
    <t>Athlon OS Office</t>
  </si>
  <si>
    <t>Athlon</t>
  </si>
  <si>
    <t>Athlon Silver 7120U</t>
  </si>
  <si>
    <t>82V6006EIN</t>
  </si>
  <si>
    <t>CDC OS Office</t>
  </si>
  <si>
    <t>IP1 14IGL7</t>
  </si>
  <si>
    <t>Celeron</t>
  </si>
  <si>
    <t>4XXX</t>
  </si>
  <si>
    <t>N4020</t>
  </si>
  <si>
    <t>256GB SSD</t>
  </si>
  <si>
    <t>14.0HD_TN_AG_220N_N</t>
  </si>
  <si>
    <t>82V6005EIN</t>
  </si>
  <si>
    <t>4xxx</t>
  </si>
  <si>
    <t>82RK006DIN</t>
  </si>
  <si>
    <t>IdeaPad 3 15IAU7</t>
  </si>
  <si>
    <t>82RK007JIN</t>
  </si>
  <si>
    <t>IP3 15IAU7</t>
  </si>
  <si>
    <t>82K101L7IN</t>
  </si>
  <si>
    <t>i5-11320H</t>
  </si>
  <si>
    <t>82H803LKIN</t>
  </si>
  <si>
    <t>i5-1155G7</t>
  </si>
  <si>
    <t>82H803TUIN</t>
  </si>
  <si>
    <t>I5-1155G7</t>
  </si>
  <si>
    <t>82K201YAIN</t>
  </si>
  <si>
    <t>Ryzen 5 5600H</t>
  </si>
  <si>
    <t>82K2025KIN</t>
  </si>
  <si>
    <t>82VG00JJIN</t>
  </si>
  <si>
    <t>7XXX</t>
  </si>
  <si>
    <t>R3-7320U</t>
  </si>
  <si>
    <t>15.6FHD_TN_AG_220N_N</t>
  </si>
  <si>
    <t>82VG00EVIN</t>
  </si>
  <si>
    <t>82K201UEIN</t>
  </si>
  <si>
    <t>82SB00V3IN</t>
  </si>
  <si>
    <t>R5 OS 4GB Graphics Office</t>
  </si>
  <si>
    <t>R5-6600H</t>
  </si>
  <si>
    <t>82K20289IN</t>
  </si>
  <si>
    <t>15.6_FHD_AG_250N_144Hz</t>
  </si>
  <si>
    <t>82K2028AIN</t>
  </si>
  <si>
    <t>15.6_FHD_AG_250N_60Hz</t>
  </si>
  <si>
    <t>81WQ00MQIN</t>
  </si>
  <si>
    <t>IdeaPad 3 15IGL05</t>
  </si>
  <si>
    <t>81WQ00NXIN</t>
  </si>
  <si>
    <t>82K101PBIN</t>
  </si>
  <si>
    <t>i5-11300H</t>
  </si>
  <si>
    <t>82K101PCIN</t>
  </si>
  <si>
    <t>82VG009MIN</t>
  </si>
  <si>
    <t>IdeaPad 1 15AMN7</t>
  </si>
  <si>
    <t>82RK00XDIN</t>
  </si>
  <si>
    <t>IP 3 15IAU7</t>
  </si>
  <si>
    <t>82RK00VTIN</t>
  </si>
  <si>
    <t>82K101GSIN</t>
  </si>
  <si>
    <t>82XQ008DIN</t>
  </si>
  <si>
    <t>82RK011DIN</t>
  </si>
  <si>
    <t>i3 OS</t>
  </si>
  <si>
    <t>NA</t>
  </si>
  <si>
    <t>82H803GVIN</t>
  </si>
  <si>
    <t>i3-1115G4</t>
  </si>
  <si>
    <t>82K1019BIN</t>
  </si>
  <si>
    <t>82K101LHIN</t>
  </si>
  <si>
    <t>82JK00LYIN</t>
  </si>
  <si>
    <t>Legion 5 15ITH6</t>
  </si>
  <si>
    <t>i5-11400H</t>
  </si>
  <si>
    <t>82K101EEIN</t>
  </si>
  <si>
    <t>82K101G0IN</t>
  </si>
  <si>
    <t>1TB HDD+256GB SSD</t>
  </si>
  <si>
    <t>82K101KGIN</t>
  </si>
  <si>
    <t>82K101EBIN</t>
  </si>
  <si>
    <t>82H701N3IN</t>
  </si>
  <si>
    <t>IP 3 14ITL6</t>
  </si>
  <si>
    <t>I3-1115G4</t>
  </si>
  <si>
    <t>82JW00PBIN</t>
  </si>
  <si>
    <t>Legion 5 15ACH6</t>
  </si>
  <si>
    <t>82JD005KIN</t>
  </si>
  <si>
    <t>82S900R6IN</t>
  </si>
  <si>
    <t>IdeaPad Gaming 3 15IAH7</t>
  </si>
  <si>
    <t>Ci5-12450H</t>
  </si>
  <si>
    <t>82NL00APIN</t>
  </si>
  <si>
    <t>Legion 5 15IMH6</t>
  </si>
  <si>
    <t>10th Gen</t>
  </si>
  <si>
    <t>i5 10500H</t>
  </si>
  <si>
    <t>82TF007LIN</t>
  </si>
  <si>
    <t>Legion S7</t>
  </si>
  <si>
    <t>Legion S7 16IAH7</t>
  </si>
  <si>
    <t>RTX 3050TI 4GB</t>
  </si>
  <si>
    <t>1 Yr. Onsite + 1Yr. LUS</t>
  </si>
  <si>
    <t>82RF00MGIN</t>
  </si>
  <si>
    <t>Legion 5 Pro 16IAH7H</t>
  </si>
  <si>
    <t>16WUXGA_AG_300N_165_N</t>
  </si>
  <si>
    <t>3 Yr Warranty + 3 Yr LUS + 1 Yr ADP</t>
  </si>
  <si>
    <t>82Y9009KIN</t>
  </si>
  <si>
    <t>Legion Slim 5</t>
  </si>
  <si>
    <t>Legion Slim 5 16APH8</t>
  </si>
  <si>
    <t>16_WQXGA_AG_300N_144_N_SRGB</t>
  </si>
  <si>
    <t>82WM0073IN</t>
  </si>
  <si>
    <t>Legion 5 Pro 16ARX8</t>
  </si>
  <si>
    <t>7XXXHX</t>
  </si>
  <si>
    <t>R7 7000</t>
  </si>
  <si>
    <t>16_WQXGA_AG_500N_240_HDR_SRGB</t>
  </si>
  <si>
    <t>82JK00BEIN</t>
  </si>
  <si>
    <t>i7 OS 4GB Graphics Office</t>
  </si>
  <si>
    <t>82JK007XIN</t>
  </si>
  <si>
    <t>Intel Core i7-11800H</t>
  </si>
  <si>
    <t>82JD00CFIN</t>
  </si>
  <si>
    <t>Ci7-11800H</t>
  </si>
  <si>
    <t>82XT004HIN</t>
  </si>
  <si>
    <t>RTX 3050 6GB</t>
  </si>
  <si>
    <t>82WK00E2IN</t>
  </si>
  <si>
    <t>Legion 5 Pro 16IRX8</t>
  </si>
  <si>
    <t>13th gen</t>
  </si>
  <si>
    <t>i7-13700HX</t>
  </si>
  <si>
    <t>82Y90042IN</t>
  </si>
  <si>
    <t>16_WQXGA_AG_350N_165_N_SRGB</t>
  </si>
  <si>
    <t>82Y9009JIN</t>
  </si>
  <si>
    <t>1 TB SSD</t>
  </si>
  <si>
    <t>1 Year Onsite + 1 year LUS</t>
  </si>
  <si>
    <t>82TD009KIN</t>
  </si>
  <si>
    <t>i9 OS 16GB Graphics Office</t>
  </si>
  <si>
    <t>Legion 7</t>
  </si>
  <si>
    <t>Legion 7 16IAX7</t>
  </si>
  <si>
    <t>i9</t>
  </si>
  <si>
    <t>i9-12900HX</t>
  </si>
  <si>
    <t>RTX_3080Ti_16GB</t>
  </si>
  <si>
    <t>82YA00DXIN</t>
  </si>
  <si>
    <t>Legion Slim 5 16IRH8</t>
  </si>
  <si>
    <t>82Y9008MIN</t>
  </si>
  <si>
    <t>82WM00B5IN</t>
  </si>
  <si>
    <t>R7-7745HX</t>
  </si>
  <si>
    <t>82WK00LPIN</t>
  </si>
  <si>
    <t>82Y3006XIN</t>
  </si>
  <si>
    <t>Legion S7 16IRH8</t>
  </si>
  <si>
    <t>I7-13700H</t>
  </si>
  <si>
    <t>16_3.2K_AG_430N_165_P3</t>
  </si>
  <si>
    <t>82Y3007QIN</t>
  </si>
  <si>
    <t>i9 OS 8GB Graphics Office</t>
  </si>
  <si>
    <t>i9-13900H</t>
  </si>
  <si>
    <t>16_WQXGA_AG_430N_240_HDR_SRGB</t>
  </si>
  <si>
    <t>82WM00B7IN</t>
  </si>
  <si>
    <t>RTX 4070 8GB</t>
  </si>
  <si>
    <t>82WK00LNIN</t>
  </si>
  <si>
    <t>82Y3003WIN</t>
  </si>
  <si>
    <t>16_3.2K_AG_430N_165Hz</t>
  </si>
  <si>
    <t>82WQ007TIN</t>
  </si>
  <si>
    <t>i9 OS 12GB Graphics Office</t>
  </si>
  <si>
    <t>Legion Pro 7</t>
  </si>
  <si>
    <t>Legion Pro 7 16IRX8H</t>
  </si>
  <si>
    <t>i9-13900HX</t>
  </si>
  <si>
    <t>RTX 4080 12GB</t>
  </si>
  <si>
    <t>16_WQXGA_AG_500N_240Hz</t>
  </si>
  <si>
    <t>82WQ007UIN</t>
  </si>
  <si>
    <t>RTX 4090 16GB</t>
  </si>
  <si>
    <t>82WK00MWIN</t>
  </si>
  <si>
    <t>i7 OS 8GB Graphix Office</t>
  </si>
  <si>
    <t>i7 13700HX</t>
  </si>
  <si>
    <t>82SB00M6IN</t>
  </si>
  <si>
    <t>R5 OS 6GB Graphics Office</t>
  </si>
  <si>
    <t>R5 7535HS</t>
  </si>
  <si>
    <t>82SB00QYIN</t>
  </si>
  <si>
    <t>R7 7735HS</t>
  </si>
  <si>
    <t>82XJ002LHA</t>
  </si>
  <si>
    <t>MTK Chrome OS</t>
  </si>
  <si>
    <t>Slim 3 CB</t>
  </si>
  <si>
    <t>IP 3 CB 14M868</t>
  </si>
  <si>
    <t>MT</t>
  </si>
  <si>
    <t>MT8186_2.05G_8C</t>
  </si>
  <si>
    <t>4GB</t>
  </si>
  <si>
    <t>128GB</t>
  </si>
  <si>
    <t>Chrome OS</t>
  </si>
  <si>
    <t>14 HD 250 nits AG,non touch</t>
  </si>
  <si>
    <t>82XJ002RHA</t>
  </si>
  <si>
    <t>83BN001PHA</t>
  </si>
  <si>
    <t>N100 Chrome OS</t>
  </si>
  <si>
    <t>IP 3 CB 14IAN8</t>
  </si>
  <si>
    <t>N100</t>
  </si>
  <si>
    <t>N100_0.8G_4C_4T</t>
  </si>
  <si>
    <t>82WU0095IN</t>
  </si>
  <si>
    <t>Yoga Slim 6</t>
  </si>
  <si>
    <t>Ci5</t>
  </si>
  <si>
    <t>i5-1240P</t>
  </si>
  <si>
    <t>14" 2.2K (2240x1400) IPS 300nits Anti-glare, 100% sRGB, 60Hz, Eyesafe®, Dolby® Vision™</t>
  </si>
  <si>
    <t>83BF0043IN</t>
  </si>
  <si>
    <t>82XE007EIN</t>
  </si>
  <si>
    <t>82XD003MIN</t>
  </si>
  <si>
    <t>IPS5 14IRL8</t>
  </si>
  <si>
    <t>i5 13420H</t>
  </si>
  <si>
    <t>82XD003NIN</t>
  </si>
  <si>
    <t>i5-13420H</t>
  </si>
  <si>
    <t>82XF003GIN</t>
  </si>
  <si>
    <t>IPS5 16IRL8</t>
  </si>
  <si>
    <t>i5-13500H</t>
  </si>
  <si>
    <t>82XF003CIN</t>
  </si>
  <si>
    <t>82XD005RIN</t>
  </si>
  <si>
    <t>82XD006GIN</t>
  </si>
  <si>
    <t>82XF0077IN</t>
  </si>
  <si>
    <t>i5 13500H</t>
  </si>
  <si>
    <t>16" 2.5K WQXGA IPS 350nits Anti-glare</t>
  </si>
  <si>
    <t>83DC0042IN</t>
  </si>
  <si>
    <t>CORE_ULT5_125H</t>
  </si>
  <si>
    <t>Ultra</t>
  </si>
  <si>
    <t>Intel Arc Graphics</t>
  </si>
  <si>
    <t>83DC0003IN</t>
  </si>
  <si>
    <t>83DA0049IN</t>
  </si>
  <si>
    <t>14_WUXGA_OLED_400N_N</t>
  </si>
  <si>
    <t>83DA003GIN</t>
  </si>
  <si>
    <t>83E00006IN</t>
  </si>
  <si>
    <t>YGS6 14IRH8</t>
  </si>
  <si>
    <t>82XF003JIN</t>
  </si>
  <si>
    <t>i7 OS Office</t>
  </si>
  <si>
    <t>i7-13700H</t>
  </si>
  <si>
    <t>82R7006EIN</t>
  </si>
  <si>
    <t>82R700ASIN</t>
  </si>
  <si>
    <t>82HU00PQIN</t>
  </si>
  <si>
    <t>Flex 5 14ALC05</t>
  </si>
  <si>
    <t>14.0FHD_GL_250N_MT_N_G</t>
  </si>
  <si>
    <t>82R9006DIN</t>
  </si>
  <si>
    <t>IdeaPad Flex 5 14ALC7</t>
  </si>
  <si>
    <t>82R9006PIN</t>
  </si>
  <si>
    <t>82R9008GIN</t>
  </si>
  <si>
    <t>82R90068IN</t>
  </si>
  <si>
    <t>82UD0068IN</t>
  </si>
  <si>
    <t>Yoga 6</t>
  </si>
  <si>
    <t>Yoga 6 13ALC7</t>
  </si>
  <si>
    <t>13.3_WUXGA_GL_300N_MT_N_SRGB</t>
  </si>
  <si>
    <t>3 Yr Warranty + 3 Yr PC + 1 Yr ADP</t>
  </si>
  <si>
    <t>82UD0088IN</t>
  </si>
  <si>
    <t>82N70055IN</t>
  </si>
  <si>
    <t>Yoga 7</t>
  </si>
  <si>
    <t>Yoga 7 14ACN6</t>
  </si>
  <si>
    <t>Ryzen 7 5800U</t>
  </si>
  <si>
    <t>14.0FHD_GL_300N_MT_N_72%</t>
  </si>
  <si>
    <t>3 Yr Warranty + 1 Yr PC + 1 Yr ADP</t>
  </si>
  <si>
    <t>82N7000AIN</t>
  </si>
  <si>
    <t>AMD Ryzen 7 5800U</t>
  </si>
  <si>
    <t>Integratred</t>
  </si>
  <si>
    <t>14" FHD (1920x1080) IPS 300nits Glossy, 72% NTSC</t>
  </si>
  <si>
    <t>82QE0060IN</t>
  </si>
  <si>
    <t>Yoga 7 14IAL7</t>
  </si>
  <si>
    <t>Ci7-1260P</t>
  </si>
  <si>
    <t>14_2.8K_OLED_GL_400N_HDR_90_P3</t>
  </si>
  <si>
    <t>82QE009SIN</t>
  </si>
  <si>
    <t>82BG005JIN</t>
  </si>
  <si>
    <t>Yoga 9</t>
  </si>
  <si>
    <t>Yoga 9-14ITL</t>
  </si>
  <si>
    <t>i7-1165G7</t>
  </si>
  <si>
    <t>OFFICE H&amp;S 2019</t>
  </si>
  <si>
    <t>INTEGRATED GFX</t>
  </si>
  <si>
    <t>14.0 4K, 500 Nits HDR</t>
  </si>
  <si>
    <t>82BG00BSIN</t>
  </si>
  <si>
    <t>Yoga 9 14ITL5</t>
  </si>
  <si>
    <t>Ci7-1185G7</t>
  </si>
  <si>
    <t>14.0_4K_GL_500N_MT_N_HDR_90P3</t>
  </si>
  <si>
    <t>82LU008TIN</t>
  </si>
  <si>
    <t>Yoga 9 14IAP7</t>
  </si>
  <si>
    <t>i7-1280P</t>
  </si>
  <si>
    <t>14WQUXGA_OLED_GL400N_MT_N_P3_G</t>
  </si>
  <si>
    <t>82XX007KIN</t>
  </si>
  <si>
    <t>Flex5 14ABR8</t>
  </si>
  <si>
    <t>83B2005TIN</t>
  </si>
  <si>
    <t>YG6 14ABR8</t>
  </si>
  <si>
    <t>82Y00053IN</t>
  </si>
  <si>
    <t>Flex5 14IRU8</t>
  </si>
  <si>
    <t>i7-1355U</t>
  </si>
  <si>
    <t>82YM004UIN</t>
  </si>
  <si>
    <t>YG7 14ARP8</t>
  </si>
  <si>
    <t>R7-7735U</t>
  </si>
  <si>
    <t>14_2.8K_OLED_GL400N_MT_90_P3_G</t>
  </si>
  <si>
    <t>82YL0060IN</t>
  </si>
  <si>
    <t>YG7 14IRL8</t>
  </si>
  <si>
    <t>i7-1360P</t>
  </si>
  <si>
    <t>82R7006AIN</t>
  </si>
  <si>
    <t xml:space="preserve"> I7-1255U</t>
  </si>
  <si>
    <t>83B1004XIN</t>
  </si>
  <si>
    <t>YG9 14IRP8</t>
  </si>
  <si>
    <t>82Y0004YIN</t>
  </si>
  <si>
    <t>i3-1305U</t>
  </si>
  <si>
    <t>1 Yr Onsite + 1 Yr. PC</t>
  </si>
  <si>
    <t>82Y00051IN</t>
  </si>
  <si>
    <t>i5-1335U</t>
  </si>
  <si>
    <t>82R900D9IN</t>
  </si>
  <si>
    <t>82XX007MIN</t>
  </si>
  <si>
    <t>82YM0074IN</t>
  </si>
  <si>
    <t>14" WUXGA (1920x1200) OLED 400nits Glossy, 100% DCI-P3, 60Hz, Dolby® Vision™</t>
  </si>
  <si>
    <t>83B2007UIN</t>
  </si>
  <si>
    <t>82YL0099IN</t>
  </si>
  <si>
    <t>14WUXGA_OLED_GL400N_MT_HDRP3_G</t>
  </si>
  <si>
    <t>82YL0095IN</t>
  </si>
  <si>
    <t>i5-1340P</t>
  </si>
  <si>
    <t>82RK00LXIN</t>
  </si>
  <si>
    <t>82RK0085IN</t>
  </si>
  <si>
    <t>82RG00ELIN</t>
  </si>
  <si>
    <t>Legion 5 Pro 16ARH7H</t>
  </si>
  <si>
    <t>82RG009AIN</t>
  </si>
  <si>
    <t>R7-6800H</t>
  </si>
  <si>
    <t>82RK00EDIN</t>
  </si>
  <si>
    <t>82RK0062IN</t>
  </si>
  <si>
    <t>82H803HQIN</t>
  </si>
  <si>
    <t>82JQ011EIN</t>
  </si>
  <si>
    <t>82H803TVIN</t>
  </si>
  <si>
    <t>81X700F7IN</t>
  </si>
  <si>
    <t>IdeaPad 3 14ITL05</t>
  </si>
  <si>
    <t>14.0FHD_TN_AG_220N_N</t>
  </si>
  <si>
    <t>82H802L3IN</t>
  </si>
  <si>
    <t>82H803E6IN</t>
  </si>
  <si>
    <t xml:space="preserve"> I3-1115G4</t>
  </si>
  <si>
    <t>82RG00EKIN</t>
  </si>
  <si>
    <t>82RG00AGIN</t>
  </si>
  <si>
    <t>Ryzen 7 6800H</t>
  </si>
  <si>
    <t>82RF00E1IN</t>
  </si>
  <si>
    <t>82H801LJIN</t>
  </si>
  <si>
    <t>82H801LHIN</t>
  </si>
  <si>
    <t>82H803LLIN</t>
  </si>
  <si>
    <t>82H803U0IN</t>
  </si>
  <si>
    <t>82h803GTIN</t>
  </si>
  <si>
    <t>82H803TXIN</t>
  </si>
  <si>
    <t>81X800LGIN</t>
  </si>
  <si>
    <t>IdeaPad 3 15ITL05</t>
  </si>
  <si>
    <t>82SB00V2IN</t>
  </si>
  <si>
    <t>82RK00EMIN</t>
  </si>
  <si>
    <t>i5 1235U</t>
  </si>
  <si>
    <t>82H802XVIN</t>
  </si>
  <si>
    <t>82V6005CIN</t>
  </si>
  <si>
    <t>CDC OS</t>
  </si>
  <si>
    <t>82K101FTIN</t>
  </si>
  <si>
    <t>82SB00Y8IN</t>
  </si>
  <si>
    <t>81X800LCIN</t>
  </si>
  <si>
    <t>81X800LAIN</t>
  </si>
  <si>
    <t>I3</t>
  </si>
  <si>
    <t>81X800N2IN</t>
  </si>
  <si>
    <t>81X800HYIN</t>
  </si>
  <si>
    <t>82H801LGIN</t>
  </si>
  <si>
    <t>82SB00V4IN</t>
  </si>
  <si>
    <t>82H8038WIN</t>
  </si>
  <si>
    <t>82H701DNIN</t>
  </si>
  <si>
    <t>IdeaPad 3 14ITL6</t>
  </si>
  <si>
    <t>14.0FHD_TN_AG_250N_N</t>
  </si>
  <si>
    <t>82H803LPIN</t>
  </si>
  <si>
    <t>I7-1165G7</t>
  </si>
  <si>
    <t>82S9017TIN</t>
  </si>
  <si>
    <t>i5 12450H</t>
  </si>
  <si>
    <t>82H803B6IN</t>
  </si>
  <si>
    <t xml:space="preserve"> I7-1165G7</t>
  </si>
  <si>
    <t>82K201ULIN</t>
  </si>
  <si>
    <t>82XV00F5IN</t>
  </si>
  <si>
    <t>82K2022UIN</t>
  </si>
  <si>
    <t>82H803WAIN</t>
  </si>
  <si>
    <t>82H803LNIN</t>
  </si>
  <si>
    <t>82KU024JIN</t>
  </si>
  <si>
    <t>IP 3 15ALC6</t>
  </si>
  <si>
    <t>R7-5700U</t>
  </si>
  <si>
    <t>81X800N1IN</t>
  </si>
  <si>
    <t>82S90157IN</t>
  </si>
  <si>
    <t>82S9014LIN</t>
  </si>
  <si>
    <t>82K2022YIN</t>
  </si>
  <si>
    <t>82K2012LIN</t>
  </si>
  <si>
    <t>82R700C2IN</t>
  </si>
  <si>
    <t>82R70068IN</t>
  </si>
  <si>
    <t>82JU018YIN</t>
  </si>
  <si>
    <t>82X70033IN</t>
  </si>
  <si>
    <t>IdeaPad 3 15IRU8</t>
  </si>
  <si>
    <t>I3 1305U</t>
  </si>
  <si>
    <t>82XF003HIN</t>
  </si>
  <si>
    <t>i7 13700H</t>
  </si>
  <si>
    <t>82XD0040IN</t>
  </si>
  <si>
    <t>14_WUXGA_OLED_GL_400N_N_HDR_P3</t>
  </si>
  <si>
    <t>82H801L6IN</t>
  </si>
  <si>
    <t>IdeaPad 3 15ITL6</t>
  </si>
  <si>
    <t>i5 1135G7</t>
  </si>
  <si>
    <t>82SN00F0IN</t>
  </si>
  <si>
    <t>Slim 5 Pro</t>
  </si>
  <si>
    <t>IP5Pro 16ARH7</t>
  </si>
  <si>
    <t>6XXXHS</t>
  </si>
  <si>
    <t>R7-6800HS</t>
  </si>
  <si>
    <t>RTX™ 3050 4GB GDDR6</t>
  </si>
  <si>
    <t>16_WQXGA_AG_350N_N_SRGB</t>
  </si>
  <si>
    <t>82YQ001DIN</t>
  </si>
  <si>
    <t>Yoga Book 9</t>
  </si>
  <si>
    <t>Yoga Book 9 13IRU8</t>
  </si>
  <si>
    <t>i7 1355U</t>
  </si>
  <si>
    <t>13.3_2.8KOLED400N_MT_HDRP3_G_B</t>
  </si>
  <si>
    <t>83ER008DIN</t>
  </si>
  <si>
    <t>IdeaPad 3 15IAH8</t>
  </si>
  <si>
    <t>83EM0026IN</t>
  </si>
  <si>
    <t>IdeaPad 3 15IRH8</t>
  </si>
  <si>
    <t>82RK011EIN</t>
  </si>
  <si>
    <t>i7 1255U</t>
  </si>
  <si>
    <t>82K2025NIN</t>
  </si>
  <si>
    <t>5XXX</t>
  </si>
  <si>
    <t>R5 5600H</t>
  </si>
  <si>
    <t>82K101LJIN</t>
  </si>
  <si>
    <t>82K2022VIN</t>
  </si>
  <si>
    <t>82C1002EHA</t>
  </si>
  <si>
    <t>CDC Chrome OS</t>
  </si>
  <si>
    <t>IdeaPad 3 CB 14IGL05</t>
  </si>
  <si>
    <t>64GB_EMMC</t>
  </si>
  <si>
    <t>1 Yr Onsite</t>
  </si>
  <si>
    <t>82XX0071IN</t>
  </si>
  <si>
    <t>82RK00WXIN</t>
  </si>
  <si>
    <t>82RK00VWIN</t>
  </si>
  <si>
    <t>82X60013IN</t>
  </si>
  <si>
    <t>83ER008GIN</t>
  </si>
  <si>
    <t>83FQ0009IN</t>
  </si>
  <si>
    <t>i5  4GB Graphics Office</t>
  </si>
  <si>
    <t>LOQ 15IAX9I</t>
  </si>
  <si>
    <t>i5 12450HX</t>
  </si>
  <si>
    <t>8 GB</t>
  </si>
  <si>
    <t>ARC A530M</t>
  </si>
  <si>
    <t>15.6_FHD_AG_300N_144_SRGB</t>
  </si>
  <si>
    <t>83DV007FIN</t>
  </si>
  <si>
    <t>LOQ 15IRX9</t>
  </si>
  <si>
    <t>14th Gen</t>
  </si>
  <si>
    <t>i7 14700HX</t>
  </si>
  <si>
    <t>83DV007JIN</t>
  </si>
  <si>
    <t>i5 13450HX</t>
  </si>
  <si>
    <t>83DV007HIN</t>
  </si>
  <si>
    <t>i7 13650HX</t>
  </si>
  <si>
    <t>83AG0044IN</t>
  </si>
  <si>
    <t>Legion 9</t>
  </si>
  <si>
    <t>Legion 9 16IRX8</t>
  </si>
  <si>
    <t>i9 13980HX</t>
  </si>
  <si>
    <t>16_3.2K_MLED1200N_165HDR_ADBP3</t>
  </si>
  <si>
    <t>82XF0078IN</t>
  </si>
  <si>
    <t>Ci7</t>
  </si>
  <si>
    <t>Integrated Intel® Iris® Xe Graphics</t>
  </si>
  <si>
    <t>16" 2.5K (2560x1600) IPS 350nits Anti-glare, 100% sRGB, Dolby® Vision™, TÜV Low Blue Light</t>
  </si>
  <si>
    <t>83E00007IN</t>
  </si>
  <si>
    <t>83CV002DIN</t>
  </si>
  <si>
    <t>CORE ULT7 OS Office</t>
  </si>
  <si>
    <t>Yoga Slim 7</t>
  </si>
  <si>
    <t>Yoga Slim 7 IMH9</t>
  </si>
  <si>
    <t>CORE_ULT7_155H</t>
  </si>
  <si>
    <t>ARC_A530M_4GB_G6_128B</t>
  </si>
  <si>
    <t>14_WUXGA_OLED_GL_400N_HDR_P3</t>
  </si>
  <si>
    <t>83D2001GIN</t>
  </si>
  <si>
    <t>CORE_ULT9_185H</t>
  </si>
  <si>
    <t>IP Pro 5</t>
  </si>
  <si>
    <t>IP Pro 5 14IMH9</t>
  </si>
  <si>
    <t>14_2.8K_OLED_GL400N_120_HD</t>
  </si>
  <si>
    <t>1 Year onsite + 1 year PC</t>
  </si>
  <si>
    <t>83AQ005SIN</t>
  </si>
  <si>
    <t>IPPro5 16IRH8</t>
  </si>
  <si>
    <t>RTX_3050_6GB_G6_96B</t>
  </si>
  <si>
    <t>16_WQXGA_AG_350N_120_N_SRGB</t>
  </si>
  <si>
    <t>82YM0075IN</t>
  </si>
  <si>
    <t>82R900ELIN</t>
  </si>
  <si>
    <t>82R9005JIN</t>
  </si>
  <si>
    <t>82U90080IN</t>
  </si>
  <si>
    <t>Yoga Slim 7C</t>
  </si>
  <si>
    <t>YGS7Carbon 13IAP7</t>
  </si>
  <si>
    <t>i7-1260P</t>
  </si>
  <si>
    <t>13.3_WQXGA_AG400N_90_MT_N_SRGB</t>
  </si>
  <si>
    <t>3 Yr Warranty + 1 Yr PC + 1 Yr AD</t>
  </si>
  <si>
    <t>82VG00J5IN</t>
  </si>
  <si>
    <t>82K101M5IN</t>
  </si>
  <si>
    <t>82K2025XIN</t>
  </si>
  <si>
    <t xml:space="preserve">1 Yr Onsite </t>
  </si>
  <si>
    <t>83FQ002QIN</t>
  </si>
  <si>
    <t>83AY003CIN</t>
  </si>
  <si>
    <t>13.3" 2.5K (2560x1600) IPS 400nits Anti-glare / Anti-fingerprint, 100% sRGB, 90Hz, Eyesafe®, Dolby® Vision™, Touch, TCON</t>
  </si>
  <si>
    <t>82YM004TIN</t>
  </si>
  <si>
    <t>83D4002NIN</t>
  </si>
  <si>
    <t>IP Pro 5 16IMH9</t>
  </si>
  <si>
    <t>NVIDIA® GeForce RTX™ 3050 6GB GDDR6</t>
  </si>
  <si>
    <t>16" 2K (2048x1280) OLED 400nits Glossy, 100% DCI-P3, 120Hz</t>
  </si>
  <si>
    <t>82TK00AFIN</t>
  </si>
  <si>
    <t>Yoga Slim 7 ProX</t>
  </si>
  <si>
    <t>Yoga Slim 7 ProX 14IAH7</t>
  </si>
  <si>
    <t>RTX3050_4GB_G6_128B_MAXQ</t>
  </si>
  <si>
    <t>14.5_3K_GL_400N_120_MT_SRGB</t>
  </si>
  <si>
    <t>83DG004RIN</t>
  </si>
  <si>
    <t>i7 OS 6GB GFX Office</t>
  </si>
  <si>
    <t>Legion5</t>
  </si>
  <si>
    <t>Legion 5 16IRX9</t>
  </si>
  <si>
    <t>i7 14650HX</t>
  </si>
  <si>
    <t>16_WQXGA_AG_350N_165_SRGB</t>
  </si>
  <si>
    <t>83DE001HIN</t>
  </si>
  <si>
    <t>i9 OS 12GB GFX Office</t>
  </si>
  <si>
    <t>Legion Pro 7 16IRX9H</t>
  </si>
  <si>
    <t>i9 14900HX</t>
  </si>
  <si>
    <t>16_WQXGA_AG_500N_240_HDR_P3</t>
  </si>
  <si>
    <t>83DE001JIN</t>
  </si>
  <si>
    <t>i9 OS 16GB GFX Office</t>
  </si>
  <si>
    <t>83DF003NIN</t>
  </si>
  <si>
    <t>i7 OS 8GB GFX Office</t>
  </si>
  <si>
    <t>Legion Pro 5</t>
  </si>
  <si>
    <t>Legion Pro 5 16IRX9</t>
  </si>
  <si>
    <t>83DF003PIN</t>
  </si>
  <si>
    <t>i9 OS 8GB GFX Office</t>
  </si>
  <si>
    <t>83DG004SIN</t>
  </si>
  <si>
    <t>83DG009DIN</t>
  </si>
  <si>
    <t>83DV00BEIN</t>
  </si>
  <si>
    <t>1 year onsite</t>
  </si>
  <si>
    <t>83DV00BHIN</t>
  </si>
  <si>
    <t>i5 OS 6GB Gfx Office</t>
  </si>
  <si>
    <t>83DV00BJIN</t>
  </si>
  <si>
    <t>LoQ 15IRX9</t>
  </si>
  <si>
    <t>83DV00HBIN</t>
  </si>
  <si>
    <t>83FD000XIN</t>
  </si>
  <si>
    <t>i9 OS 32GB GFX Office</t>
  </si>
  <si>
    <t>Legion 7 16IRX9</t>
  </si>
  <si>
    <t>83FD000YIN</t>
  </si>
  <si>
    <t>83FD0010IN</t>
  </si>
  <si>
    <t>83G0003AIN</t>
  </si>
  <si>
    <t>Legion 9 16IRX9</t>
  </si>
  <si>
    <t>64GB</t>
  </si>
  <si>
    <t>2x1TB SSD</t>
  </si>
  <si>
    <t>16" 3.2K (3200x2000) Mini LED 1200nits Anti-glare, 100% DCI-P3</t>
  </si>
  <si>
    <t>83GS003UIN</t>
  </si>
  <si>
    <t>LoQ 15IAX9</t>
  </si>
  <si>
    <t>83GS003VIN</t>
  </si>
  <si>
    <t>LOQ 15IAX9</t>
  </si>
  <si>
    <t>83GS008VIN</t>
  </si>
  <si>
    <t>i5 OS 4GB Gfx</t>
  </si>
  <si>
    <t>12GB</t>
  </si>
  <si>
    <t>OFFICE TRIAL</t>
  </si>
  <si>
    <t>83GS009RIN</t>
  </si>
  <si>
    <t>i5 OS 4GB Gfx Office</t>
  </si>
  <si>
    <t>82R400BGIN</t>
  </si>
  <si>
    <t>82KU024GIN</t>
  </si>
  <si>
    <t>82SB00Y9IN</t>
  </si>
  <si>
    <t>R7 OS 4GB GFX Office</t>
  </si>
  <si>
    <t>82SB00VGIN</t>
  </si>
  <si>
    <t>83DJ007UIN</t>
  </si>
  <si>
    <t>Ultra 5 OS Office</t>
  </si>
  <si>
    <t>Yoga 7 2-in-1</t>
  </si>
  <si>
    <t>Yoga 7 2-in-1 14IML9</t>
  </si>
  <si>
    <t>Core Ultra 5</t>
  </si>
  <si>
    <t>Ultra 5 125H</t>
  </si>
  <si>
    <t>1TB</t>
  </si>
  <si>
    <t>82V700ECIN</t>
  </si>
  <si>
    <t>82R400EFIN</t>
  </si>
  <si>
    <t>IP 1 15ALC6</t>
  </si>
  <si>
    <t>83ER00BCIN</t>
  </si>
  <si>
    <t>82XT00EEIN</t>
  </si>
  <si>
    <t>R5 7640HS</t>
  </si>
  <si>
    <t>83B2007VIN</t>
  </si>
  <si>
    <t>83DV007GIN</t>
  </si>
  <si>
    <t>I5 13450HX</t>
  </si>
  <si>
    <t>83DV00LWIN</t>
  </si>
  <si>
    <t>24GB</t>
  </si>
  <si>
    <t>83DV00LXIN</t>
  </si>
  <si>
    <t>83DX0006IN</t>
  </si>
  <si>
    <t>LoQ 15AHP9</t>
  </si>
  <si>
    <t>8XXXHS</t>
  </si>
  <si>
    <t>R7 8845HS</t>
  </si>
  <si>
    <t>83DX000MIN</t>
  </si>
  <si>
    <t>LOQ 15AHP9</t>
  </si>
  <si>
    <t>83GS003NIN</t>
  </si>
  <si>
    <t>83D4002PIN</t>
  </si>
  <si>
    <t>RTX4050_6GB</t>
  </si>
  <si>
    <t>16" 2K (2048x1280) OLED 400nits Glossy, 100% DCI-P3, 120Hz, Eyesafe®, DisplayHDR™ True Black 500</t>
  </si>
  <si>
    <t>83D5000SIN</t>
  </si>
  <si>
    <t>RYZEN_7_HPT_HS</t>
  </si>
  <si>
    <t>IP Pro 5 16AHP9</t>
  </si>
  <si>
    <t>83DJ006YIN</t>
  </si>
  <si>
    <t>82WM00FEIN</t>
  </si>
  <si>
    <t>R9 OS Office GFX 8GB</t>
  </si>
  <si>
    <t>Legion Pro5 16ARX8</t>
  </si>
  <si>
    <t>R9</t>
  </si>
  <si>
    <t>R9 7945HX</t>
  </si>
  <si>
    <t>16_WQXGA_AG_500N_240_P3</t>
  </si>
  <si>
    <t>82WM00FFIN</t>
  </si>
  <si>
    <t>Series</t>
  </si>
  <si>
    <t>ADP Addition</t>
  </si>
  <si>
    <t>RAM/HDD</t>
  </si>
  <si>
    <t>Operating System</t>
  </si>
  <si>
    <t>Color</t>
  </si>
  <si>
    <t>Carrycase MTM</t>
  </si>
  <si>
    <t>Additional Warranty Offering</t>
  </si>
  <si>
    <t>Segment Type</t>
  </si>
  <si>
    <t>AI PC</t>
  </si>
  <si>
    <t>Weight</t>
  </si>
  <si>
    <t>ADP Additional</t>
  </si>
  <si>
    <t>Keyboard</t>
  </si>
  <si>
    <t>Login Option</t>
  </si>
  <si>
    <t>T3 billing taxpaid</t>
  </si>
  <si>
    <t>Activation taxpaid</t>
  </si>
  <si>
    <t>Effective T3 NLC taxpaid</t>
  </si>
  <si>
    <t>32GB,1TB SSD</t>
  </si>
  <si>
    <t>WINDOWS 11 HOME 64 SL</t>
  </si>
  <si>
    <t>GX41C86982</t>
  </si>
  <si>
    <t>1 Year Hard bundled Legion Ultimate Support</t>
  </si>
  <si>
    <t>1 Year ADP</t>
  </si>
  <si>
    <t>Per Key RGB</t>
  </si>
  <si>
    <t>-</t>
  </si>
  <si>
    <t>1 Year LUS</t>
  </si>
  <si>
    <t>16GB, 1TB SSD</t>
  </si>
  <si>
    <t>ONYX_GREY</t>
  </si>
  <si>
    <t>2.5Kg</t>
  </si>
  <si>
    <t>4 Zone RGB</t>
  </si>
  <si>
    <t>32GB, 1TB SSD</t>
  </si>
  <si>
    <t>Legion Pro7</t>
  </si>
  <si>
    <t xml:space="preserve">GX40Q75210 </t>
  </si>
  <si>
    <t>White Backlit</t>
  </si>
  <si>
    <t>Legion Pro5</t>
  </si>
  <si>
    <t>16GB,1TB SSD</t>
  </si>
  <si>
    <t>Storm Grey</t>
  </si>
  <si>
    <t>16GB,512GB SSD</t>
  </si>
  <si>
    <t>LUNA_GREY</t>
  </si>
  <si>
    <t>2.36kg</t>
  </si>
  <si>
    <t>1 year LUS</t>
  </si>
  <si>
    <t>LENOVO_BLACK</t>
  </si>
  <si>
    <t>2.62Kg</t>
  </si>
  <si>
    <t>2.5kg</t>
  </si>
  <si>
    <t>83DV00HDIN</t>
  </si>
  <si>
    <t>2.38kg</t>
  </si>
  <si>
    <t>GX40Q75210 </t>
  </si>
  <si>
    <t>Legion 7i</t>
  </si>
  <si>
    <t>ECLIPSE_BLACK</t>
  </si>
  <si>
    <t>2.24Kg</t>
  </si>
  <si>
    <t>83DV008YIN</t>
  </si>
  <si>
    <t>16GB, 512GB SSD</t>
  </si>
  <si>
    <t>83DV00H1IN</t>
  </si>
  <si>
    <t>83DG00LEIN</t>
  </si>
  <si>
    <t>Office 2024</t>
  </si>
  <si>
    <t>83DX00CTIN</t>
  </si>
  <si>
    <t>83DG00LFIN</t>
  </si>
  <si>
    <t>83DF00JBIN</t>
  </si>
  <si>
    <t>83DV00V8IN</t>
  </si>
  <si>
    <t>83DV00LVIN</t>
  </si>
  <si>
    <t>24GB, 512GB SSD</t>
  </si>
  <si>
    <t>GX40Q75210</t>
  </si>
  <si>
    <t>83DV00MKIN</t>
  </si>
  <si>
    <t>83FQ000EIN</t>
  </si>
  <si>
    <t>8GB, 512GB SSD</t>
  </si>
  <si>
    <t>83JJ000DIN</t>
  </si>
  <si>
    <t>2.32kg</t>
  </si>
  <si>
    <t>Legion GO</t>
  </si>
  <si>
    <t>83E1004MIN</t>
  </si>
  <si>
    <t>Z1 Extreme</t>
  </si>
  <si>
    <t>Integrated AMD Radeon™ Graphics</t>
  </si>
  <si>
    <t>8.8_WQXGA_500N_144_ 97% DCI-P3</t>
  </si>
  <si>
    <t>Shadow Black</t>
  </si>
  <si>
    <t>0.854 Kg</t>
  </si>
  <si>
    <t>Yoga Book 9 (New)</t>
  </si>
  <si>
    <t>83FF0034IN</t>
  </si>
  <si>
    <t>Core Ultra 7 155U</t>
  </si>
  <si>
    <t>Integrated Intel Graphics</t>
  </si>
  <si>
    <t>2x 13.3" 2.8K (2880x1800) OLED 400nits Glossy / Anti-fingerprint, 100% DCI-P3, 60Hz, Eyesafe®, Dolby Vision®, DisplayHDR™ True Black 500, Glass, Touch</t>
  </si>
  <si>
    <t>Tidal Teal</t>
  </si>
  <si>
    <t>1.34kg</t>
  </si>
  <si>
    <t>GX41A41186</t>
  </si>
  <si>
    <t>1 Year Hard bundled Premium Care</t>
  </si>
  <si>
    <t>Backlit</t>
  </si>
  <si>
    <t>IR Camera</t>
  </si>
  <si>
    <t>5.0MP + IR with E-shutter</t>
  </si>
  <si>
    <t>Yoga 9i</t>
  </si>
  <si>
    <t>14" 4K (3840x2400) OLED 400nits Glossy, 100% DCI-P3, DisplayHDR™ 500, Dolby® Vision™, Eyesafe®, Glass, Touch</t>
  </si>
  <si>
    <t>Oatmeal</t>
  </si>
  <si>
    <t>1.4 kg</t>
  </si>
  <si>
    <t>FPR Touch Style/ IR Camera</t>
  </si>
  <si>
    <t>Yoga 9 2in1</t>
  </si>
  <si>
    <t>83AC001LIN</t>
  </si>
  <si>
    <t>Core Ultra 7 155H</t>
  </si>
  <si>
    <t>Integrated Arc Graphics</t>
  </si>
  <si>
    <t>14" 2.8K (2880x1800) OLED 400nits Glossy / Anti-fingerprint, 100% DCI-P3, 120Hz, Eyesafe®, Dolby Vision®, DisplayHDR™ 500, Glass, Touch</t>
  </si>
  <si>
    <t>Cosmic Blue</t>
  </si>
  <si>
    <t>1.32kg</t>
  </si>
  <si>
    <t>Yoga 7i</t>
  </si>
  <si>
    <t>82YL0098IN</t>
  </si>
  <si>
    <t>14" WUXGA (1920x1200) OLED 400nits Glossy, 100% DCI-P3, 60Hz, DisplayHDR™ True Black 500, Dolby® Vision™, TÜV Low Blue Light, Glass, Touch</t>
  </si>
  <si>
    <t>1.49kg</t>
  </si>
  <si>
    <t>83DJ008WIN</t>
  </si>
  <si>
    <t>Integrated Intel® Arc™ Graphics</t>
  </si>
  <si>
    <t>14" 2.8K (2880x1800) OLED 400nits Glossy / Anti-fingerprint, 100% DCI-P3, 120Hz, Dolby Vision®, DisplayHDR™ True Black 500, TÜV Low Blue Light, Glass, Touch</t>
  </si>
  <si>
    <t>1.49Kg</t>
  </si>
  <si>
    <t>14" WUXGA (1920x1200) OLED 400nits Glossy / Anti-fingerprint, 100% DCI-P3, 60Hz, Dolby® Vision®, DisplayHDR™ True Black 500, TÜV Low Blue Light, Glass, Touch</t>
  </si>
  <si>
    <t>83DJ00DFIN</t>
  </si>
  <si>
    <t>OFFICE H&amp;S 2024</t>
  </si>
  <si>
    <t>83DJ006XIN</t>
  </si>
  <si>
    <t>Core Ultra 5 125H</t>
  </si>
  <si>
    <t>83DJ00DGIN</t>
  </si>
  <si>
    <t>83DJ00AKIN</t>
  </si>
  <si>
    <t>IR Camera, No Pen</t>
  </si>
  <si>
    <t>83DJ00AMIN</t>
  </si>
  <si>
    <t>83DJ00DDIN</t>
  </si>
  <si>
    <t>83B2007TIN</t>
  </si>
  <si>
    <t>RYZEN 7 7730U</t>
  </si>
  <si>
    <t>13.3" WUXGA (1920x1200) IPS 300nits Glossy, 100% sRGB, Dolby® Vision™, TÜV Low Blue Light, Touch</t>
  </si>
  <si>
    <t>Dark Teal</t>
  </si>
  <si>
    <t>1.37kg</t>
  </si>
  <si>
    <t xml:space="preserve">Backlit </t>
  </si>
  <si>
    <t>Ideapad 5 2-in-1</t>
  </si>
  <si>
    <t>R5 8645HS</t>
  </si>
  <si>
    <t>Integrated AMD Radeon™ 760M Graphics</t>
  </si>
  <si>
    <t>14" WUXGA (1920x1200) IPS 300nits Glossy, 45% NTSC, 60Hz, TÜV Low Blue Light, Glass, Touch</t>
  </si>
  <si>
    <t>Luna Grey</t>
  </si>
  <si>
    <t>1.6 kg</t>
  </si>
  <si>
    <t>FPR Touch Style</t>
  </si>
  <si>
    <t>83DR007CIN</t>
  </si>
  <si>
    <t>Integrated AMD Radeon™ 780M Graphics</t>
  </si>
  <si>
    <t>83DR007DIN</t>
  </si>
  <si>
    <t>Integrated Intel UHD Graphics</t>
  </si>
  <si>
    <t>83KX004RIN</t>
  </si>
  <si>
    <t>83DT004SIN</t>
  </si>
  <si>
    <t>Core 5 120U</t>
  </si>
  <si>
    <t>Integrated Intel® Graphics</t>
  </si>
  <si>
    <t>1.6kg</t>
  </si>
  <si>
    <t>83KX0015IN</t>
  </si>
  <si>
    <t>14" WUXGA (1920x1200) IPS 300nits Glossy, Glass, Touch</t>
  </si>
  <si>
    <t>83KX004QIN</t>
  </si>
  <si>
    <t xml:space="preserve">OFFICE H&amp;S 2024  </t>
  </si>
  <si>
    <t>Flex 5i</t>
  </si>
  <si>
    <t>82Y00052IN</t>
  </si>
  <si>
    <t>Integrated Intel Iris Xe Graphics</t>
  </si>
  <si>
    <t>Arctic Grey</t>
  </si>
  <si>
    <t>1.5 kg</t>
  </si>
  <si>
    <t>82Y0004RIN</t>
  </si>
  <si>
    <t>i3-1315U</t>
  </si>
  <si>
    <t>Integrated Intel® UHD Graphics</t>
  </si>
  <si>
    <t>14" WUXGA (1920x1200) IPS 300nits Glossy, 45% NTSC, TÜV Low Blue Light, Glass, Touch</t>
  </si>
  <si>
    <t>82R700KHIN</t>
  </si>
  <si>
    <t>82R900D8IN</t>
  </si>
  <si>
    <t>RYZEN 7 5700U</t>
  </si>
  <si>
    <t>Integrated AMD Radeon Graphics</t>
  </si>
  <si>
    <t>1.55 kg</t>
  </si>
  <si>
    <t>82R900HFIN</t>
  </si>
  <si>
    <t>OFFICE H&amp;S 2021</t>
  </si>
  <si>
    <t>82R900HJIN</t>
  </si>
  <si>
    <t>Ideapad Slim 5</t>
  </si>
  <si>
    <t>83BG000DIN</t>
  </si>
  <si>
    <t>Cloud Grey</t>
  </si>
  <si>
    <t> GX40Q75210 </t>
  </si>
  <si>
    <t>83HS000XIN</t>
  </si>
  <si>
    <t>16_2.8K_OLED_GL500N_120_HDR_P3</t>
  </si>
  <si>
    <t>1.69Kg</t>
  </si>
  <si>
    <t>83DC007LIN</t>
  </si>
  <si>
    <t>CLOUD_GREY</t>
  </si>
  <si>
    <t>1.89kg</t>
  </si>
  <si>
    <t>83DC0093IN</t>
  </si>
  <si>
    <t>83HL0035IN</t>
  </si>
  <si>
    <t>83E00012IN</t>
  </si>
  <si>
    <t>14" WUXGA (1920x1200) OLED 400nits Glossy, 100% DCI-P3, 60Hz, Eyesafe®, Dolby® Vision™, DisplayHDR™ True Black 500</t>
  </si>
  <si>
    <t>1.35Kg</t>
  </si>
  <si>
    <t>82XF007FIN</t>
  </si>
  <si>
    <t>83HL003NIN</t>
  </si>
  <si>
    <t>83CV006BIN</t>
  </si>
  <si>
    <t>1.39Kg</t>
  </si>
  <si>
    <t>83DC008VIN</t>
  </si>
  <si>
    <t>83E00017IN</t>
  </si>
  <si>
    <t>Ideapad Pro 5</t>
  </si>
  <si>
    <t>ARCTIC_GREY</t>
  </si>
  <si>
    <t>1.46Kg</t>
  </si>
  <si>
    <t>83D2004XIN</t>
  </si>
  <si>
    <t>CORE ULT7 155H</t>
  </si>
  <si>
    <t>83CV0079IN</t>
  </si>
  <si>
    <t>1.94Kg</t>
  </si>
  <si>
    <t>Yoga Pro 7</t>
  </si>
  <si>
    <t>83HN0027IN</t>
  </si>
  <si>
    <t>14.5_2.8K_OLED400N_120_HDRP3_G</t>
  </si>
  <si>
    <t>1.54kg</t>
  </si>
  <si>
    <t>Core ULT9 285H</t>
  </si>
  <si>
    <t>NVIDIA® GeForce RTX™ 4050 6GB GDDR6</t>
  </si>
  <si>
    <t>16_2K_OLED_GL_400N_120_HD</t>
  </si>
  <si>
    <t>1.91Kg</t>
  </si>
  <si>
    <t>83ED0065IN</t>
  </si>
  <si>
    <t>83HM004NIN</t>
  </si>
  <si>
    <t>CORE ULT7 258V</t>
  </si>
  <si>
    <t>15.3" 2.8K WQXGA+ (2880x1800) IPS 500nits Glossy / Anti-fingerprint, 100% DCI-P3, 100% sRGB, 120Hz, Eyesafe®, Dolby Vision®, DisplayHDR™ 400, Glass, Touch, TCON</t>
  </si>
  <si>
    <t>1.53kg</t>
  </si>
  <si>
    <t>83E6001UIN</t>
  </si>
  <si>
    <t>15.6" FHD (1920x1080) IPS 300nits Anti-glare</t>
  </si>
  <si>
    <t>1.62 kg</t>
  </si>
  <si>
    <t>83ED003BIN</t>
  </si>
  <si>
    <t>83K100C6IN</t>
  </si>
  <si>
    <t>OFFICE HOME 2024</t>
  </si>
  <si>
    <t>15.3" WUXGA (1920x1200) IPS 300nits Anti-glare</t>
  </si>
  <si>
    <t>1.59 kg</t>
  </si>
  <si>
    <t>83EM00GSIN</t>
  </si>
  <si>
    <t>83EL0053IN</t>
  </si>
  <si>
    <t>83ER00KSIN</t>
  </si>
  <si>
    <t>82XQ00MFIN</t>
  </si>
  <si>
    <t>1.62Kg</t>
  </si>
  <si>
    <t>83E2005EIN</t>
  </si>
  <si>
    <t>14.5" 2.8K (2880x1800) OLED 400nits Glossy, 100% P3, 120Hz, Eyesafe®, Dolby Vision®, DisplayHDR™ True Black 500, Glass</t>
  </si>
  <si>
    <t>1.59Kg</t>
  </si>
  <si>
    <t>Yoga Pro 9</t>
  </si>
  <si>
    <t>83DN004VIN</t>
  </si>
  <si>
    <t>CORE ULT9 185H</t>
  </si>
  <si>
    <t>16" 3.2K (3200x2000) IPS 400nits Glossy / Anti-fingerprint, 100% P3, 100% sRGB, 165Hz, Eyesafe®, Dolby Vision®, Glass, Touch, TCON</t>
  </si>
  <si>
    <t>2Kg</t>
  </si>
  <si>
    <t>83JJ0010IN</t>
  </si>
  <si>
    <t>83DV00BCIN</t>
  </si>
  <si>
    <t>83JX001LIN</t>
  </si>
  <si>
    <t>CORE ULT5 228V</t>
  </si>
  <si>
    <t>1.19kg</t>
  </si>
  <si>
    <t>83JX001MIN</t>
  </si>
  <si>
    <t>Program Code</t>
  </si>
  <si>
    <t>Link Type</t>
  </si>
  <si>
    <t>Program Type</t>
  </si>
  <si>
    <t>GTN Reason</t>
  </si>
  <si>
    <t>T1 BP Name-Local</t>
  </si>
  <si>
    <t>Start Date</t>
  </si>
  <si>
    <t>End Date</t>
  </si>
  <si>
    <t>Region</t>
  </si>
  <si>
    <t>State</t>
  </si>
  <si>
    <t>Territory</t>
  </si>
  <si>
    <t>Min Qty</t>
  </si>
  <si>
    <t>Max Qty</t>
  </si>
  <si>
    <t>Support/Unit
(W/O Tax)</t>
  </si>
  <si>
    <t>Tax Paid Support</t>
  </si>
  <si>
    <t>Inventory Management - Tactical Support</t>
  </si>
  <si>
    <t>All</t>
  </si>
  <si>
    <t>82XQ0095IN</t>
  </si>
  <si>
    <t>82RK019DIN</t>
  </si>
  <si>
    <t>82XQ0096IN</t>
  </si>
  <si>
    <t>82X70032IN</t>
  </si>
  <si>
    <t>82X70034IN</t>
  </si>
  <si>
    <t>83GS000PIN</t>
  </si>
  <si>
    <t>83DV00HCIN</t>
  </si>
  <si>
    <t>83GS000XIN</t>
  </si>
  <si>
    <t>83GS008SIN</t>
  </si>
  <si>
    <t>83GS0097IN</t>
  </si>
  <si>
    <t>82XE006XIN</t>
  </si>
  <si>
    <t>83DA008SIN</t>
  </si>
  <si>
    <t>82WV0065IN</t>
  </si>
  <si>
    <t>83GS00CJIN</t>
  </si>
  <si>
    <t>82X700C7IN</t>
  </si>
  <si>
    <t>82X700E0IN</t>
  </si>
  <si>
    <t>82RJ00G5IN</t>
  </si>
  <si>
    <t>83JC0031IN</t>
  </si>
  <si>
    <t>83JC0078IN</t>
  </si>
  <si>
    <t>83DV00LAIN</t>
  </si>
  <si>
    <t>83GS0098IN</t>
  </si>
  <si>
    <t>83GS00CKIN</t>
  </si>
  <si>
    <t>83DV00HAIN</t>
  </si>
  <si>
    <t>83DV00PQIN</t>
  </si>
  <si>
    <t>83GS00LHIN</t>
  </si>
  <si>
    <t>83GS00LKIN</t>
  </si>
  <si>
    <t>83GS00LFIN</t>
  </si>
  <si>
    <t>83DV00X7IN</t>
  </si>
  <si>
    <t>83JC00EHIN</t>
  </si>
  <si>
    <t>83GS00PJIN</t>
  </si>
  <si>
    <t>82X700C8IN</t>
  </si>
  <si>
    <t>83EM00H0IN</t>
  </si>
  <si>
    <t>83JC00EFIN</t>
  </si>
  <si>
    <t>82X6004GIN</t>
  </si>
  <si>
    <t>83JC00EEIN</t>
  </si>
  <si>
    <t>83E00004IN</t>
  </si>
  <si>
    <t>83DV00XHIN</t>
  </si>
  <si>
    <t>2.38 Kg</t>
  </si>
  <si>
    <t>83DV00MLIN</t>
  </si>
  <si>
    <t>2.38Kg</t>
  </si>
  <si>
    <t>R7 7435HS</t>
  </si>
  <si>
    <t>83DV00XDIN</t>
  </si>
  <si>
    <t>82YL00AYIN</t>
  </si>
  <si>
    <t>i5 1340p</t>
  </si>
  <si>
    <t>14" WUXGA (1920x1200) OLED 400nits Glossy / Anti-fingerprint, 100% DCI-P3, 60Hz, Dolby Vision®, TÜV Low Blue Light, DisplayHDR™ True Black 500, Glass, Touch</t>
  </si>
  <si>
    <t>1.49 kg</t>
  </si>
  <si>
    <t>INTEGRATED GRAPHICS</t>
  </si>
  <si>
    <t>83JC00EGIN</t>
  </si>
  <si>
    <t>83DV00X6IN</t>
  </si>
  <si>
    <t>83DV00KUIN</t>
  </si>
  <si>
    <t>14" WUXGA (1920x1200) IPS 300nits Anti-glare, 45% NTSC, TÜV Low Blue Light</t>
  </si>
  <si>
    <t>R5 7235HS</t>
  </si>
  <si>
    <t>12GB,512GB SSD</t>
  </si>
  <si>
    <t>12GB, 512GB SSD</t>
  </si>
  <si>
    <t>83J2000HIN</t>
  </si>
  <si>
    <t>13.3_WUXGA_AG_400N_SRGB</t>
  </si>
  <si>
    <t>1.15 Kg</t>
  </si>
  <si>
    <t>83FQ0040IN</t>
  </si>
  <si>
    <t>83HR000WIN</t>
  </si>
  <si>
    <t>14" WUXGA (1920x1200) OLED 400nits Glossy, 100% DCI-P3, DisplayHDR™ True Black 500</t>
  </si>
  <si>
    <t>1.39kg</t>
  </si>
  <si>
    <t>82XM00MTIN</t>
  </si>
  <si>
    <t>Ryzen 7 5825U</t>
  </si>
  <si>
    <t>15.6" FHD (1920x1080) IPS 250nits Anti-glare</t>
  </si>
  <si>
    <t xml:space="preserve">Non-backlit </t>
  </si>
  <si>
    <t>82XM00UGIN</t>
  </si>
  <si>
    <t>Ryzen 5 5625U</t>
  </si>
  <si>
    <t>82XM00U9IN</t>
  </si>
  <si>
    <t>8GB,512GB SSD</t>
  </si>
  <si>
    <t>15.6" FHD (1920x1080) TN 250nits Anti-glare</t>
  </si>
  <si>
    <t>1.63Kg</t>
  </si>
  <si>
    <t>15.6" FHD (1920x1080) 250nits Anti-glare</t>
  </si>
  <si>
    <t>1 Years Onsite</t>
  </si>
  <si>
    <t>14" FHD (1920x1080) TN 250nits Anti-glare</t>
  </si>
  <si>
    <t>1.43Kg</t>
  </si>
  <si>
    <t>Ideapad Slim 3</t>
  </si>
  <si>
    <t>Ryzen 3 7320U</t>
  </si>
  <si>
    <t>Integrated Intel UHD Graphics 600</t>
  </si>
  <si>
    <t>15.6" HD TN 220nits AG</t>
  </si>
  <si>
    <t>Source of data to be Picked by COS Team</t>
  </si>
  <si>
    <t>T2 Green</t>
  </si>
  <si>
    <t>Activation</t>
  </si>
  <si>
    <t>82R4010CIN</t>
  </si>
  <si>
    <t>82RK011FIN</t>
  </si>
  <si>
    <t>82RK011GIN</t>
  </si>
  <si>
    <t>82XX0070IN</t>
  </si>
  <si>
    <t>82XD004RIN</t>
  </si>
  <si>
    <t>83ER00F2IN</t>
  </si>
  <si>
    <t>83EM0023IN</t>
  </si>
  <si>
    <t>83EQ005KIN</t>
  </si>
  <si>
    <t>83EQ0074IN</t>
  </si>
  <si>
    <t>83EQ005TIN</t>
  </si>
  <si>
    <t>82Y0004SIN</t>
  </si>
  <si>
    <t>83EQ0044IN</t>
  </si>
  <si>
    <t>83DX00CSIN</t>
  </si>
  <si>
    <t>83DV00XFIN</t>
  </si>
  <si>
    <t>83EQ0073IN</t>
  </si>
  <si>
    <t>83EQ0072IN</t>
  </si>
  <si>
    <t>83EQ005VIN</t>
  </si>
  <si>
    <t>83EQ0063IN</t>
  </si>
  <si>
    <t>83ER008HIN</t>
  </si>
  <si>
    <t>83ER00M2IN</t>
  </si>
  <si>
    <t>Integrated Intel Arc Graphics 130V</t>
  </si>
  <si>
    <t>14" WUXGA (1920x1200) OLED 600nits (peak) / 400nits (typical) Glossy, 100% DCI-P3, 60Hz, Eyesafe®, Dolby Vision®, DisplayHDR™ True Black 500, X-Rite®</t>
  </si>
  <si>
    <t>Integrated Intel® Arc™ Graphics 140V</t>
  </si>
  <si>
    <t>83DJ00FVIN</t>
  </si>
  <si>
    <t>83JQ000XIN</t>
  </si>
  <si>
    <t>CORE ULT5 226V</t>
  </si>
  <si>
    <t>Seashell</t>
  </si>
  <si>
    <t>1.38Kg</t>
  </si>
  <si>
    <t>83JQ000VIN</t>
  </si>
  <si>
    <t>CORE ULT7 256V</t>
  </si>
  <si>
    <t>83JQ000NIN</t>
  </si>
  <si>
    <t>14_2.8K_OLED_GL500N_120MT_P3_G</t>
  </si>
  <si>
    <t>83HX001NIN</t>
  </si>
  <si>
    <t>Ryzen AI 7 350</t>
  </si>
  <si>
    <t>24GB, 1TB SSD</t>
  </si>
  <si>
    <t>Integrated AMD Radeon™ 860M Graphics</t>
  </si>
  <si>
    <t>FHD 1080p + IR with Privacy Shutter, ToF Sensor</t>
  </si>
  <si>
    <t>83JY000UIN</t>
  </si>
  <si>
    <t>1.19Kg</t>
  </si>
  <si>
    <t>FHD 1080p + IR with E-shutter</t>
  </si>
  <si>
    <t>83JX005FIN</t>
  </si>
  <si>
    <t>Core Ultra 5 226V</t>
  </si>
  <si>
    <t>Integrated Intel® Arc™ Graphics 130V</t>
  </si>
  <si>
    <t>82R400BSIN</t>
  </si>
  <si>
    <t>83DJ007TIN</t>
  </si>
  <si>
    <t>83EM00GXIN</t>
  </si>
  <si>
    <t>83K100C9IN</t>
  </si>
  <si>
    <t>82XQ00MDIN</t>
  </si>
  <si>
    <t>83LK0031IN</t>
  </si>
  <si>
    <t>83LK0032IN</t>
  </si>
  <si>
    <t>83LK000HIN</t>
  </si>
  <si>
    <t>83DA008UIN</t>
  </si>
  <si>
    <t>83LK00AMIN</t>
  </si>
  <si>
    <t>82LX00F7IN</t>
  </si>
  <si>
    <t>83B40004IN</t>
  </si>
  <si>
    <t>83ER00KPIN</t>
  </si>
  <si>
    <t>82X700G4IN</t>
  </si>
  <si>
    <t>82X6005KIN</t>
  </si>
  <si>
    <t>82X700G3IN</t>
  </si>
  <si>
    <t>82X700F0IN</t>
  </si>
  <si>
    <t>82XQ00NXIN</t>
  </si>
  <si>
    <t>82X700HMIN</t>
  </si>
  <si>
    <t>82X700HJIN</t>
  </si>
  <si>
    <t>83JC00GCIN</t>
  </si>
  <si>
    <t>83JC00HNIN</t>
  </si>
  <si>
    <t>83DV018FIN</t>
  </si>
  <si>
    <t>83GS00LNIN</t>
  </si>
  <si>
    <t>83DV00XEIN</t>
  </si>
  <si>
    <t>83LK009VIN</t>
  </si>
  <si>
    <t>83KT000LIN</t>
  </si>
  <si>
    <t>83JR001EIN</t>
  </si>
  <si>
    <t>83ER00MCIN</t>
  </si>
  <si>
    <t>83K100HSIN</t>
  </si>
  <si>
    <t>83K100C7IN</t>
  </si>
  <si>
    <t>82XM011AIN</t>
  </si>
  <si>
    <t>82XM0118IN</t>
  </si>
  <si>
    <t>82XM0113IN</t>
  </si>
  <si>
    <t>83DV00B8IN</t>
  </si>
  <si>
    <t>83GS00LJIN</t>
  </si>
  <si>
    <t>83DV018KIN</t>
  </si>
  <si>
    <t>83DV018PIN</t>
  </si>
  <si>
    <t>83DV018EIN</t>
  </si>
  <si>
    <t>83DV00L0IN</t>
  </si>
  <si>
    <r>
      <t xml:space="preserve">14" WUXGA (1920x1200) </t>
    </r>
    <r>
      <rPr>
        <b/>
        <sz val="10"/>
        <color theme="1"/>
        <rFont val="Calibri"/>
        <family val="2"/>
        <scheme val="minor"/>
      </rPr>
      <t>OLED</t>
    </r>
    <r>
      <rPr>
        <sz val="10"/>
        <color theme="1"/>
        <rFont val="Calibri"/>
        <family val="2"/>
        <scheme val="minor"/>
      </rPr>
      <t xml:space="preserve"> 400nits Glossy, 100% DCI-P3, 60Hz, TÜV Low Blue Light, Glass, Touch</t>
    </r>
  </si>
  <si>
    <t>83DK009LIN</t>
  </si>
  <si>
    <t>RYZEN 7 8840HS</t>
  </si>
  <si>
    <t>83KR000HIN</t>
  </si>
  <si>
    <t>CORE ULT5 225H</t>
  </si>
  <si>
    <t>14_WUXGA_GL_300N_MT_G</t>
  </si>
  <si>
    <t>1.6Kg</t>
  </si>
  <si>
    <t>SEASHELL</t>
  </si>
  <si>
    <t>16" WUXGA (1920x1200) IPS 300nits Anti-glare, 100% sRGB, 60Hz</t>
  </si>
  <si>
    <t>Ryzen AI 9 365</t>
  </si>
  <si>
    <t>Integrated Intel Arc 140T GPU</t>
  </si>
  <si>
    <t>83JK000AIN</t>
  </si>
  <si>
    <t>14" 2.8K (2880x1800) OLED 500nits (typical) / 1100nits (peak) Glossy, 100% DCI-P3, DisplayHDR™ True Black 1000, 120Hz VRR</t>
  </si>
  <si>
    <t>Yoga Slim 7 (Aura Edition)</t>
  </si>
  <si>
    <t>CORE Ultra 7 258V</t>
  </si>
  <si>
    <t>15.6" FHD (1920x1080) 2500nits Anti-glare</t>
  </si>
  <si>
    <t>Yoga 9 2in1 (Aura Edition)</t>
  </si>
  <si>
    <t>83LC001FIN</t>
  </si>
  <si>
    <t>14" 4K WQUXGA (3840x2400) OLED 600nits (peak) / 400nits (typical) Glossy / Anti-fingerprint, 100% DCI-P3, 60Hz, Eyesafe, Dolby Vision, DisplayHDR True Black 500, Glass, Touch</t>
  </si>
  <si>
    <t>83CV008XIN</t>
  </si>
  <si>
    <t>OFFICE 2024</t>
  </si>
  <si>
    <t>83DC0094IN</t>
  </si>
  <si>
    <t>Yoga Pro 7 (Aura Edition)</t>
  </si>
  <si>
    <t>83KF001LIN</t>
  </si>
  <si>
    <t>CORE ULT9 285H</t>
  </si>
  <si>
    <t>Integrated Intel® Arc™ 140T GPU</t>
  </si>
  <si>
    <t>14.5" 3K (3000x1876) OLED 1000nits (peak) / 500nits (typical) Glossy / Anti-fingerprint, 100% DCI-P3, 120Hz, Eyesafe®, Dolby Vision®, DisplayHDR™ True Black 1000, Glass, Touch, X-Rite®, PureSight Pro</t>
  </si>
  <si>
    <t>83F500D7IN</t>
  </si>
  <si>
    <t>CORE ULT9 275HX</t>
  </si>
  <si>
    <t>RTX 5070 Ti 12GB</t>
  </si>
  <si>
    <t>16_WQXGA_OLED_GL500N_240_HDRP3</t>
  </si>
  <si>
    <t>2.57kg</t>
  </si>
  <si>
    <t>GX41T08941</t>
  </si>
  <si>
    <t>83F500D9IN</t>
  </si>
  <si>
    <t>RTX 5080 16GB</t>
  </si>
  <si>
    <t>83F500D8IN</t>
  </si>
  <si>
    <t>64GB, 1TB SSD</t>
  </si>
  <si>
    <t>RTX 5090 24GB</t>
  </si>
  <si>
    <t>14" WUXGA (1920x1200) OLED 500nits (peak) / 400nits (typical) Glossy, 100% DCI-P3, 60Hz, TÜV Low Blue Light, DisplayHDR™ True Black 500, Glass, Touch</t>
  </si>
  <si>
    <t>1.5Kg</t>
  </si>
  <si>
    <t>1.82kg</t>
  </si>
  <si>
    <t>83CV00B3IN</t>
  </si>
  <si>
    <t>Core Ultra 9 185H</t>
  </si>
  <si>
    <t>Yoga Slim 9</t>
  </si>
  <si>
    <t>83CX002LIN</t>
  </si>
  <si>
    <t>Core Ultra 7 258V</t>
  </si>
  <si>
    <t>Integrated Intel Arc Graphics 140V</t>
  </si>
  <si>
    <t>14" 4K WQUXGA (3840x2400) OLED 750nits (peak) / 600nits (typical) Glossy, 100% DCI-P3, 120Hz, Eyesafe®, Dolby Vision®, DisplayHDR™ True Black 600, Glass, Touch, X-Rite®, PureSight Pro</t>
  </si>
  <si>
    <t>1.23kg</t>
  </si>
  <si>
    <t>FHD 1080p (32MP) with E-shutter</t>
  </si>
  <si>
    <t>Celeron N4500</t>
  </si>
  <si>
    <t>1.55 Kg</t>
  </si>
  <si>
    <t>14" FHD (1920x1080) 250nits Anti-glare</t>
  </si>
  <si>
    <t>Luna_Grey</t>
  </si>
  <si>
    <t>83DV0144IN</t>
  </si>
  <si>
    <t>RTX 3050A 4GB</t>
  </si>
  <si>
    <t>83JC00GDIN</t>
  </si>
  <si>
    <t>83DV00X4IN</t>
  </si>
  <si>
    <t>LoQ Essential</t>
  </si>
  <si>
    <t>1.77kg</t>
  </si>
  <si>
    <t>12GB, 1TB SSD</t>
  </si>
  <si>
    <t>LOQ Essential</t>
  </si>
  <si>
    <t>I5 12450HX</t>
  </si>
  <si>
    <t>83DV018DIN</t>
  </si>
  <si>
    <t>83DV01A5IN</t>
  </si>
  <si>
    <t>83DV01AAIN</t>
  </si>
  <si>
    <t>83DV018QIN</t>
  </si>
  <si>
    <t>83KJ000QIN</t>
  </si>
  <si>
    <t>Core Ultra 9 285H</t>
  </si>
  <si>
    <t>2x 14" 2.8K WQXGA+ (2880x1800) OLED 750nits (peak) / 500nits (typical) Glossy / Anti-fingerprint, 100% DCI-P3, 120Hz, Eyesafe®, Dolby Vision®, DisplayHDR™ True Black 600, Glass, Touch, PureSight</t>
  </si>
  <si>
    <t>1.22kg</t>
  </si>
  <si>
    <t>Co-Pilot+ PC</t>
  </si>
  <si>
    <t>Snapdragon® X Elite X1E-78100 12C</t>
  </si>
  <si>
    <t>14.5" 3K (2944x1840) OLED 1000nits (peak), Touch Screen</t>
  </si>
  <si>
    <t>1.28kg</t>
  </si>
  <si>
    <t>83CV00D0IN</t>
  </si>
  <si>
    <t>83CV00D3IN</t>
  </si>
  <si>
    <t>Snapdragon® X Plus X1P-42-100, 8C</t>
  </si>
  <si>
    <t>14" WUXGA (1920x1200) IPS 300nits Anti-glare, 100% sRGB</t>
  </si>
  <si>
    <t>1.48kg</t>
  </si>
  <si>
    <t>83N3002QIN</t>
  </si>
  <si>
    <t>Snapdragon X X1-26-100</t>
  </si>
  <si>
    <t>Integrated Qualcomm Adreno GPU</t>
  </si>
  <si>
    <t>83DA008VIN</t>
  </si>
  <si>
    <t>GX41T87387</t>
  </si>
  <si>
    <t>Bundled Sleeve</t>
  </si>
  <si>
    <t>M365 Basic+OFFICE H&amp;S 2024</t>
  </si>
  <si>
    <t>83HM002GIN</t>
  </si>
  <si>
    <t>83HX00A5IN</t>
  </si>
  <si>
    <t>83HX0096IN</t>
  </si>
  <si>
    <t>Ryzen AI 5 330</t>
  </si>
  <si>
    <t>Integrated AMD Radeon™ 820M Graphics</t>
  </si>
  <si>
    <t>83K000B8IN</t>
  </si>
  <si>
    <t>14" WUXGA (1920x1200) IPS 300nits Anti-glare</t>
  </si>
  <si>
    <t>1.39 kg</t>
  </si>
  <si>
    <t>LoQ</t>
  </si>
  <si>
    <t>83JE00U4IN</t>
  </si>
  <si>
    <t>RTX 5060 8GB</t>
  </si>
  <si>
    <t>24 Zone RGB</t>
  </si>
  <si>
    <t>83JE00U5IN</t>
  </si>
  <si>
    <t>83JE00U6IN</t>
  </si>
  <si>
    <t>RTX 5050 8GB</t>
  </si>
  <si>
    <t>83JE00U7IN</t>
  </si>
  <si>
    <t>83JE00U3IN</t>
  </si>
  <si>
    <t>83DC0096IN</t>
  </si>
  <si>
    <t>83JY005YIN</t>
  </si>
  <si>
    <t>83JY0069IN</t>
  </si>
  <si>
    <t>83JG008NIN</t>
  </si>
  <si>
    <t>R7 250</t>
  </si>
  <si>
    <t>83JG008MIN</t>
  </si>
  <si>
    <t>83GS00MWIN</t>
  </si>
  <si>
    <t>i7 13620H</t>
  </si>
  <si>
    <t>83DA0043IN</t>
  </si>
  <si>
    <t>83DC003GIN</t>
  </si>
  <si>
    <t>83N30020IN</t>
  </si>
  <si>
    <t>R5 7520U</t>
  </si>
  <si>
    <t>i3 1315U</t>
  </si>
  <si>
    <t>83KA0048IN</t>
  </si>
  <si>
    <t>82X700HLIN</t>
  </si>
  <si>
    <t>83DV01B8IN</t>
  </si>
  <si>
    <t>Non-Backlit</t>
  </si>
  <si>
    <t>T2 BP Vertical</t>
  </si>
  <si>
    <t>Sold to T2 BP Vertical</t>
  </si>
  <si>
    <t>All VAT1</t>
  </si>
  <si>
    <t>T3</t>
  </si>
  <si>
    <t>VAT1 activation data</t>
  </si>
  <si>
    <t>83K100CPIN</t>
  </si>
  <si>
    <t>83JC00MUIN</t>
  </si>
  <si>
    <t>VAT 1 Activation</t>
  </si>
  <si>
    <t>Lenovo Notebook Price List - 1st Jan'26 to 31st Jan '26</t>
  </si>
  <si>
    <t>1.1.2026</t>
  </si>
  <si>
    <t>31.1.2026</t>
  </si>
  <si>
    <t>83HR000YIN</t>
  </si>
  <si>
    <t>83HX009DIN</t>
  </si>
  <si>
    <t>83K100CGIN</t>
  </si>
  <si>
    <t>83K100CJIN</t>
  </si>
  <si>
    <t>82XM00QDIN</t>
  </si>
  <si>
    <t>82XM0114IN</t>
  </si>
  <si>
    <t>83JC00K1IN</t>
  </si>
  <si>
    <t>83DV01BHIN</t>
  </si>
  <si>
    <t>83JC00JYIN</t>
  </si>
  <si>
    <t>83JC00JXIN</t>
  </si>
  <si>
    <t>83JC00LRIN</t>
  </si>
  <si>
    <t>83JC00LSIN</t>
  </si>
  <si>
    <t>83DV018LIN</t>
  </si>
  <si>
    <t>83KT0052IN</t>
  </si>
  <si>
    <t>82XX00G4IN</t>
  </si>
  <si>
    <t>82XX00G3IN</t>
  </si>
  <si>
    <t>83F0005VIN</t>
  </si>
  <si>
    <t>RYZEN 5 5625U</t>
  </si>
  <si>
    <t>Ryzen AI 5 340</t>
  </si>
  <si>
    <t xml:space="preserve">IdeaPad Slim 3 </t>
  </si>
  <si>
    <t>83K100RWIN</t>
  </si>
  <si>
    <t>16GB 512GB SSD</t>
  </si>
  <si>
    <t>M365 B + Office 2024</t>
  </si>
  <si>
    <t>15.3_WUXGA_AG_300N</t>
  </si>
  <si>
    <t>1.59KG</t>
  </si>
  <si>
    <t>8GB 512GB SSD</t>
  </si>
  <si>
    <t>COSMIC_BLUE</t>
  </si>
  <si>
    <t>83DC00ACIN</t>
  </si>
  <si>
    <t>M365+OFFICE H&amp;S 2024</t>
  </si>
  <si>
    <t>83J10067IN</t>
  </si>
  <si>
    <t>Core 5 210H</t>
  </si>
  <si>
    <t>1.85kg</t>
  </si>
  <si>
    <t>83M00073IN</t>
  </si>
  <si>
    <t>R7 260</t>
  </si>
  <si>
    <t>Legion5 15AHP10</t>
  </si>
  <si>
    <t>15.3" WUXGA IPS 300nits 165Hz 100% sRGB</t>
  </si>
  <si>
    <t>2.1kg</t>
  </si>
  <si>
    <t>83M00074IN</t>
  </si>
  <si>
    <t>U9 275HX</t>
  </si>
  <si>
    <t>Legion5 15IAX10</t>
  </si>
  <si>
    <t>RTX 5070 8GB</t>
  </si>
  <si>
    <t>15.1WQXGA_OLED_GL500N_165HDRP3</t>
  </si>
  <si>
    <t>1.9kg</t>
  </si>
  <si>
    <t>83F0005WIN</t>
  </si>
  <si>
    <t>U7 255HX</t>
  </si>
  <si>
    <t>83F3007CIN</t>
  </si>
  <si>
    <t>Legion Pro5 16IAX10</t>
  </si>
  <si>
    <t>16_WQXGA_OLED_GL500N_165_HDRP3</t>
  </si>
  <si>
    <t>2.43kg</t>
  </si>
  <si>
    <t>83F20037IN</t>
  </si>
  <si>
    <t>R9 9955HX</t>
  </si>
  <si>
    <t>Legion Pro5 16AFR10</t>
  </si>
  <si>
    <t>83F20036IN</t>
  </si>
  <si>
    <t>83F3007BIN</t>
  </si>
  <si>
    <t>83JR009EIN</t>
  </si>
  <si>
    <t>83CV00DGIN</t>
  </si>
  <si>
    <t>M365 Basic + OFFICE H&amp;S 2024</t>
  </si>
  <si>
    <t>Ideapad Slim 1</t>
  </si>
  <si>
    <t>83LK00D9IN</t>
  </si>
  <si>
    <t>i7 12650HX</t>
  </si>
  <si>
    <t>IdeaPad Slim 1</t>
  </si>
  <si>
    <t>Non-backlit</t>
  </si>
  <si>
    <t>R7 8840HS</t>
  </si>
  <si>
    <t>15.3WUXGA_AG_300N_N</t>
  </si>
  <si>
    <t>82XQ00W4IN</t>
  </si>
  <si>
    <t>82XB00HEIN</t>
  </si>
  <si>
    <t>N 100</t>
  </si>
  <si>
    <t>83K100RVIN</t>
  </si>
  <si>
    <t>83K100CAIN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</si>
</sst>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Helv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4">
    <xf numFmtId="0" fontId="0" fillId="0" borderId="0" xfId="0"/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8" fontId="6" fillId="4" borderId="3" xfId="1" applyNumberFormat="1" applyFont="1" applyFill="1" applyBorder="1" applyAlignment="1">
      <alignment horizontal="center" vertical="center" wrapText="1"/>
    </xf>
    <xf numFmtId="9" fontId="2" fillId="0" borderId="3" xfId="2" applyFont="1" applyFill="1" applyBorder="1" applyAlignment="1">
      <alignment horizontal="center" vertical="center"/>
    </xf>
    <xf numFmtId="164" fontId="2" fillId="0" borderId="3" xfId="2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" fontId="3" fillId="7" borderId="3" xfId="0" applyNumberFormat="1" applyFont="1" applyFill="1" applyBorder="1" applyAlignment="1">
      <alignment horizontal="center" vertical="center"/>
    </xf>
    <xf numFmtId="1" fontId="2" fillId="7" borderId="3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1" fontId="1" fillId="0" borderId="3" xfId="0" applyNumberFormat="1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  <xf numFmtId="1" fontId="3" fillId="8" borderId="3" xfId="0" applyNumberFormat="1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2" fillId="0" borderId="3" xfId="2" applyNumberFormat="1" applyFont="1" applyFill="1" applyBorder="1" applyAlignment="1">
      <alignment horizontal="center" vertical="center"/>
    </xf>
    <xf numFmtId="1" fontId="2" fillId="0" borderId="3" xfId="3" applyNumberFormat="1" applyFont="1" applyFill="1" applyBorder="1" applyAlignment="1">
      <alignment horizontal="center" vertical="center"/>
    </xf>
    <xf numFmtId="164" fontId="3" fillId="0" borderId="3" xfId="2" applyNumberFormat="1" applyFont="1" applyFill="1" applyBorder="1" applyAlignment="1">
      <alignment horizontal="center" vertical="center"/>
    </xf>
    <xf numFmtId="1" fontId="2" fillId="10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" fontId="2" fillId="7" borderId="3" xfId="3" applyNumberFormat="1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1" fontId="2" fillId="13" borderId="3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4" fontId="2" fillId="0" borderId="3" xfId="2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1" fontId="15" fillId="7" borderId="3" xfId="0" applyNumberFormat="1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/>
    </xf>
    <xf numFmtId="1" fontId="2" fillId="0" borderId="3" xfId="3" applyNumberFormat="1" applyFont="1" applyBorder="1" applyAlignment="1" applyProtection="1">
      <alignment horizontal="center" vertical="center"/>
      <protection locked="0"/>
    </xf>
    <xf numFmtId="0" fontId="17" fillId="15" borderId="3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" fontId="16" fillId="14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8" fillId="0" borderId="3" xfId="0" applyFont="1" applyBorder="1" applyAlignment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  <protection locked="0"/>
    </xf>
    <xf numFmtId="1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 applyProtection="1">
      <alignment horizontal="center" vertical="center" wrapText="1"/>
      <protection locked="0"/>
    </xf>
  </cellXfs>
  <cellStyles count="4">
    <cellStyle name="Comma" xfId="3" builtinId="3"/>
    <cellStyle name="Normal" xfId="0" builtinId="0"/>
    <cellStyle name="Normal_Margin Aug 07" xfId="1" xr:uid="{8440356D-B945-48F6-A34B-5A08A87C44F1}"/>
    <cellStyle name="Percent" xfId="2" builtinId="5"/>
  </cellStyles>
  <dxfs count="4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1441450</xdr:colOff>
      <xdr:row>0</xdr:row>
      <xdr:rowOff>143934</xdr:rowOff>
    </xdr:from>
    <xdr:ext cx="1274331" cy="379773"/>
    <xdr:pic>
      <xdr:nvPicPr>
        <xdr:cNvPr id="2" name="Picture 1">
          <a:extLst>
            <a:ext uri="{FF2B5EF4-FFF2-40B4-BE49-F238E27FC236}">
              <a16:creationId xmlns:a16="http://schemas.microsoft.com/office/drawing/2014/main" id="{2AB29B65-905D-4BC9-A4E8-14AC97F5C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25"/>
        <a:stretch/>
      </xdr:blipFill>
      <xdr:spPr>
        <a:xfrm>
          <a:off x="14446250" y="143934"/>
          <a:ext cx="1274331" cy="379773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0</xdr:row>
      <xdr:rowOff>64558</xdr:rowOff>
    </xdr:from>
    <xdr:ext cx="1343267" cy="487619"/>
    <xdr:pic>
      <xdr:nvPicPr>
        <xdr:cNvPr id="3" name="Picture 2">
          <a:extLst>
            <a:ext uri="{FF2B5EF4-FFF2-40B4-BE49-F238E27FC236}">
              <a16:creationId xmlns:a16="http://schemas.microsoft.com/office/drawing/2014/main" id="{A6D85023-7F7E-43AF-94FF-93DFE29E5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0591" y="64558"/>
          <a:ext cx="1343267" cy="487619"/>
        </a:xfrm>
        <a:prstGeom prst="rect">
          <a:avLst/>
        </a:prstGeom>
      </xdr:spPr>
    </xdr:pic>
    <xdr:clientData/>
  </xdr:oneCellAnchor>
  <xdr:oneCellAnchor>
    <xdr:from>
      <xdr:col>2</xdr:col>
      <xdr:colOff>296334</xdr:colOff>
      <xdr:row>0</xdr:row>
      <xdr:rowOff>27516</xdr:rowOff>
    </xdr:from>
    <xdr:ext cx="1776028" cy="621771"/>
    <xdr:pic>
      <xdr:nvPicPr>
        <xdr:cNvPr id="4" name="Picture 3">
          <a:extLst>
            <a:ext uri="{FF2B5EF4-FFF2-40B4-BE49-F238E27FC236}">
              <a16:creationId xmlns:a16="http://schemas.microsoft.com/office/drawing/2014/main" id="{C1799E38-DF9E-40A8-B2EB-ECB74C588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534" y="27516"/>
          <a:ext cx="1776028" cy="6217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425450</xdr:colOff>
      <xdr:row>0</xdr:row>
      <xdr:rowOff>79375</xdr:rowOff>
    </xdr:from>
    <xdr:ext cx="1153362" cy="415968"/>
    <xdr:pic>
      <xdr:nvPicPr>
        <xdr:cNvPr id="2" name="Picture 1">
          <a:extLst>
            <a:ext uri="{FF2B5EF4-FFF2-40B4-BE49-F238E27FC236}">
              <a16:creationId xmlns:a16="http://schemas.microsoft.com/office/drawing/2014/main" id="{01C1890D-A232-4502-82DE-781F8B859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25"/>
        <a:stretch/>
      </xdr:blipFill>
      <xdr:spPr>
        <a:xfrm>
          <a:off x="14795500" y="79375"/>
          <a:ext cx="1153362" cy="415968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0</xdr:row>
      <xdr:rowOff>47625</xdr:rowOff>
    </xdr:from>
    <xdr:ext cx="1396395" cy="487196"/>
    <xdr:pic>
      <xdr:nvPicPr>
        <xdr:cNvPr id="3" name="Picture 2">
          <a:extLst>
            <a:ext uri="{FF2B5EF4-FFF2-40B4-BE49-F238E27FC236}">
              <a16:creationId xmlns:a16="http://schemas.microsoft.com/office/drawing/2014/main" id="{EA88B811-DACE-4969-9BF4-A20AE252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0" y="47625"/>
          <a:ext cx="1396395" cy="487196"/>
        </a:xfrm>
        <a:prstGeom prst="rect">
          <a:avLst/>
        </a:prstGeom>
      </xdr:spPr>
    </xdr:pic>
    <xdr:clientData/>
  </xdr:oneCellAnchor>
  <xdr:oneCellAnchor>
    <xdr:from>
      <xdr:col>1</xdr:col>
      <xdr:colOff>606425</xdr:colOff>
      <xdr:row>0</xdr:row>
      <xdr:rowOff>0</xdr:rowOff>
    </xdr:from>
    <xdr:ext cx="1795607" cy="585788"/>
    <xdr:pic>
      <xdr:nvPicPr>
        <xdr:cNvPr id="4" name="Picture 3">
          <a:extLst>
            <a:ext uri="{FF2B5EF4-FFF2-40B4-BE49-F238E27FC236}">
              <a16:creationId xmlns:a16="http://schemas.microsoft.com/office/drawing/2014/main" id="{1E4D2C0A-C390-4E34-B146-226BA121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69" y="0"/>
          <a:ext cx="1795607" cy="5857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4BDE-C492-4042-BF92-F9A2F293CA3A}">
  <sheetPr codeName="Sheet1">
    <tabColor rgb="FF00B0F0"/>
  </sheetPr>
  <dimension ref="A1:BL306"/>
  <sheetViews>
    <sheetView zoomScale="90" zoomScaleNormal="90" workbookViewId="0">
      <pane xSplit="6" ySplit="2" topLeftCell="R3" activePane="bottomRight" state="frozen"/>
      <selection pane="topRight" activeCell="AP2" sqref="AP2"/>
      <selection pane="bottomLeft" activeCell="AP2" sqref="AP2"/>
      <selection pane="bottomRight" activeCell="T14" sqref="T14"/>
    </sheetView>
  </sheetViews>
  <sheetFormatPr defaultColWidth="9.1796875" defaultRowHeight="13" x14ac:dyDescent="0.35"/>
  <cols>
    <col min="1" max="1" width="11.81640625" style="3" bestFit="1" customWidth="1"/>
    <col min="2" max="3" width="11.81640625" style="3" customWidth="1"/>
    <col min="4" max="4" width="21.26953125" style="3" customWidth="1"/>
    <col min="5" max="5" width="10.1796875" style="3" bestFit="1" customWidth="1"/>
    <col min="6" max="6" width="10.1796875" style="3" customWidth="1"/>
    <col min="7" max="7" width="23" style="3" bestFit="1" customWidth="1"/>
    <col min="8" max="8" width="6.7265625" style="3" customWidth="1"/>
    <col min="9" max="9" width="9.81640625" style="3" customWidth="1"/>
    <col min="10" max="10" width="16.453125" style="3" bestFit="1" customWidth="1"/>
    <col min="11" max="11" width="9" style="3" bestFit="1" customWidth="1"/>
    <col min="12" max="12" width="12.1796875" style="3" customWidth="1"/>
    <col min="13" max="13" width="10.1796875" style="3" bestFit="1" customWidth="1"/>
    <col min="14" max="14" width="14.7265625" style="3" bestFit="1" customWidth="1"/>
    <col min="15" max="15" width="15.26953125" style="3" customWidth="1"/>
    <col min="16" max="16" width="33.54296875" style="3" hidden="1" customWidth="1"/>
    <col min="17" max="17" width="22.7265625" style="3" customWidth="1"/>
    <col min="18" max="18" width="8.54296875" style="3" bestFit="1" customWidth="1"/>
    <col min="19" max="19" width="12.453125" style="3" bestFit="1" customWidth="1"/>
    <col min="20" max="20" width="10.81640625" style="3" bestFit="1" customWidth="1"/>
    <col min="21" max="21" width="10.453125" style="3" bestFit="1" customWidth="1"/>
    <col min="22" max="24" width="13.1796875" style="3" customWidth="1"/>
    <col min="25" max="25" width="13.26953125" style="3" customWidth="1"/>
    <col min="26" max="26" width="12.54296875" style="3" customWidth="1"/>
    <col min="27" max="33" width="9.1796875" style="3" customWidth="1"/>
    <col min="34" max="35" width="13.1796875" style="3" customWidth="1"/>
    <col min="36" max="36" width="9.1796875" style="3" customWidth="1"/>
    <col min="37" max="37" width="9.1796875" style="23"/>
    <col min="38" max="38" width="9.1796875" style="3"/>
    <col min="39" max="42" width="9.1796875" style="3" customWidth="1"/>
    <col min="43" max="44" width="13.1796875" style="3" customWidth="1"/>
    <col min="45" max="54" width="9.1796875" style="3" customWidth="1"/>
    <col min="55" max="56" width="7.81640625" style="3" customWidth="1"/>
    <col min="57" max="57" width="5.81640625" style="3" bestFit="1" customWidth="1"/>
    <col min="58" max="58" width="10.54296875" style="3" bestFit="1" customWidth="1"/>
    <col min="59" max="59" width="10.54296875" style="3" customWidth="1"/>
    <col min="60" max="16384" width="9.1796875" style="3"/>
  </cols>
  <sheetData>
    <row r="1" spans="1:64" x14ac:dyDescent="0.35">
      <c r="C1" s="3">
        <v>9</v>
      </c>
      <c r="D1" s="3">
        <v>10</v>
      </c>
      <c r="E1" s="3">
        <v>11</v>
      </c>
      <c r="F1" s="3">
        <v>3</v>
      </c>
      <c r="G1" s="3">
        <v>2</v>
      </c>
      <c r="H1" s="3">
        <v>14</v>
      </c>
      <c r="I1" s="3">
        <v>15</v>
      </c>
      <c r="J1" s="3">
        <v>13</v>
      </c>
      <c r="K1" s="3">
        <v>16</v>
      </c>
      <c r="L1" s="3">
        <v>17</v>
      </c>
      <c r="M1" s="3">
        <v>18</v>
      </c>
      <c r="N1" s="3">
        <v>19</v>
      </c>
      <c r="O1" s="3">
        <v>20</v>
      </c>
      <c r="P1" s="3">
        <v>21</v>
      </c>
      <c r="V1" s="5">
        <f>SUBTOTAL(9,V8:V293)</f>
        <v>283609.8554216866</v>
      </c>
      <c r="W1" s="5">
        <f>SUBTOTAL(9,W8:W293)</f>
        <v>609208.95711745962</v>
      </c>
      <c r="AF1" s="5">
        <f>SUBTOTAL(9,AF8:AF293)</f>
        <v>779281.07203271321</v>
      </c>
      <c r="AH1" s="5">
        <f>SUBTOTAL(9,AH8:AH293)</f>
        <v>275010.85542168666</v>
      </c>
      <c r="AI1" s="5">
        <f>SUBTOTAL(9,AI8:AI293)</f>
        <v>671294.45643949334</v>
      </c>
      <c r="AT1" s="3">
        <f>SUBTOTAL(9,AT3:AT294)</f>
        <v>2431</v>
      </c>
      <c r="AV1" s="3">
        <f>SUBTOTAL(9,AV3:AV294)</f>
        <v>24310</v>
      </c>
      <c r="AX1" s="3">
        <f>SUBTOTAL(9,AX3:AX293)</f>
        <v>77825443.223060653</v>
      </c>
      <c r="AY1" s="3">
        <f>AX1/83000</f>
        <v>937.6559424465139</v>
      </c>
      <c r="BA1" s="3">
        <f t="shared" ref="BA1:BF1" si="0">SUBTOTAL(9,BA3:BA294)</f>
        <v>5948</v>
      </c>
      <c r="BB1" s="3">
        <f t="shared" si="0"/>
        <v>8407</v>
      </c>
      <c r="BC1" s="3">
        <f t="shared" si="0"/>
        <v>11384</v>
      </c>
      <c r="BD1" s="3">
        <f t="shared" si="0"/>
        <v>25739</v>
      </c>
      <c r="BE1" s="3">
        <f t="shared" si="0"/>
        <v>84893</v>
      </c>
      <c r="BF1" s="3">
        <f t="shared" si="0"/>
        <v>10461</v>
      </c>
      <c r="BG1" s="3">
        <f>BD1*1.85</f>
        <v>47617.15</v>
      </c>
      <c r="BH1" s="3">
        <f>SUBTOTAL(9,BH3:BH294)</f>
        <v>47657</v>
      </c>
      <c r="BJ1" s="3">
        <f>SUBTOTAL(9,BJ3:BJ294)</f>
        <v>55486109.160457447</v>
      </c>
      <c r="BK1" s="3">
        <f>BJ1/83000</f>
        <v>668.5073392826198</v>
      </c>
    </row>
    <row r="2" spans="1:64" ht="35.15" customHeight="1" x14ac:dyDescent="0.35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5</v>
      </c>
      <c r="H2" s="30" t="s">
        <v>6</v>
      </c>
      <c r="I2" s="30" t="s">
        <v>7</v>
      </c>
      <c r="J2" s="30" t="s">
        <v>6</v>
      </c>
      <c r="K2" s="30" t="s">
        <v>8</v>
      </c>
      <c r="L2" s="30" t="s">
        <v>9</v>
      </c>
      <c r="M2" s="30" t="s">
        <v>10</v>
      </c>
      <c r="N2" s="30" t="s">
        <v>11</v>
      </c>
      <c r="O2" s="30" t="s">
        <v>12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3" t="s">
        <v>24</v>
      </c>
      <c r="AC2" s="6" t="s">
        <v>25</v>
      </c>
      <c r="AD2" s="6" t="s">
        <v>26</v>
      </c>
      <c r="AE2" s="5"/>
      <c r="AF2" s="5" t="s">
        <v>27</v>
      </c>
      <c r="AG2" s="5"/>
      <c r="AH2" s="6" t="s">
        <v>28</v>
      </c>
      <c r="AI2" s="6" t="s">
        <v>29</v>
      </c>
      <c r="AJ2" s="5"/>
      <c r="AM2" s="3" t="s">
        <v>30</v>
      </c>
      <c r="AN2" s="3" t="s">
        <v>31</v>
      </c>
      <c r="AQ2" s="6" t="s">
        <v>32</v>
      </c>
      <c r="AR2" s="6" t="s">
        <v>33</v>
      </c>
      <c r="AT2" s="3" t="s">
        <v>34</v>
      </c>
      <c r="AV2" s="9" t="s">
        <v>35</v>
      </c>
      <c r="AX2" s="3" t="s">
        <v>36</v>
      </c>
      <c r="BA2" s="3" t="s">
        <v>37</v>
      </c>
      <c r="BB2" s="3" t="s">
        <v>38</v>
      </c>
      <c r="BC2" s="3" t="s">
        <v>39</v>
      </c>
      <c r="BD2" s="3" t="s">
        <v>40</v>
      </c>
      <c r="BE2" s="3" t="s">
        <v>41</v>
      </c>
      <c r="BF2" s="3" t="s">
        <v>42</v>
      </c>
      <c r="BH2" s="3" t="s">
        <v>43</v>
      </c>
      <c r="BJ2" s="3" t="s">
        <v>44</v>
      </c>
    </row>
    <row r="3" spans="1:64" x14ac:dyDescent="0.35">
      <c r="A3" s="1" t="s">
        <v>45</v>
      </c>
      <c r="B3" s="1" t="str">
        <f t="shared" ref="B3:B66" si="1">IF(BL3&lt;40000,"Entry",IF(BL3&gt;65000,"Premium","Mainstream"))</f>
        <v>Premium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>
        <v>2457</v>
      </c>
      <c r="T3" s="2">
        <f>U3*0.98*0.965</f>
        <v>88934.958391525419</v>
      </c>
      <c r="U3" s="13">
        <v>94041.406779661018</v>
      </c>
      <c r="V3" s="13">
        <v>0</v>
      </c>
      <c r="W3" s="13">
        <v>2341</v>
      </c>
      <c r="X3" s="13"/>
      <c r="Y3" s="2">
        <f>(U3*0.88-S3-V3-W3-X3)*1.18/0.92</f>
        <v>99990.170434782602</v>
      </c>
      <c r="Z3" s="1">
        <v>99990</v>
      </c>
      <c r="AA3" s="5"/>
      <c r="AB3" s="5"/>
      <c r="AC3" s="14">
        <v>99990</v>
      </c>
      <c r="AD3" s="5">
        <f>(Y3-AC3)/1.18*0.92</f>
        <v>0.13288135592671807</v>
      </c>
      <c r="AE3" s="5"/>
      <c r="AF3" s="5">
        <f>W3+X3</f>
        <v>2341</v>
      </c>
      <c r="AG3" s="5"/>
      <c r="AH3" s="13">
        <v>0</v>
      </c>
      <c r="AI3" s="13">
        <v>2341</v>
      </c>
      <c r="AJ3" s="5"/>
      <c r="AL3" s="5"/>
      <c r="AM3" s="5">
        <v>99990.170434782602</v>
      </c>
      <c r="AN3" s="5">
        <f t="shared" ref="AN3:AN66" si="2">Y3-AM3</f>
        <v>0</v>
      </c>
      <c r="AO3" s="5"/>
      <c r="AP3" s="5">
        <f t="shared" ref="AP3:AP48" si="3">U3-AL3</f>
        <v>94041.406779661018</v>
      </c>
      <c r="AQ3" s="20">
        <v>0</v>
      </c>
      <c r="AR3" s="20">
        <v>2341</v>
      </c>
      <c r="AT3" s="3">
        <v>0</v>
      </c>
      <c r="AV3" s="5">
        <f>ROUNDUP((AT3/8)*80,0)</f>
        <v>0</v>
      </c>
      <c r="AX3" s="38">
        <f t="shared" ref="AX3:AX66" si="4">AV3*W3</f>
        <v>0</v>
      </c>
      <c r="BA3" s="3">
        <v>0</v>
      </c>
      <c r="BB3" s="3">
        <v>0</v>
      </c>
      <c r="BC3" s="3">
        <v>0</v>
      </c>
      <c r="BD3" s="3">
        <f>BC3+BB3+BA3</f>
        <v>0</v>
      </c>
      <c r="BE3" s="3">
        <v>0</v>
      </c>
      <c r="BF3" s="3">
        <v>0</v>
      </c>
      <c r="BH3" s="3">
        <f>ROUNDUP(BD3*1.85,0)</f>
        <v>0</v>
      </c>
      <c r="BJ3" s="38">
        <f t="shared" ref="BJ3:BJ66" si="5">BH3*V3</f>
        <v>0</v>
      </c>
      <c r="BL3" s="3">
        <f t="shared" ref="BL3:BL66" si="6">U3*1.18</f>
        <v>110968.86</v>
      </c>
    </row>
    <row r="4" spans="1:64" x14ac:dyDescent="0.35">
      <c r="A4" s="1" t="s">
        <v>62</v>
      </c>
      <c r="B4" s="1" t="str">
        <f t="shared" si="1"/>
        <v>Premium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>
        <v>2457</v>
      </c>
      <c r="T4" s="2">
        <f>U4*0.98*0.965</f>
        <v>107385.03644067797</v>
      </c>
      <c r="U4" s="13">
        <v>113550.84745762713</v>
      </c>
      <c r="V4" s="13">
        <v>0</v>
      </c>
      <c r="W4" s="13">
        <v>19509.440677966108</v>
      </c>
      <c r="X4" s="13"/>
      <c r="Y4" s="2">
        <f>(U4*0.88-S4-V4-W4-X4)*1.18/0.92</f>
        <v>99990</v>
      </c>
      <c r="Z4" s="1">
        <v>99990</v>
      </c>
      <c r="AA4" s="5"/>
      <c r="AB4" s="5"/>
      <c r="AC4" s="14">
        <v>99990</v>
      </c>
      <c r="AD4" s="5">
        <f t="shared" ref="AD4:AD67" si="7">(Y4-AC4)/1.18*0.92</f>
        <v>0</v>
      </c>
      <c r="AE4" s="5"/>
      <c r="AF4" s="5">
        <f t="shared" ref="AF4:AF67" si="8">W4+X4</f>
        <v>19509.440677966108</v>
      </c>
      <c r="AG4" s="5"/>
      <c r="AH4" s="13">
        <v>0</v>
      </c>
      <c r="AI4" s="13">
        <v>19509.440677966108</v>
      </c>
      <c r="AJ4" s="5"/>
      <c r="AL4" s="5"/>
      <c r="AM4" s="5">
        <v>99990</v>
      </c>
      <c r="AN4" s="5">
        <f t="shared" si="2"/>
        <v>0</v>
      </c>
      <c r="AO4" s="5"/>
      <c r="AP4" s="5">
        <f t="shared" si="3"/>
        <v>113550.84745762713</v>
      </c>
      <c r="AQ4" s="20">
        <v>0</v>
      </c>
      <c r="AR4" s="20">
        <v>19509.440677966108</v>
      </c>
      <c r="AT4" s="3">
        <v>0</v>
      </c>
      <c r="AV4" s="5">
        <f t="shared" ref="AV4:AV67" si="9">ROUNDUP((AT4/8)*80,0)</f>
        <v>0</v>
      </c>
      <c r="AX4" s="38">
        <f t="shared" si="4"/>
        <v>0</v>
      </c>
      <c r="BA4" s="3">
        <v>0</v>
      </c>
      <c r="BB4" s="3">
        <v>0</v>
      </c>
      <c r="BC4" s="3">
        <v>0</v>
      </c>
      <c r="BD4" s="3">
        <f t="shared" ref="BD4:BD67" si="10">BC4+BB4+BA4</f>
        <v>0</v>
      </c>
      <c r="BE4" s="3">
        <v>0</v>
      </c>
      <c r="BF4" s="3">
        <v>0</v>
      </c>
      <c r="BH4" s="3">
        <f t="shared" ref="BH4:BH67" si="11">ROUNDUP(BD4*1.85,0)</f>
        <v>0</v>
      </c>
      <c r="BJ4" s="38">
        <f t="shared" si="5"/>
        <v>0</v>
      </c>
      <c r="BL4" s="3">
        <f t="shared" si="6"/>
        <v>133990</v>
      </c>
    </row>
    <row r="5" spans="1:64" x14ac:dyDescent="0.35">
      <c r="A5" s="1" t="s">
        <v>63</v>
      </c>
      <c r="B5" s="1" t="str">
        <f t="shared" si="1"/>
        <v>Premium</v>
      </c>
      <c r="C5" s="1" t="s">
        <v>46</v>
      </c>
      <c r="D5" s="1" t="s">
        <v>64</v>
      </c>
      <c r="E5" s="1" t="s">
        <v>48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54</v>
      </c>
      <c r="L5" s="1" t="s">
        <v>70</v>
      </c>
      <c r="M5" s="1" t="s">
        <v>56</v>
      </c>
      <c r="N5" s="1" t="s">
        <v>57</v>
      </c>
      <c r="O5" s="1" t="s">
        <v>58</v>
      </c>
      <c r="P5" s="1" t="s">
        <v>71</v>
      </c>
      <c r="Q5" s="1" t="s">
        <v>72</v>
      </c>
      <c r="R5" s="1" t="s">
        <v>73</v>
      </c>
      <c r="S5" s="1">
        <v>725</v>
      </c>
      <c r="T5" s="2">
        <f>U5*0.98*0.98</f>
        <v>75905.468135593212</v>
      </c>
      <c r="U5" s="13">
        <v>79035.264614320302</v>
      </c>
      <c r="V5" s="13">
        <v>0</v>
      </c>
      <c r="W5" s="13">
        <v>0</v>
      </c>
      <c r="X5" s="13"/>
      <c r="Y5" s="2">
        <f>(U5*0.98-S5-V5-W5-X5)*1.18/0.92</f>
        <v>98413.999999999985</v>
      </c>
      <c r="Z5" s="18">
        <v>97990</v>
      </c>
      <c r="AA5" s="5"/>
      <c r="AB5" s="5"/>
      <c r="AC5" s="14">
        <v>0</v>
      </c>
      <c r="AD5" s="5">
        <v>0</v>
      </c>
      <c r="AF5" s="5">
        <f t="shared" si="8"/>
        <v>0</v>
      </c>
      <c r="AH5" s="13">
        <v>0</v>
      </c>
      <c r="AI5" s="13"/>
      <c r="AL5" s="5"/>
      <c r="AM5" s="5">
        <v>98413.999999999985</v>
      </c>
      <c r="AN5" s="5">
        <f t="shared" si="2"/>
        <v>0</v>
      </c>
      <c r="AO5" s="5"/>
      <c r="AP5" s="5">
        <f t="shared" si="3"/>
        <v>79035.264614320302</v>
      </c>
      <c r="AQ5" s="20">
        <v>0</v>
      </c>
      <c r="AR5" s="20"/>
      <c r="AT5" s="3">
        <v>0</v>
      </c>
      <c r="AV5" s="5">
        <f t="shared" si="9"/>
        <v>0</v>
      </c>
      <c r="AX5" s="38">
        <f t="shared" si="4"/>
        <v>0</v>
      </c>
      <c r="BA5" s="3">
        <v>1</v>
      </c>
      <c r="BB5" s="3">
        <v>0</v>
      </c>
      <c r="BC5" s="3">
        <v>0</v>
      </c>
      <c r="BD5" s="3">
        <f t="shared" si="10"/>
        <v>1</v>
      </c>
      <c r="BE5" s="3">
        <v>2</v>
      </c>
      <c r="BF5" s="3">
        <v>0</v>
      </c>
      <c r="BH5" s="3">
        <f t="shared" si="11"/>
        <v>2</v>
      </c>
      <c r="BJ5" s="38">
        <f t="shared" si="5"/>
        <v>0</v>
      </c>
      <c r="BL5" s="3">
        <f t="shared" si="6"/>
        <v>93261.612244897959</v>
      </c>
    </row>
    <row r="6" spans="1:64" x14ac:dyDescent="0.35">
      <c r="A6" s="1" t="s">
        <v>74</v>
      </c>
      <c r="B6" s="1" t="str">
        <f t="shared" si="1"/>
        <v>Premium</v>
      </c>
      <c r="C6" s="1" t="s">
        <v>46</v>
      </c>
      <c r="D6" s="1" t="s">
        <v>64</v>
      </c>
      <c r="E6" s="1" t="s">
        <v>48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54</v>
      </c>
      <c r="L6" s="1" t="s">
        <v>70</v>
      </c>
      <c r="M6" s="1" t="s">
        <v>56</v>
      </c>
      <c r="N6" s="1" t="s">
        <v>57</v>
      </c>
      <c r="O6" s="1" t="s">
        <v>58</v>
      </c>
      <c r="P6" s="1" t="s">
        <v>71</v>
      </c>
      <c r="Q6" s="1" t="s">
        <v>72</v>
      </c>
      <c r="R6" s="1" t="s">
        <v>73</v>
      </c>
      <c r="S6" s="1">
        <v>725</v>
      </c>
      <c r="T6" s="2">
        <f>U6*0.98*0.98</f>
        <v>75905.468135593212</v>
      </c>
      <c r="U6" s="13">
        <v>79035.264614320302</v>
      </c>
      <c r="V6" s="13">
        <v>0</v>
      </c>
      <c r="W6" s="13">
        <v>0</v>
      </c>
      <c r="X6" s="13"/>
      <c r="Y6" s="2">
        <f t="shared" ref="Y6:Y13" si="12">(U6*0.98-S6-V6-W6-X6)*1.18/0.92</f>
        <v>98413.999999999985</v>
      </c>
      <c r="Z6" s="18">
        <v>97990</v>
      </c>
      <c r="AA6" s="5"/>
      <c r="AB6" s="5"/>
      <c r="AC6" s="14">
        <v>0</v>
      </c>
      <c r="AD6" s="5">
        <v>0</v>
      </c>
      <c r="AE6" s="5"/>
      <c r="AF6" s="5">
        <f t="shared" si="8"/>
        <v>0</v>
      </c>
      <c r="AG6" s="5"/>
      <c r="AH6" s="13">
        <v>0</v>
      </c>
      <c r="AI6" s="13"/>
      <c r="AJ6" s="5"/>
      <c r="AL6" s="5"/>
      <c r="AM6" s="5">
        <v>98413.999999999985</v>
      </c>
      <c r="AN6" s="5">
        <f t="shared" si="2"/>
        <v>0</v>
      </c>
      <c r="AO6" s="5"/>
      <c r="AP6" s="5">
        <f t="shared" si="3"/>
        <v>79035.264614320302</v>
      </c>
      <c r="AQ6" s="20">
        <v>0</v>
      </c>
      <c r="AR6" s="20"/>
      <c r="AT6" s="3">
        <v>0</v>
      </c>
      <c r="AV6" s="5">
        <f t="shared" si="9"/>
        <v>0</v>
      </c>
      <c r="AX6" s="38">
        <f t="shared" si="4"/>
        <v>0</v>
      </c>
      <c r="BA6" s="3">
        <v>0</v>
      </c>
      <c r="BB6" s="3">
        <v>0</v>
      </c>
      <c r="BC6" s="3">
        <v>0</v>
      </c>
      <c r="BD6" s="3">
        <f t="shared" si="10"/>
        <v>0</v>
      </c>
      <c r="BE6" s="3">
        <v>0</v>
      </c>
      <c r="BF6" s="3">
        <v>0</v>
      </c>
      <c r="BH6" s="3">
        <f t="shared" si="11"/>
        <v>0</v>
      </c>
      <c r="BJ6" s="38">
        <f t="shared" si="5"/>
        <v>0</v>
      </c>
      <c r="BL6" s="3">
        <f t="shared" si="6"/>
        <v>93261.612244897959</v>
      </c>
    </row>
    <row r="7" spans="1:64" x14ac:dyDescent="0.35">
      <c r="A7" s="1" t="s">
        <v>75</v>
      </c>
      <c r="B7" s="1" t="str">
        <f t="shared" si="1"/>
        <v>Premium</v>
      </c>
      <c r="C7" s="1" t="s">
        <v>46</v>
      </c>
      <c r="D7" s="1" t="s">
        <v>47</v>
      </c>
      <c r="E7" s="1" t="s">
        <v>48</v>
      </c>
      <c r="F7" s="1" t="s">
        <v>65</v>
      </c>
      <c r="G7" s="1" t="s">
        <v>76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70</v>
      </c>
      <c r="M7" s="1" t="s">
        <v>56</v>
      </c>
      <c r="N7" s="1" t="s">
        <v>57</v>
      </c>
      <c r="O7" s="1" t="s">
        <v>58</v>
      </c>
      <c r="P7" s="1" t="s">
        <v>77</v>
      </c>
      <c r="Q7" s="1" t="s">
        <v>72</v>
      </c>
      <c r="R7" s="1" t="s">
        <v>73</v>
      </c>
      <c r="S7" s="1">
        <v>725</v>
      </c>
      <c r="T7" s="2">
        <f>U7*0.98*0.98</f>
        <v>63183.202149152545</v>
      </c>
      <c r="U7" s="13">
        <v>65788.423728813563</v>
      </c>
      <c r="V7" s="13">
        <v>1101.8925423728651</v>
      </c>
      <c r="W7" s="13">
        <v>0</v>
      </c>
      <c r="X7" s="13"/>
      <c r="Y7" s="2">
        <f t="shared" si="12"/>
        <v>80350.000000000015</v>
      </c>
      <c r="Z7" s="18">
        <v>79990</v>
      </c>
      <c r="AA7" s="5"/>
      <c r="AB7" s="5"/>
      <c r="AC7" s="14">
        <v>0</v>
      </c>
      <c r="AD7" s="5">
        <v>0</v>
      </c>
      <c r="AE7" s="5"/>
      <c r="AF7" s="5">
        <f t="shared" si="8"/>
        <v>0</v>
      </c>
      <c r="AG7" s="5"/>
      <c r="AH7" s="13">
        <v>1101.8925423728651</v>
      </c>
      <c r="AI7" s="13"/>
      <c r="AJ7" s="5"/>
      <c r="AL7" s="5"/>
      <c r="AM7" s="5">
        <v>80350.000000000015</v>
      </c>
      <c r="AN7" s="5">
        <f t="shared" si="2"/>
        <v>0</v>
      </c>
      <c r="AO7" s="5"/>
      <c r="AP7" s="5">
        <f t="shared" si="3"/>
        <v>65788.423728813563</v>
      </c>
      <c r="AQ7" s="20">
        <v>1101.8925423728651</v>
      </c>
      <c r="AR7" s="20"/>
      <c r="AT7" s="3">
        <v>1</v>
      </c>
      <c r="AV7" s="5">
        <f t="shared" si="9"/>
        <v>10</v>
      </c>
      <c r="AX7" s="38">
        <f t="shared" si="4"/>
        <v>0</v>
      </c>
      <c r="BA7" s="3">
        <v>0</v>
      </c>
      <c r="BB7" s="3">
        <v>0</v>
      </c>
      <c r="BC7" s="3">
        <v>10</v>
      </c>
      <c r="BD7" s="3">
        <f t="shared" si="10"/>
        <v>10</v>
      </c>
      <c r="BE7" s="3">
        <v>42</v>
      </c>
      <c r="BF7" s="3">
        <v>0</v>
      </c>
      <c r="BH7" s="3">
        <f t="shared" si="11"/>
        <v>19</v>
      </c>
      <c r="BJ7" s="38">
        <f t="shared" si="5"/>
        <v>20935.958305084438</v>
      </c>
      <c r="BL7" s="3">
        <f t="shared" si="6"/>
        <v>77630.34</v>
      </c>
    </row>
    <row r="8" spans="1:64" x14ac:dyDescent="0.35">
      <c r="A8" s="1" t="s">
        <v>78</v>
      </c>
      <c r="B8" s="1" t="str">
        <f t="shared" si="1"/>
        <v>Mainstream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54</v>
      </c>
      <c r="L8" s="1" t="s">
        <v>70</v>
      </c>
      <c r="M8" s="1" t="s">
        <v>56</v>
      </c>
      <c r="N8" s="1" t="s">
        <v>57</v>
      </c>
      <c r="O8" s="1" t="s">
        <v>87</v>
      </c>
      <c r="P8" s="1" t="s">
        <v>88</v>
      </c>
      <c r="Q8" s="1" t="s">
        <v>89</v>
      </c>
      <c r="R8" s="7" t="s">
        <v>73</v>
      </c>
      <c r="S8" s="1">
        <v>725</v>
      </c>
      <c r="T8" s="2">
        <v>45651.555932203388</v>
      </c>
      <c r="U8" s="13">
        <v>47533.898305084746</v>
      </c>
      <c r="V8" s="13">
        <v>1269.4067796610107</v>
      </c>
      <c r="W8" s="13">
        <v>0</v>
      </c>
      <c r="X8" s="13"/>
      <c r="Y8" s="2">
        <f t="shared" si="12"/>
        <v>57190</v>
      </c>
      <c r="Z8" s="18">
        <f>AC8</f>
        <v>46990</v>
      </c>
      <c r="AA8" s="5" t="s">
        <v>90</v>
      </c>
      <c r="AB8" s="5"/>
      <c r="AC8" s="14">
        <v>46990</v>
      </c>
      <c r="AD8" s="5">
        <v>0</v>
      </c>
      <c r="AE8" s="5"/>
      <c r="AF8" s="5">
        <f t="shared" si="8"/>
        <v>0</v>
      </c>
      <c r="AG8" s="5"/>
      <c r="AH8" s="13">
        <v>1269.4067796610107</v>
      </c>
      <c r="AI8" s="13">
        <v>0</v>
      </c>
      <c r="AJ8" s="5"/>
      <c r="AL8" s="5"/>
      <c r="AM8" s="5">
        <v>57190</v>
      </c>
      <c r="AN8" s="5">
        <f t="shared" si="2"/>
        <v>0</v>
      </c>
      <c r="AO8" s="5"/>
      <c r="AP8" s="5">
        <f t="shared" si="3"/>
        <v>47533.898305084746</v>
      </c>
      <c r="AQ8" s="20">
        <v>1269.4067796610107</v>
      </c>
      <c r="AR8" s="20">
        <v>0</v>
      </c>
      <c r="AT8" s="3">
        <v>1</v>
      </c>
      <c r="AV8" s="5">
        <f t="shared" si="9"/>
        <v>10</v>
      </c>
      <c r="AX8" s="38">
        <f t="shared" si="4"/>
        <v>0</v>
      </c>
      <c r="BA8" s="3">
        <v>0</v>
      </c>
      <c r="BB8" s="3">
        <v>0</v>
      </c>
      <c r="BC8" s="3">
        <v>0</v>
      </c>
      <c r="BD8" s="3">
        <f t="shared" si="10"/>
        <v>0</v>
      </c>
      <c r="BE8" s="3">
        <v>0</v>
      </c>
      <c r="BF8" s="3">
        <v>0</v>
      </c>
      <c r="BH8" s="3">
        <f t="shared" si="11"/>
        <v>0</v>
      </c>
      <c r="BJ8" s="38">
        <f t="shared" si="5"/>
        <v>0</v>
      </c>
      <c r="BL8" s="3">
        <f t="shared" si="6"/>
        <v>56090</v>
      </c>
    </row>
    <row r="9" spans="1:64" x14ac:dyDescent="0.35">
      <c r="A9" s="1" t="s">
        <v>91</v>
      </c>
      <c r="B9" s="1" t="str">
        <f t="shared" si="1"/>
        <v>Mainstream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92</v>
      </c>
      <c r="L9" s="1" t="s">
        <v>70</v>
      </c>
      <c r="M9" s="1" t="s">
        <v>56</v>
      </c>
      <c r="N9" s="1" t="s">
        <v>57</v>
      </c>
      <c r="O9" s="1" t="s">
        <v>87</v>
      </c>
      <c r="P9" s="1" t="s">
        <v>88</v>
      </c>
      <c r="Q9" s="1" t="s">
        <v>89</v>
      </c>
      <c r="R9" s="7" t="s">
        <v>73</v>
      </c>
      <c r="S9" s="1">
        <v>725</v>
      </c>
      <c r="T9" s="2">
        <v>42722.303376271186</v>
      </c>
      <c r="U9" s="13">
        <v>44483.864406779663</v>
      </c>
      <c r="V9" s="13">
        <v>1160.9322033898279</v>
      </c>
      <c r="W9" s="13">
        <v>0</v>
      </c>
      <c r="X9" s="13"/>
      <c r="Y9" s="2">
        <f t="shared" si="12"/>
        <v>53495.370434782606</v>
      </c>
      <c r="Z9" s="18">
        <f>AC9</f>
        <v>43990</v>
      </c>
      <c r="AA9" s="5" t="s">
        <v>90</v>
      </c>
      <c r="AB9" s="5"/>
      <c r="AC9" s="14">
        <v>43990</v>
      </c>
      <c r="AD9" s="5">
        <v>0</v>
      </c>
      <c r="AE9" s="5"/>
      <c r="AF9" s="5">
        <f t="shared" si="8"/>
        <v>0</v>
      </c>
      <c r="AG9" s="5"/>
      <c r="AH9" s="13">
        <v>1160.9322033898279</v>
      </c>
      <c r="AI9" s="13">
        <v>0</v>
      </c>
      <c r="AJ9" s="5"/>
      <c r="AL9" s="5"/>
      <c r="AM9" s="5">
        <v>53495.370434782606</v>
      </c>
      <c r="AN9" s="5">
        <f t="shared" si="2"/>
        <v>0</v>
      </c>
      <c r="AO9" s="5"/>
      <c r="AP9" s="5">
        <f t="shared" si="3"/>
        <v>44483.864406779663</v>
      </c>
      <c r="AQ9" s="20">
        <v>1160.9322033898279</v>
      </c>
      <c r="AR9" s="20">
        <v>0</v>
      </c>
      <c r="AT9" s="3">
        <v>0</v>
      </c>
      <c r="AV9" s="5">
        <f t="shared" si="9"/>
        <v>0</v>
      </c>
      <c r="AX9" s="38">
        <f t="shared" si="4"/>
        <v>0</v>
      </c>
      <c r="BA9" s="3">
        <v>0</v>
      </c>
      <c r="BB9" s="3">
        <v>0</v>
      </c>
      <c r="BC9" s="3">
        <v>0</v>
      </c>
      <c r="BD9" s="3">
        <f t="shared" si="10"/>
        <v>0</v>
      </c>
      <c r="BE9" s="3">
        <v>0</v>
      </c>
      <c r="BF9" s="3">
        <v>0</v>
      </c>
      <c r="BH9" s="3">
        <f t="shared" si="11"/>
        <v>0</v>
      </c>
      <c r="BJ9" s="38">
        <f t="shared" si="5"/>
        <v>0</v>
      </c>
      <c r="BL9" s="3">
        <f t="shared" si="6"/>
        <v>52490.96</v>
      </c>
    </row>
    <row r="10" spans="1:64" x14ac:dyDescent="0.35">
      <c r="A10" s="1" t="s">
        <v>93</v>
      </c>
      <c r="B10" s="1" t="str">
        <f t="shared" si="1"/>
        <v>Mainstream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92</v>
      </c>
      <c r="L10" s="1" t="s">
        <v>70</v>
      </c>
      <c r="M10" s="1" t="s">
        <v>56</v>
      </c>
      <c r="N10" s="1" t="s">
        <v>57</v>
      </c>
      <c r="O10" s="1" t="s">
        <v>87</v>
      </c>
      <c r="P10" s="1" t="s">
        <v>88</v>
      </c>
      <c r="Q10" s="1" t="s">
        <v>89</v>
      </c>
      <c r="R10" s="7" t="s">
        <v>73</v>
      </c>
      <c r="S10" s="1">
        <v>725</v>
      </c>
      <c r="T10" s="2">
        <v>41351.266101694921</v>
      </c>
      <c r="U10" s="13">
        <v>43056.295399515744</v>
      </c>
      <c r="V10" s="13">
        <v>0</v>
      </c>
      <c r="W10" s="13">
        <v>0</v>
      </c>
      <c r="X10" s="13"/>
      <c r="Y10" s="2">
        <f t="shared" si="12"/>
        <v>53190</v>
      </c>
      <c r="Z10" s="18">
        <f>AC10</f>
        <v>43990</v>
      </c>
      <c r="AA10" s="5" t="s">
        <v>90</v>
      </c>
      <c r="AB10" s="5"/>
      <c r="AC10" s="14">
        <v>43990</v>
      </c>
      <c r="AD10" s="5">
        <v>0</v>
      </c>
      <c r="AE10" s="5"/>
      <c r="AF10" s="5">
        <f t="shared" si="8"/>
        <v>0</v>
      </c>
      <c r="AG10" s="5"/>
      <c r="AH10" s="13">
        <v>0</v>
      </c>
      <c r="AI10" s="13">
        <v>0</v>
      </c>
      <c r="AJ10" s="5"/>
      <c r="AL10" s="5"/>
      <c r="AM10" s="5">
        <v>53190</v>
      </c>
      <c r="AN10" s="5">
        <f t="shared" si="2"/>
        <v>0</v>
      </c>
      <c r="AO10" s="5"/>
      <c r="AP10" s="5">
        <f t="shared" si="3"/>
        <v>43056.295399515744</v>
      </c>
      <c r="AQ10" s="20">
        <v>0</v>
      </c>
      <c r="AR10" s="20">
        <v>0</v>
      </c>
      <c r="AT10" s="3">
        <v>0</v>
      </c>
      <c r="AV10" s="5">
        <f t="shared" si="9"/>
        <v>0</v>
      </c>
      <c r="AX10" s="38">
        <f t="shared" si="4"/>
        <v>0</v>
      </c>
      <c r="BA10" s="3">
        <v>0</v>
      </c>
      <c r="BB10" s="3">
        <v>-3</v>
      </c>
      <c r="BC10" s="3">
        <v>0</v>
      </c>
      <c r="BD10" s="3">
        <f t="shared" si="10"/>
        <v>-3</v>
      </c>
      <c r="BE10" s="3">
        <v>2</v>
      </c>
      <c r="BF10" s="3">
        <v>0</v>
      </c>
      <c r="BH10" s="3">
        <f t="shared" si="11"/>
        <v>-6</v>
      </c>
      <c r="BJ10" s="38">
        <f t="shared" si="5"/>
        <v>0</v>
      </c>
      <c r="BL10" s="3">
        <f t="shared" si="6"/>
        <v>50806.428571428572</v>
      </c>
    </row>
    <row r="11" spans="1:64" x14ac:dyDescent="0.35">
      <c r="A11" s="1" t="s">
        <v>94</v>
      </c>
      <c r="B11" s="1" t="str">
        <f t="shared" si="1"/>
        <v>Mainstream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92</v>
      </c>
      <c r="L11" s="1" t="s">
        <v>70</v>
      </c>
      <c r="M11" s="1" t="s">
        <v>56</v>
      </c>
      <c r="N11" s="1" t="s">
        <v>57</v>
      </c>
      <c r="O11" s="1" t="s">
        <v>87</v>
      </c>
      <c r="P11" s="1" t="s">
        <v>88</v>
      </c>
      <c r="Q11" s="1" t="s">
        <v>89</v>
      </c>
      <c r="R11" s="1" t="s">
        <v>73</v>
      </c>
      <c r="S11" s="1">
        <v>725</v>
      </c>
      <c r="T11" s="2">
        <v>42559.637661016946</v>
      </c>
      <c r="U11" s="13">
        <v>44314.491525423728</v>
      </c>
      <c r="V11" s="13">
        <v>1233.0322033898265</v>
      </c>
      <c r="W11" s="13">
        <v>0</v>
      </c>
      <c r="X11" s="13"/>
      <c r="Y11" s="2">
        <f t="shared" si="12"/>
        <v>53190</v>
      </c>
      <c r="Z11" s="18">
        <f>AC11</f>
        <v>43990</v>
      </c>
      <c r="AA11" s="5" t="s">
        <v>90</v>
      </c>
      <c r="AB11" s="5"/>
      <c r="AC11" s="14">
        <v>43990</v>
      </c>
      <c r="AD11" s="5">
        <v>0</v>
      </c>
      <c r="AE11" s="5"/>
      <c r="AF11" s="5">
        <f t="shared" si="8"/>
        <v>0</v>
      </c>
      <c r="AG11" s="5"/>
      <c r="AH11" s="13">
        <v>1233.0322033898265</v>
      </c>
      <c r="AI11" s="13">
        <v>7173</v>
      </c>
      <c r="AJ11" s="5"/>
      <c r="AL11" s="5"/>
      <c r="AM11" s="5">
        <v>43989.84782608696</v>
      </c>
      <c r="AN11" s="5">
        <f t="shared" si="2"/>
        <v>9200.1521739130403</v>
      </c>
      <c r="AO11" s="5"/>
      <c r="AP11" s="5">
        <f t="shared" si="3"/>
        <v>44314.491525423728</v>
      </c>
      <c r="AQ11" s="20">
        <v>1233.0322033898265</v>
      </c>
      <c r="AR11" s="20">
        <v>7173</v>
      </c>
      <c r="AT11" s="3">
        <v>0</v>
      </c>
      <c r="AV11" s="5">
        <f t="shared" si="9"/>
        <v>0</v>
      </c>
      <c r="AX11" s="38">
        <f t="shared" si="4"/>
        <v>0</v>
      </c>
      <c r="BA11" s="3">
        <v>0</v>
      </c>
      <c r="BB11" s="3">
        <v>0</v>
      </c>
      <c r="BC11" s="3">
        <v>0</v>
      </c>
      <c r="BD11" s="3">
        <f t="shared" si="10"/>
        <v>0</v>
      </c>
      <c r="BE11" s="3">
        <v>0</v>
      </c>
      <c r="BF11" s="3">
        <v>0</v>
      </c>
      <c r="BH11" s="3">
        <f t="shared" si="11"/>
        <v>0</v>
      </c>
      <c r="BJ11" s="38">
        <f t="shared" si="5"/>
        <v>0</v>
      </c>
      <c r="BL11" s="3">
        <f t="shared" si="6"/>
        <v>52291.1</v>
      </c>
    </row>
    <row r="12" spans="1:64" x14ac:dyDescent="0.35">
      <c r="A12" s="1" t="s">
        <v>95</v>
      </c>
      <c r="B12" s="1" t="str">
        <f t="shared" si="1"/>
        <v>Premium</v>
      </c>
      <c r="C12" s="1" t="s">
        <v>46</v>
      </c>
      <c r="D12" s="1" t="s">
        <v>96</v>
      </c>
      <c r="E12" s="1" t="s">
        <v>48</v>
      </c>
      <c r="F12" s="1" t="s">
        <v>97</v>
      </c>
      <c r="G12" s="1" t="s">
        <v>98</v>
      </c>
      <c r="H12" s="1" t="s">
        <v>84</v>
      </c>
      <c r="I12" s="1" t="s">
        <v>68</v>
      </c>
      <c r="J12" s="1" t="s">
        <v>99</v>
      </c>
      <c r="K12" s="1" t="s">
        <v>54</v>
      </c>
      <c r="L12" s="1" t="s">
        <v>70</v>
      </c>
      <c r="M12" s="1" t="s">
        <v>100</v>
      </c>
      <c r="N12" s="1" t="s">
        <v>101</v>
      </c>
      <c r="O12" s="1" t="s">
        <v>102</v>
      </c>
      <c r="P12" s="1" t="s">
        <v>103</v>
      </c>
      <c r="Q12" s="1" t="s">
        <v>104</v>
      </c>
      <c r="R12" s="1" t="s">
        <v>73</v>
      </c>
      <c r="S12" s="1">
        <v>725</v>
      </c>
      <c r="T12" s="2">
        <f>U12*0.98*0.98</f>
        <v>57269.140338983052</v>
      </c>
      <c r="U12" s="13">
        <v>59630.508474576272</v>
      </c>
      <c r="V12" s="13">
        <v>0</v>
      </c>
      <c r="W12" s="13">
        <v>10941.033898305082</v>
      </c>
      <c r="X12" s="13"/>
      <c r="Y12" s="2">
        <f t="shared" si="12"/>
        <v>59990</v>
      </c>
      <c r="Z12" s="1">
        <v>59990</v>
      </c>
      <c r="AA12" s="5"/>
      <c r="AB12" s="5"/>
      <c r="AC12" s="14">
        <v>59990</v>
      </c>
      <c r="AD12" s="5">
        <f t="shared" si="7"/>
        <v>0</v>
      </c>
      <c r="AE12" s="5"/>
      <c r="AF12" s="5">
        <f t="shared" si="8"/>
        <v>10941.033898305082</v>
      </c>
      <c r="AG12" s="5"/>
      <c r="AH12" s="13">
        <v>0</v>
      </c>
      <c r="AI12" s="13">
        <v>10941.033898305082</v>
      </c>
      <c r="AJ12" s="5"/>
      <c r="AL12" s="5"/>
      <c r="AM12" s="5">
        <v>59990</v>
      </c>
      <c r="AN12" s="5">
        <f t="shared" si="2"/>
        <v>0</v>
      </c>
      <c r="AO12" s="5"/>
      <c r="AP12" s="5">
        <f t="shared" si="3"/>
        <v>59630.508474576272</v>
      </c>
      <c r="AQ12" s="20">
        <v>0</v>
      </c>
      <c r="AR12" s="20">
        <v>10941.033898305082</v>
      </c>
      <c r="AT12" s="3">
        <v>81</v>
      </c>
      <c r="AV12" s="5">
        <f t="shared" si="9"/>
        <v>810</v>
      </c>
      <c r="AX12" s="38">
        <f t="shared" si="4"/>
        <v>8862237.4576271176</v>
      </c>
      <c r="BA12" s="3">
        <v>0</v>
      </c>
      <c r="BB12" s="3">
        <v>353</v>
      </c>
      <c r="BC12" s="3">
        <v>30</v>
      </c>
      <c r="BD12" s="3">
        <f t="shared" si="10"/>
        <v>383</v>
      </c>
      <c r="BE12" s="3">
        <v>5</v>
      </c>
      <c r="BF12" s="3">
        <v>0</v>
      </c>
      <c r="BH12" s="3">
        <f t="shared" si="11"/>
        <v>709</v>
      </c>
      <c r="BJ12" s="38">
        <f t="shared" si="5"/>
        <v>0</v>
      </c>
      <c r="BL12" s="3">
        <f t="shared" si="6"/>
        <v>70364</v>
      </c>
    </row>
    <row r="13" spans="1:64" x14ac:dyDescent="0.35">
      <c r="A13" s="1" t="s">
        <v>105</v>
      </c>
      <c r="B13" s="1" t="str">
        <f t="shared" si="1"/>
        <v>Premium</v>
      </c>
      <c r="C13" s="1" t="s">
        <v>46</v>
      </c>
      <c r="D13" s="1" t="s">
        <v>106</v>
      </c>
      <c r="E13" s="1" t="s">
        <v>48</v>
      </c>
      <c r="F13" s="1" t="s">
        <v>65</v>
      </c>
      <c r="G13" s="1" t="s">
        <v>107</v>
      </c>
      <c r="H13" s="1" t="s">
        <v>51</v>
      </c>
      <c r="I13" s="1" t="s">
        <v>108</v>
      </c>
      <c r="J13" s="1" t="s">
        <v>109</v>
      </c>
      <c r="K13" s="1" t="s">
        <v>92</v>
      </c>
      <c r="L13" s="1" t="s">
        <v>70</v>
      </c>
      <c r="M13" s="1" t="s">
        <v>100</v>
      </c>
      <c r="N13" s="1" t="s">
        <v>57</v>
      </c>
      <c r="O13" s="1" t="s">
        <v>110</v>
      </c>
      <c r="P13" s="1" t="s">
        <v>111</v>
      </c>
      <c r="Q13" s="1" t="s">
        <v>112</v>
      </c>
      <c r="R13" s="1" t="s">
        <v>73</v>
      </c>
      <c r="S13" s="1">
        <v>0</v>
      </c>
      <c r="T13" s="2">
        <f>U13*0.98*0.98</f>
        <v>57873.866779661017</v>
      </c>
      <c r="U13" s="13">
        <v>60260.169491525427</v>
      </c>
      <c r="V13" s="13">
        <v>6825.47457627119</v>
      </c>
      <c r="W13" s="13">
        <v>1559</v>
      </c>
      <c r="X13" s="13"/>
      <c r="Y13" s="2">
        <f t="shared" si="12"/>
        <v>64990.413043478249</v>
      </c>
      <c r="Z13" s="1">
        <v>64990</v>
      </c>
      <c r="AA13" s="5"/>
      <c r="AB13" s="5"/>
      <c r="AC13" s="14">
        <v>64990</v>
      </c>
      <c r="AD13" s="5">
        <f t="shared" si="7"/>
        <v>0.32203389829595902</v>
      </c>
      <c r="AE13" s="5"/>
      <c r="AF13" s="5">
        <f t="shared" si="8"/>
        <v>1559</v>
      </c>
      <c r="AG13" s="5"/>
      <c r="AH13" s="13">
        <v>6825.47457627119</v>
      </c>
      <c r="AI13" s="13">
        <v>1559</v>
      </c>
      <c r="AJ13" s="5"/>
      <c r="AL13" s="5"/>
      <c r="AM13" s="5">
        <v>64990.413043478249</v>
      </c>
      <c r="AN13" s="5">
        <f t="shared" si="2"/>
        <v>0</v>
      </c>
      <c r="AO13" s="5"/>
      <c r="AP13" s="5">
        <f t="shared" si="3"/>
        <v>60260.169491525427</v>
      </c>
      <c r="AQ13" s="20">
        <v>6825.47457627119</v>
      </c>
      <c r="AR13" s="20">
        <v>0</v>
      </c>
      <c r="AT13" s="3">
        <v>7</v>
      </c>
      <c r="AV13" s="5">
        <f t="shared" si="9"/>
        <v>70</v>
      </c>
      <c r="AX13" s="38">
        <f t="shared" si="4"/>
        <v>109130</v>
      </c>
      <c r="BA13" s="3">
        <v>20</v>
      </c>
      <c r="BB13" s="3">
        <v>0</v>
      </c>
      <c r="BC13" s="3">
        <v>0</v>
      </c>
      <c r="BD13" s="3">
        <f t="shared" si="10"/>
        <v>20</v>
      </c>
      <c r="BE13" s="3">
        <v>391</v>
      </c>
      <c r="BF13" s="3">
        <v>0</v>
      </c>
      <c r="BH13" s="3">
        <f t="shared" si="11"/>
        <v>37</v>
      </c>
      <c r="BJ13" s="38">
        <f t="shared" si="5"/>
        <v>252542.55932203404</v>
      </c>
      <c r="BL13" s="3">
        <f t="shared" si="6"/>
        <v>71107</v>
      </c>
    </row>
    <row r="14" spans="1:64" x14ac:dyDescent="0.35">
      <c r="A14" s="1" t="s">
        <v>113</v>
      </c>
      <c r="B14" s="1" t="str">
        <f t="shared" si="1"/>
        <v>Premium</v>
      </c>
      <c r="C14" s="1" t="s">
        <v>46</v>
      </c>
      <c r="D14" s="1" t="s">
        <v>114</v>
      </c>
      <c r="E14" s="1" t="s">
        <v>81</v>
      </c>
      <c r="F14" s="1" t="s">
        <v>115</v>
      </c>
      <c r="G14" s="1" t="s">
        <v>116</v>
      </c>
      <c r="H14" s="1" t="s">
        <v>51</v>
      </c>
      <c r="I14" s="1" t="s">
        <v>117</v>
      </c>
      <c r="J14" s="1" t="s">
        <v>118</v>
      </c>
      <c r="K14" s="1" t="s">
        <v>54</v>
      </c>
      <c r="L14" s="1" t="s">
        <v>70</v>
      </c>
      <c r="M14" s="1" t="s">
        <v>100</v>
      </c>
      <c r="N14" s="1" t="s">
        <v>57</v>
      </c>
      <c r="O14" s="1" t="s">
        <v>87</v>
      </c>
      <c r="P14" s="1" t="s">
        <v>119</v>
      </c>
      <c r="Q14" s="1" t="s">
        <v>72</v>
      </c>
      <c r="R14" s="1" t="s">
        <v>61</v>
      </c>
      <c r="S14" s="1">
        <v>725</v>
      </c>
      <c r="T14" s="2">
        <f>U14*0.965*0.98</f>
        <v>53688.51101694916</v>
      </c>
      <c r="U14" s="13">
        <v>56771.186440677971</v>
      </c>
      <c r="V14" s="13">
        <v>0</v>
      </c>
      <c r="W14" s="13">
        <v>5580</v>
      </c>
      <c r="X14" s="13"/>
      <c r="Y14" s="2">
        <f>(U14*0.88-S14-V14-W14-X14)*1.18/0.92</f>
        <v>55990.543478260872</v>
      </c>
      <c r="Z14" s="18">
        <v>55990</v>
      </c>
      <c r="AA14" s="5"/>
      <c r="AB14" s="5"/>
      <c r="AC14" s="14">
        <v>55990</v>
      </c>
      <c r="AD14" s="5">
        <f t="shared" si="7"/>
        <v>0.42372881356104858</v>
      </c>
      <c r="AE14" s="5"/>
      <c r="AF14" s="5">
        <f t="shared" si="8"/>
        <v>5580</v>
      </c>
      <c r="AG14" s="5"/>
      <c r="AH14" s="13">
        <v>0</v>
      </c>
      <c r="AI14" s="13">
        <f>4021.10169491526+1559</f>
        <v>5580.1016949152599</v>
      </c>
      <c r="AJ14" s="5"/>
      <c r="AL14" s="5"/>
      <c r="AM14" s="5">
        <v>55990.413043478249</v>
      </c>
      <c r="AN14" s="5">
        <f t="shared" si="2"/>
        <v>0.13043478262261488</v>
      </c>
      <c r="AO14" s="5"/>
      <c r="AP14" s="5">
        <f t="shared" si="3"/>
        <v>56771.186440677971</v>
      </c>
      <c r="AQ14" s="20">
        <v>0</v>
      </c>
      <c r="AR14" s="20">
        <v>5580.1016949152599</v>
      </c>
      <c r="AT14" s="3">
        <v>4</v>
      </c>
      <c r="AV14" s="5">
        <f t="shared" si="9"/>
        <v>40</v>
      </c>
      <c r="AX14" s="38">
        <f t="shared" si="4"/>
        <v>223200</v>
      </c>
      <c r="BA14" s="3">
        <v>0</v>
      </c>
      <c r="BB14" s="3">
        <v>0</v>
      </c>
      <c r="BC14" s="3">
        <v>0</v>
      </c>
      <c r="BD14" s="3">
        <f t="shared" si="10"/>
        <v>0</v>
      </c>
      <c r="BE14" s="3">
        <v>0</v>
      </c>
      <c r="BF14" s="3">
        <v>0</v>
      </c>
      <c r="BH14" s="3">
        <f t="shared" si="11"/>
        <v>0</v>
      </c>
      <c r="BJ14" s="38">
        <f t="shared" si="5"/>
        <v>0</v>
      </c>
      <c r="BL14" s="3">
        <f t="shared" si="6"/>
        <v>66990</v>
      </c>
    </row>
    <row r="15" spans="1:64" x14ac:dyDescent="0.35">
      <c r="A15" s="1" t="s">
        <v>120</v>
      </c>
      <c r="B15" s="1" t="str">
        <f t="shared" si="1"/>
        <v>Mainstream</v>
      </c>
      <c r="C15" s="1" t="s">
        <v>46</v>
      </c>
      <c r="D15" s="1" t="s">
        <v>121</v>
      </c>
      <c r="E15" s="1" t="s">
        <v>81</v>
      </c>
      <c r="F15" s="1" t="s">
        <v>115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54</v>
      </c>
      <c r="L15" s="1" t="s">
        <v>70</v>
      </c>
      <c r="M15" s="1" t="s">
        <v>100</v>
      </c>
      <c r="N15" s="1" t="s">
        <v>57</v>
      </c>
      <c r="O15" s="1" t="s">
        <v>87</v>
      </c>
      <c r="P15" s="1" t="s">
        <v>126</v>
      </c>
      <c r="Q15" s="1" t="s">
        <v>127</v>
      </c>
      <c r="R15" s="1" t="s">
        <v>61</v>
      </c>
      <c r="S15" s="1">
        <v>0</v>
      </c>
      <c r="T15" s="2">
        <f>U15*0.965*0.98</f>
        <v>49529.03389830509</v>
      </c>
      <c r="U15" s="13">
        <v>52372.881355932208</v>
      </c>
      <c r="V15" s="13">
        <v>0</v>
      </c>
      <c r="W15" s="13">
        <f>2279</f>
        <v>2279</v>
      </c>
      <c r="X15" s="13"/>
      <c r="Y15" s="2">
        <f>(U15*0.88-S15-V15-W15-X15)*1.18/0.92</f>
        <v>56189.978260869568</v>
      </c>
      <c r="Z15" s="1">
        <v>56190</v>
      </c>
      <c r="AA15" s="5"/>
      <c r="AB15" s="5"/>
      <c r="AC15" s="14">
        <v>56190</v>
      </c>
      <c r="AD15" s="5">
        <f t="shared" si="7"/>
        <v>-1.6949152540399741E-2</v>
      </c>
      <c r="AE15" s="5"/>
      <c r="AF15" s="5">
        <f t="shared" si="8"/>
        <v>2279</v>
      </c>
      <c r="AG15" s="5"/>
      <c r="AH15" s="13">
        <v>0</v>
      </c>
      <c r="AI15" s="13">
        <v>2278.9830508474624</v>
      </c>
      <c r="AJ15" s="5"/>
      <c r="AL15" s="5"/>
      <c r="AM15" s="5">
        <v>56189.999999999993</v>
      </c>
      <c r="AN15" s="5">
        <f t="shared" si="2"/>
        <v>-2.1739130424975883E-2</v>
      </c>
      <c r="AO15" s="5"/>
      <c r="AP15" s="5">
        <f t="shared" si="3"/>
        <v>52372.881355932208</v>
      </c>
      <c r="AQ15" s="20">
        <v>0</v>
      </c>
      <c r="AR15" s="20">
        <v>2278.9830508474624</v>
      </c>
      <c r="AT15" s="3">
        <v>12</v>
      </c>
      <c r="AV15" s="5">
        <f t="shared" si="9"/>
        <v>120</v>
      </c>
      <c r="AX15" s="38">
        <f t="shared" si="4"/>
        <v>273480</v>
      </c>
      <c r="BA15" s="3">
        <v>68</v>
      </c>
      <c r="BB15" s="3">
        <v>55</v>
      </c>
      <c r="BC15" s="3">
        <v>12</v>
      </c>
      <c r="BD15" s="3">
        <f t="shared" si="10"/>
        <v>135</v>
      </c>
      <c r="BE15" s="3">
        <v>596</v>
      </c>
      <c r="BF15" s="3">
        <v>0</v>
      </c>
      <c r="BH15" s="3">
        <f t="shared" si="11"/>
        <v>250</v>
      </c>
      <c r="BJ15" s="38">
        <f t="shared" si="5"/>
        <v>0</v>
      </c>
      <c r="BL15" s="3">
        <f t="shared" si="6"/>
        <v>61800</v>
      </c>
    </row>
    <row r="16" spans="1:64" x14ac:dyDescent="0.35">
      <c r="A16" s="1" t="s">
        <v>128</v>
      </c>
      <c r="B16" s="1" t="str">
        <f t="shared" si="1"/>
        <v>Premium</v>
      </c>
      <c r="C16" s="1" t="s">
        <v>46</v>
      </c>
      <c r="D16" s="1" t="s">
        <v>106</v>
      </c>
      <c r="E16" s="1" t="s">
        <v>48</v>
      </c>
      <c r="F16" s="1" t="s">
        <v>65</v>
      </c>
      <c r="G16" s="1" t="s">
        <v>76</v>
      </c>
      <c r="H16" s="1" t="s">
        <v>51</v>
      </c>
      <c r="I16" s="1" t="s">
        <v>52</v>
      </c>
      <c r="J16" s="1" t="s">
        <v>53</v>
      </c>
      <c r="K16" s="1" t="s">
        <v>54</v>
      </c>
      <c r="L16" s="1" t="s">
        <v>70</v>
      </c>
      <c r="M16" s="1" t="s">
        <v>56</v>
      </c>
      <c r="N16" s="1" t="s">
        <v>57</v>
      </c>
      <c r="O16" s="1" t="s">
        <v>110</v>
      </c>
      <c r="P16" s="1" t="s">
        <v>129</v>
      </c>
      <c r="Q16" s="1" t="s">
        <v>72</v>
      </c>
      <c r="R16" s="7" t="s">
        <v>73</v>
      </c>
      <c r="S16" s="1">
        <v>725</v>
      </c>
      <c r="T16" s="2">
        <f t="shared" ref="T16:T21" si="13">U16*0.98*0.98</f>
        <v>63801.764861016949</v>
      </c>
      <c r="U16" s="13">
        <v>66432.491525423728</v>
      </c>
      <c r="V16" s="13">
        <v>4966</v>
      </c>
      <c r="W16" s="13">
        <v>6403.6891525423707</v>
      </c>
      <c r="X16" s="13"/>
      <c r="Y16" s="2">
        <f t="shared" ref="Y16:Y23" si="14">(U16*0.98-S16-V16-W16-X16)*1.18/0.92</f>
        <v>67989.999999999985</v>
      </c>
      <c r="Z16" s="1">
        <v>67990</v>
      </c>
      <c r="AA16" s="5"/>
      <c r="AB16" s="5"/>
      <c r="AC16" s="14">
        <v>67990</v>
      </c>
      <c r="AD16" s="5">
        <f t="shared" si="7"/>
        <v>-1.1345561025506361E-11</v>
      </c>
      <c r="AE16" s="5"/>
      <c r="AF16" s="5">
        <f t="shared" si="8"/>
        <v>6403.6891525423707</v>
      </c>
      <c r="AG16" s="5"/>
      <c r="AH16" s="13">
        <v>4966</v>
      </c>
      <c r="AI16" s="13">
        <v>6403.6891525423707</v>
      </c>
      <c r="AJ16" s="5"/>
      <c r="AL16" s="5"/>
      <c r="AM16" s="5">
        <v>67989.999999999985</v>
      </c>
      <c r="AN16" s="5">
        <f t="shared" si="2"/>
        <v>0</v>
      </c>
      <c r="AO16" s="5"/>
      <c r="AP16" s="5">
        <f t="shared" si="3"/>
        <v>66432.491525423728</v>
      </c>
      <c r="AQ16" s="20">
        <v>4966</v>
      </c>
      <c r="AR16" s="20">
        <v>6403.6891525423707</v>
      </c>
      <c r="AT16" s="3">
        <v>0</v>
      </c>
      <c r="AV16" s="5">
        <f t="shared" si="9"/>
        <v>0</v>
      </c>
      <c r="AX16" s="38">
        <f t="shared" si="4"/>
        <v>0</v>
      </c>
      <c r="BA16" s="3">
        <v>0</v>
      </c>
      <c r="BB16" s="3">
        <v>0</v>
      </c>
      <c r="BC16" s="3">
        <v>0</v>
      </c>
      <c r="BD16" s="3">
        <f t="shared" si="10"/>
        <v>0</v>
      </c>
      <c r="BE16" s="3">
        <v>32</v>
      </c>
      <c r="BF16" s="3">
        <v>0</v>
      </c>
      <c r="BH16" s="3">
        <f t="shared" si="11"/>
        <v>0</v>
      </c>
      <c r="BJ16" s="38">
        <f t="shared" si="5"/>
        <v>0</v>
      </c>
      <c r="BL16" s="3">
        <f t="shared" si="6"/>
        <v>78390.34</v>
      </c>
    </row>
    <row r="17" spans="1:64" x14ac:dyDescent="0.35">
      <c r="A17" s="1" t="s">
        <v>130</v>
      </c>
      <c r="B17" s="1" t="str">
        <f t="shared" si="1"/>
        <v>Premium</v>
      </c>
      <c r="C17" s="1" t="s">
        <v>46</v>
      </c>
      <c r="D17" s="1" t="s">
        <v>106</v>
      </c>
      <c r="E17" s="1" t="s">
        <v>48</v>
      </c>
      <c r="F17" s="1" t="s">
        <v>65</v>
      </c>
      <c r="G17" s="1" t="s">
        <v>76</v>
      </c>
      <c r="H17" s="1" t="s">
        <v>51</v>
      </c>
      <c r="I17" s="1" t="s">
        <v>52</v>
      </c>
      <c r="J17" s="1" t="s">
        <v>53</v>
      </c>
      <c r="K17" s="1" t="s">
        <v>54</v>
      </c>
      <c r="L17" s="1" t="s">
        <v>70</v>
      </c>
      <c r="M17" s="1" t="s">
        <v>56</v>
      </c>
      <c r="N17" s="1" t="s">
        <v>57</v>
      </c>
      <c r="O17" s="1" t="s">
        <v>110</v>
      </c>
      <c r="P17" s="1" t="s">
        <v>129</v>
      </c>
      <c r="Q17" s="1" t="s">
        <v>72</v>
      </c>
      <c r="R17" s="1" t="s">
        <v>73</v>
      </c>
      <c r="S17" s="1">
        <v>725</v>
      </c>
      <c r="T17" s="2">
        <f t="shared" si="13"/>
        <v>59894.765527728821</v>
      </c>
      <c r="U17" s="13">
        <v>62364.395593220346</v>
      </c>
      <c r="V17" s="13">
        <v>4966</v>
      </c>
      <c r="W17" s="13">
        <v>2416.9551389830594</v>
      </c>
      <c r="X17" s="13"/>
      <c r="Y17" s="2">
        <f t="shared" si="14"/>
        <v>67989.999999999985</v>
      </c>
      <c r="Z17" s="1">
        <v>67990</v>
      </c>
      <c r="AA17" s="5"/>
      <c r="AB17" s="5"/>
      <c r="AC17" s="14">
        <v>67990</v>
      </c>
      <c r="AD17" s="5">
        <f t="shared" si="7"/>
        <v>-1.1345561025506361E-11</v>
      </c>
      <c r="AE17" s="5"/>
      <c r="AF17" s="5">
        <f t="shared" si="8"/>
        <v>2416.9551389830594</v>
      </c>
      <c r="AG17" s="5"/>
      <c r="AH17" s="13">
        <v>4966</v>
      </c>
      <c r="AI17" s="13">
        <v>2416.9551389830594</v>
      </c>
      <c r="AJ17" s="5"/>
      <c r="AL17" s="5"/>
      <c r="AM17" s="5">
        <v>67989.999999999985</v>
      </c>
      <c r="AN17" s="5">
        <f t="shared" si="2"/>
        <v>0</v>
      </c>
      <c r="AO17" s="5"/>
      <c r="AP17" s="5">
        <f t="shared" si="3"/>
        <v>62364.395593220346</v>
      </c>
      <c r="AQ17" s="20">
        <v>4966</v>
      </c>
      <c r="AR17" s="20">
        <v>2416.9551389830594</v>
      </c>
      <c r="AT17" s="3">
        <v>0</v>
      </c>
      <c r="AV17" s="5">
        <f t="shared" si="9"/>
        <v>0</v>
      </c>
      <c r="AX17" s="38">
        <f t="shared" si="4"/>
        <v>0</v>
      </c>
      <c r="BA17" s="3">
        <v>0</v>
      </c>
      <c r="BB17" s="3">
        <v>0</v>
      </c>
      <c r="BC17" s="3">
        <v>0</v>
      </c>
      <c r="BD17" s="3">
        <f t="shared" si="10"/>
        <v>0</v>
      </c>
      <c r="BE17" s="3">
        <v>1</v>
      </c>
      <c r="BF17" s="3">
        <v>0</v>
      </c>
      <c r="BH17" s="3">
        <f t="shared" si="11"/>
        <v>0</v>
      </c>
      <c r="BJ17" s="38">
        <f t="shared" si="5"/>
        <v>0</v>
      </c>
      <c r="BL17" s="3">
        <f t="shared" si="6"/>
        <v>73589.986799999999</v>
      </c>
    </row>
    <row r="18" spans="1:64" x14ac:dyDescent="0.35">
      <c r="A18" s="1" t="s">
        <v>131</v>
      </c>
      <c r="B18" s="1" t="str">
        <f t="shared" si="1"/>
        <v>Premium</v>
      </c>
      <c r="C18" s="1" t="s">
        <v>46</v>
      </c>
      <c r="D18" s="1" t="s">
        <v>106</v>
      </c>
      <c r="E18" s="1" t="s">
        <v>48</v>
      </c>
      <c r="F18" s="1" t="s">
        <v>65</v>
      </c>
      <c r="G18" s="1" t="s">
        <v>76</v>
      </c>
      <c r="H18" s="1" t="s">
        <v>51</v>
      </c>
      <c r="I18" s="1" t="s">
        <v>52</v>
      </c>
      <c r="J18" s="1" t="s">
        <v>53</v>
      </c>
      <c r="K18" s="1" t="s">
        <v>54</v>
      </c>
      <c r="L18" s="1" t="s">
        <v>70</v>
      </c>
      <c r="M18" s="1" t="s">
        <v>100</v>
      </c>
      <c r="N18" s="1" t="s">
        <v>132</v>
      </c>
      <c r="O18" s="1" t="s">
        <v>110</v>
      </c>
      <c r="P18" s="1" t="s">
        <v>129</v>
      </c>
      <c r="Q18" s="1" t="s">
        <v>72</v>
      </c>
      <c r="R18" s="1" t="s">
        <v>73</v>
      </c>
      <c r="S18" s="1">
        <v>725</v>
      </c>
      <c r="T18" s="2">
        <f t="shared" si="13"/>
        <v>58267.647057627109</v>
      </c>
      <c r="U18" s="13">
        <v>60670.186440677957</v>
      </c>
      <c r="V18" s="13">
        <v>4865.0030508474429</v>
      </c>
      <c r="W18" s="13">
        <v>857.62711864407174</v>
      </c>
      <c r="X18" s="13"/>
      <c r="Y18" s="2">
        <f t="shared" si="14"/>
        <v>67989.999999999985</v>
      </c>
      <c r="Z18" s="1">
        <v>67990</v>
      </c>
      <c r="AA18" s="5"/>
      <c r="AB18" s="5"/>
      <c r="AC18" s="14">
        <v>67990</v>
      </c>
      <c r="AD18" s="5">
        <f t="shared" si="7"/>
        <v>-1.1345561025506361E-11</v>
      </c>
      <c r="AE18" s="5"/>
      <c r="AF18" s="5">
        <f t="shared" si="8"/>
        <v>857.62711864407174</v>
      </c>
      <c r="AG18" s="5"/>
      <c r="AH18" s="13">
        <v>4865.0030508474429</v>
      </c>
      <c r="AI18" s="13">
        <v>857.62711864407174</v>
      </c>
      <c r="AJ18" s="5"/>
      <c r="AL18" s="5"/>
      <c r="AM18" s="5">
        <v>67989.999999999985</v>
      </c>
      <c r="AN18" s="5">
        <f t="shared" si="2"/>
        <v>0</v>
      </c>
      <c r="AO18" s="5"/>
      <c r="AP18" s="5">
        <f t="shared" si="3"/>
        <v>60670.186440677957</v>
      </c>
      <c r="AQ18" s="20">
        <v>4865.0030508474429</v>
      </c>
      <c r="AR18" s="20">
        <v>857.62711864407174</v>
      </c>
      <c r="AT18" s="3">
        <v>0</v>
      </c>
      <c r="AV18" s="5">
        <f t="shared" si="9"/>
        <v>0</v>
      </c>
      <c r="AX18" s="38">
        <f t="shared" si="4"/>
        <v>0</v>
      </c>
      <c r="BA18" s="3">
        <v>-2</v>
      </c>
      <c r="BB18" s="3">
        <v>0</v>
      </c>
      <c r="BC18" s="3">
        <v>0</v>
      </c>
      <c r="BD18" s="3">
        <f t="shared" si="10"/>
        <v>-2</v>
      </c>
      <c r="BE18" s="3">
        <v>1</v>
      </c>
      <c r="BF18" s="3">
        <v>0</v>
      </c>
      <c r="BH18" s="3">
        <f t="shared" si="11"/>
        <v>-4</v>
      </c>
      <c r="BJ18" s="38">
        <f t="shared" si="5"/>
        <v>-19460.012203389771</v>
      </c>
      <c r="BL18" s="3">
        <f t="shared" si="6"/>
        <v>71590.819999999992</v>
      </c>
    </row>
    <row r="19" spans="1:64" x14ac:dyDescent="0.35">
      <c r="A19" s="1" t="s">
        <v>133</v>
      </c>
      <c r="B19" s="1" t="str">
        <f t="shared" si="1"/>
        <v>Premium</v>
      </c>
      <c r="C19" s="1" t="s">
        <v>46</v>
      </c>
      <c r="D19" s="1" t="s">
        <v>106</v>
      </c>
      <c r="E19" s="1" t="s">
        <v>48</v>
      </c>
      <c r="F19" s="1" t="s">
        <v>65</v>
      </c>
      <c r="G19" s="1" t="s">
        <v>76</v>
      </c>
      <c r="H19" s="1" t="s">
        <v>51</v>
      </c>
      <c r="I19" s="1" t="s">
        <v>52</v>
      </c>
      <c r="J19" s="1" t="s">
        <v>53</v>
      </c>
      <c r="K19" s="1" t="s">
        <v>54</v>
      </c>
      <c r="L19" s="1" t="s">
        <v>70</v>
      </c>
      <c r="M19" s="1" t="s">
        <v>56</v>
      </c>
      <c r="N19" s="1" t="s">
        <v>57</v>
      </c>
      <c r="O19" s="1" t="s">
        <v>110</v>
      </c>
      <c r="P19" s="1" t="s">
        <v>129</v>
      </c>
      <c r="Q19" s="1" t="s">
        <v>72</v>
      </c>
      <c r="R19" s="1" t="s">
        <v>73</v>
      </c>
      <c r="S19" s="1">
        <v>725</v>
      </c>
      <c r="T19" s="2">
        <f t="shared" si="13"/>
        <v>59895.525057627106</v>
      </c>
      <c r="U19" s="13">
        <v>62365.186440677957</v>
      </c>
      <c r="V19" s="13">
        <v>4966.7810169491331</v>
      </c>
      <c r="W19" s="13">
        <v>2416.94915254238</v>
      </c>
      <c r="X19" s="13"/>
      <c r="Y19" s="2">
        <f t="shared" si="14"/>
        <v>67989.999999999985</v>
      </c>
      <c r="Z19" s="1">
        <v>67990</v>
      </c>
      <c r="AA19" s="5"/>
      <c r="AB19" s="5"/>
      <c r="AC19" s="14">
        <v>67990</v>
      </c>
      <c r="AD19" s="5">
        <f t="shared" si="7"/>
        <v>-1.1345561025506361E-11</v>
      </c>
      <c r="AE19" s="5"/>
      <c r="AF19" s="5">
        <f t="shared" si="8"/>
        <v>2416.94915254238</v>
      </c>
      <c r="AG19" s="5"/>
      <c r="AH19" s="13">
        <v>4966.7810169491331</v>
      </c>
      <c r="AI19" s="13">
        <v>2416.94915254238</v>
      </c>
      <c r="AJ19" s="5"/>
      <c r="AL19" s="5"/>
      <c r="AM19" s="5">
        <v>67989.999999999985</v>
      </c>
      <c r="AN19" s="5">
        <f t="shared" si="2"/>
        <v>0</v>
      </c>
      <c r="AO19" s="5"/>
      <c r="AP19" s="5">
        <f t="shared" si="3"/>
        <v>62365.186440677957</v>
      </c>
      <c r="AQ19" s="20">
        <v>4966.7810169491331</v>
      </c>
      <c r="AR19" s="20">
        <v>2416.94915254238</v>
      </c>
      <c r="AT19" s="3">
        <v>0</v>
      </c>
      <c r="AV19" s="5">
        <f t="shared" si="9"/>
        <v>0</v>
      </c>
      <c r="AX19" s="38">
        <f t="shared" si="4"/>
        <v>0</v>
      </c>
      <c r="BA19" s="3">
        <v>0</v>
      </c>
      <c r="BB19" s="3">
        <v>0</v>
      </c>
      <c r="BC19" s="3">
        <v>0</v>
      </c>
      <c r="BD19" s="3">
        <f t="shared" si="10"/>
        <v>0</v>
      </c>
      <c r="BE19" s="3">
        <v>0</v>
      </c>
      <c r="BF19" s="3">
        <v>0</v>
      </c>
      <c r="BH19" s="3">
        <f t="shared" si="11"/>
        <v>0</v>
      </c>
      <c r="BJ19" s="38">
        <f t="shared" si="5"/>
        <v>0</v>
      </c>
      <c r="BL19" s="3">
        <f t="shared" si="6"/>
        <v>73590.919999999984</v>
      </c>
    </row>
    <row r="20" spans="1:64" x14ac:dyDescent="0.35">
      <c r="A20" s="1" t="s">
        <v>134</v>
      </c>
      <c r="B20" s="1" t="str">
        <f t="shared" si="1"/>
        <v>Mainstream</v>
      </c>
      <c r="C20" s="1" t="s">
        <v>46</v>
      </c>
      <c r="D20" s="1" t="s">
        <v>135</v>
      </c>
      <c r="E20" s="1" t="s">
        <v>48</v>
      </c>
      <c r="F20" s="1" t="s">
        <v>65</v>
      </c>
      <c r="G20" s="1" t="s">
        <v>136</v>
      </c>
      <c r="H20" s="1" t="s">
        <v>123</v>
      </c>
      <c r="I20" s="1" t="s">
        <v>137</v>
      </c>
      <c r="J20" s="1" t="s">
        <v>138</v>
      </c>
      <c r="K20" s="1" t="s">
        <v>54</v>
      </c>
      <c r="L20" s="1" t="s">
        <v>70</v>
      </c>
      <c r="M20" s="1" t="s">
        <v>100</v>
      </c>
      <c r="N20" s="1" t="s">
        <v>139</v>
      </c>
      <c r="O20" s="1" t="s">
        <v>102</v>
      </c>
      <c r="P20" s="1" t="s">
        <v>129</v>
      </c>
      <c r="Q20" s="1" t="s">
        <v>140</v>
      </c>
      <c r="R20" s="1" t="s">
        <v>73</v>
      </c>
      <c r="S20" s="1"/>
      <c r="T20" s="2">
        <f t="shared" si="13"/>
        <v>51145.369491525431</v>
      </c>
      <c r="U20" s="13">
        <v>53254.237288135599</v>
      </c>
      <c r="V20" s="13">
        <v>0</v>
      </c>
      <c r="W20" s="13">
        <v>8535.5932203389893</v>
      </c>
      <c r="X20" s="13"/>
      <c r="Y20" s="2">
        <f t="shared" si="14"/>
        <v>55990.434782608689</v>
      </c>
      <c r="Z20" s="1">
        <v>55990</v>
      </c>
      <c r="AA20" s="5"/>
      <c r="AB20" s="5"/>
      <c r="AC20" s="14">
        <v>55990</v>
      </c>
      <c r="AD20" s="5">
        <f t="shared" si="7"/>
        <v>0.33898305084203151</v>
      </c>
      <c r="AE20" s="5"/>
      <c r="AF20" s="5">
        <f t="shared" si="8"/>
        <v>8535.5932203389893</v>
      </c>
      <c r="AG20" s="5"/>
      <c r="AH20" s="13">
        <v>0</v>
      </c>
      <c r="AI20" s="13">
        <f>9315.59322033899-780</f>
        <v>8535.5932203389893</v>
      </c>
      <c r="AJ20" s="5"/>
      <c r="AL20" s="5"/>
      <c r="AM20" s="5">
        <v>55990.434782608689</v>
      </c>
      <c r="AN20" s="5">
        <f t="shared" si="2"/>
        <v>0</v>
      </c>
      <c r="AO20" s="5"/>
      <c r="AP20" s="5">
        <f t="shared" si="3"/>
        <v>53254.237288135599</v>
      </c>
      <c r="AQ20" s="20">
        <v>0</v>
      </c>
      <c r="AR20" s="20">
        <v>8535.5932203389893</v>
      </c>
      <c r="AT20" s="3">
        <v>34</v>
      </c>
      <c r="AV20" s="5">
        <f t="shared" si="9"/>
        <v>340</v>
      </c>
      <c r="AX20" s="38">
        <f t="shared" si="4"/>
        <v>2902101.6949152565</v>
      </c>
      <c r="BA20" s="3">
        <v>120</v>
      </c>
      <c r="BB20" s="3">
        <v>46</v>
      </c>
      <c r="BC20" s="3">
        <v>453</v>
      </c>
      <c r="BD20" s="3">
        <f t="shared" si="10"/>
        <v>619</v>
      </c>
      <c r="BE20" s="3">
        <v>50</v>
      </c>
      <c r="BF20" s="3">
        <v>0</v>
      </c>
      <c r="BH20" s="3">
        <f t="shared" si="11"/>
        <v>1146</v>
      </c>
      <c r="BJ20" s="38">
        <f t="shared" si="5"/>
        <v>0</v>
      </c>
      <c r="BL20" s="3">
        <f t="shared" si="6"/>
        <v>62840</v>
      </c>
    </row>
    <row r="21" spans="1:64" x14ac:dyDescent="0.35">
      <c r="A21" s="1" t="s">
        <v>141</v>
      </c>
      <c r="B21" s="1" t="str">
        <f t="shared" si="1"/>
        <v>Mainstream</v>
      </c>
      <c r="C21" s="1" t="s">
        <v>46</v>
      </c>
      <c r="D21" s="1" t="s">
        <v>135</v>
      </c>
      <c r="E21" s="1" t="s">
        <v>48</v>
      </c>
      <c r="F21" s="1" t="s">
        <v>65</v>
      </c>
      <c r="G21" s="1" t="s">
        <v>76</v>
      </c>
      <c r="H21" s="1" t="s">
        <v>123</v>
      </c>
      <c r="I21" s="1" t="s">
        <v>52</v>
      </c>
      <c r="J21" s="1" t="s">
        <v>142</v>
      </c>
      <c r="K21" s="1" t="s">
        <v>54</v>
      </c>
      <c r="L21" s="1" t="s">
        <v>70</v>
      </c>
      <c r="M21" s="1" t="s">
        <v>100</v>
      </c>
      <c r="N21" s="1" t="s">
        <v>139</v>
      </c>
      <c r="O21" s="1" t="s">
        <v>143</v>
      </c>
      <c r="P21" s="1" t="s">
        <v>129</v>
      </c>
      <c r="Q21" s="1" t="s">
        <v>140</v>
      </c>
      <c r="R21" s="1" t="s">
        <v>73</v>
      </c>
      <c r="S21" s="1"/>
      <c r="T21" s="2">
        <f t="shared" si="13"/>
        <v>47279.352542372879</v>
      </c>
      <c r="U21" s="13">
        <v>49228.813559322036</v>
      </c>
      <c r="V21" s="13">
        <v>0</v>
      </c>
      <c r="W21" s="13">
        <v>6930</v>
      </c>
      <c r="X21" s="13"/>
      <c r="Y21" s="2">
        <f t="shared" si="14"/>
        <v>52989.999999999993</v>
      </c>
      <c r="Z21" s="1">
        <v>52990</v>
      </c>
      <c r="AA21" s="5"/>
      <c r="AB21" s="5"/>
      <c r="AC21" s="14">
        <v>52990</v>
      </c>
      <c r="AD21" s="5">
        <f t="shared" si="7"/>
        <v>-5.6727805127531806E-12</v>
      </c>
      <c r="AE21" s="5"/>
      <c r="AF21" s="5">
        <f t="shared" si="8"/>
        <v>6930</v>
      </c>
      <c r="AG21" s="5"/>
      <c r="AH21" s="13">
        <v>0</v>
      </c>
      <c r="AI21" s="13">
        <v>6930</v>
      </c>
      <c r="AJ21" s="5"/>
      <c r="AL21" s="5"/>
      <c r="AM21" s="5">
        <v>52989.999999999993</v>
      </c>
      <c r="AN21" s="5">
        <f t="shared" si="2"/>
        <v>0</v>
      </c>
      <c r="AO21" s="5"/>
      <c r="AP21" s="5">
        <f t="shared" si="3"/>
        <v>49228.813559322036</v>
      </c>
      <c r="AQ21" s="20">
        <v>0</v>
      </c>
      <c r="AR21" s="20">
        <v>6930</v>
      </c>
      <c r="AT21" s="3">
        <v>0</v>
      </c>
      <c r="AV21" s="5">
        <f t="shared" si="9"/>
        <v>0</v>
      </c>
      <c r="AX21" s="38">
        <f t="shared" si="4"/>
        <v>0</v>
      </c>
      <c r="BA21" s="3">
        <v>0</v>
      </c>
      <c r="BB21" s="3">
        <v>0</v>
      </c>
      <c r="BC21" s="3">
        <v>0</v>
      </c>
      <c r="BD21" s="3">
        <f t="shared" si="10"/>
        <v>0</v>
      </c>
      <c r="BE21" s="3">
        <v>0</v>
      </c>
      <c r="BF21" s="3">
        <v>2</v>
      </c>
      <c r="BH21" s="3">
        <f t="shared" si="11"/>
        <v>0</v>
      </c>
      <c r="BJ21" s="38">
        <f t="shared" si="5"/>
        <v>0</v>
      </c>
      <c r="BL21" s="3">
        <f t="shared" si="6"/>
        <v>58090</v>
      </c>
    </row>
    <row r="22" spans="1:64" x14ac:dyDescent="0.35">
      <c r="A22" s="1" t="s">
        <v>144</v>
      </c>
      <c r="B22" s="1" t="str">
        <f t="shared" si="1"/>
        <v>Entry</v>
      </c>
      <c r="C22" s="1" t="s">
        <v>79</v>
      </c>
      <c r="D22" s="1" t="s">
        <v>145</v>
      </c>
      <c r="E22" s="1" t="s">
        <v>81</v>
      </c>
      <c r="F22" s="1" t="s">
        <v>146</v>
      </c>
      <c r="G22" s="1" t="s">
        <v>147</v>
      </c>
      <c r="H22" s="1" t="s">
        <v>148</v>
      </c>
      <c r="I22" s="1" t="s">
        <v>149</v>
      </c>
      <c r="J22" s="1" t="s">
        <v>150</v>
      </c>
      <c r="K22" s="1" t="s">
        <v>92</v>
      </c>
      <c r="L22" s="1" t="s">
        <v>70</v>
      </c>
      <c r="M22" s="1" t="s">
        <v>56</v>
      </c>
      <c r="N22" s="1" t="s">
        <v>57</v>
      </c>
      <c r="O22" s="1" t="s">
        <v>87</v>
      </c>
      <c r="P22" s="1" t="s">
        <v>88</v>
      </c>
      <c r="Q22" s="1" t="s">
        <v>89</v>
      </c>
      <c r="R22" s="1" t="s">
        <v>73</v>
      </c>
      <c r="S22" s="1">
        <v>725</v>
      </c>
      <c r="T22" s="2">
        <v>29861.424196610173</v>
      </c>
      <c r="U22" s="13">
        <v>31092.694915254244</v>
      </c>
      <c r="V22" s="13">
        <v>0</v>
      </c>
      <c r="W22" s="13">
        <v>0</v>
      </c>
      <c r="X22" s="13"/>
      <c r="Y22" s="2">
        <f t="shared" si="14"/>
        <v>38152.274347826089</v>
      </c>
      <c r="Z22" s="18">
        <f>AC22</f>
        <v>31990</v>
      </c>
      <c r="AA22" s="5" t="s">
        <v>90</v>
      </c>
      <c r="AB22" s="5"/>
      <c r="AC22" s="14">
        <v>31990</v>
      </c>
      <c r="AD22" s="5">
        <v>0</v>
      </c>
      <c r="AE22" s="5"/>
      <c r="AF22" s="5">
        <f t="shared" si="8"/>
        <v>0</v>
      </c>
      <c r="AG22" s="5"/>
      <c r="AH22" s="13">
        <v>0</v>
      </c>
      <c r="AI22" s="13">
        <v>4804.4850847457674</v>
      </c>
      <c r="AJ22" s="5"/>
      <c r="AL22" s="5"/>
      <c r="AM22" s="5">
        <v>31989.999999999996</v>
      </c>
      <c r="AN22" s="5">
        <f t="shared" si="2"/>
        <v>6162.2743478260927</v>
      </c>
      <c r="AO22" s="5"/>
      <c r="AP22" s="5">
        <f t="shared" si="3"/>
        <v>31092.694915254244</v>
      </c>
      <c r="AQ22" s="20">
        <v>0</v>
      </c>
      <c r="AR22" s="20">
        <v>4804.4850847457674</v>
      </c>
      <c r="AT22" s="3">
        <v>0</v>
      </c>
      <c r="AV22" s="5">
        <f t="shared" si="9"/>
        <v>0</v>
      </c>
      <c r="AX22" s="38">
        <f t="shared" si="4"/>
        <v>0</v>
      </c>
      <c r="BA22" s="3">
        <v>0</v>
      </c>
      <c r="BB22" s="3">
        <v>-2</v>
      </c>
      <c r="BC22" s="3">
        <v>0</v>
      </c>
      <c r="BD22" s="3">
        <f t="shared" si="10"/>
        <v>-2</v>
      </c>
      <c r="BE22" s="3">
        <v>5</v>
      </c>
      <c r="BF22" s="3">
        <v>0</v>
      </c>
      <c r="BH22" s="3">
        <f t="shared" si="11"/>
        <v>-4</v>
      </c>
      <c r="BJ22" s="38">
        <f t="shared" si="5"/>
        <v>0</v>
      </c>
      <c r="BL22" s="3">
        <f t="shared" si="6"/>
        <v>36689.380000000005</v>
      </c>
    </row>
    <row r="23" spans="1:64" x14ac:dyDescent="0.35">
      <c r="A23" s="1" t="s">
        <v>151</v>
      </c>
      <c r="B23" s="1" t="str">
        <f t="shared" si="1"/>
        <v>Entry</v>
      </c>
      <c r="C23" s="1" t="s">
        <v>79</v>
      </c>
      <c r="D23" s="1" t="s">
        <v>145</v>
      </c>
      <c r="E23" s="1" t="s">
        <v>81</v>
      </c>
      <c r="F23" s="1" t="s">
        <v>146</v>
      </c>
      <c r="G23" s="1" t="s">
        <v>147</v>
      </c>
      <c r="H23" s="1" t="s">
        <v>148</v>
      </c>
      <c r="I23" s="1" t="s">
        <v>149</v>
      </c>
      <c r="J23" s="1" t="s">
        <v>150</v>
      </c>
      <c r="K23" s="1" t="s">
        <v>92</v>
      </c>
      <c r="L23" s="1" t="s">
        <v>70</v>
      </c>
      <c r="M23" s="1" t="s">
        <v>56</v>
      </c>
      <c r="N23" s="1" t="s">
        <v>57</v>
      </c>
      <c r="O23" s="1" t="s">
        <v>87</v>
      </c>
      <c r="P23" s="1" t="s">
        <v>88</v>
      </c>
      <c r="Q23" s="1" t="s">
        <v>89</v>
      </c>
      <c r="R23" s="1" t="s">
        <v>73</v>
      </c>
      <c r="S23" s="1">
        <v>725</v>
      </c>
      <c r="T23" s="2">
        <v>29786.4728</v>
      </c>
      <c r="U23" s="13">
        <v>31014.65306122449</v>
      </c>
      <c r="V23" s="13">
        <v>0</v>
      </c>
      <c r="W23" s="13">
        <v>0</v>
      </c>
      <c r="X23" s="13"/>
      <c r="Y23" s="2">
        <f t="shared" si="14"/>
        <v>38054.179130434779</v>
      </c>
      <c r="Z23" s="18">
        <f>AC23</f>
        <v>31990</v>
      </c>
      <c r="AA23" s="5" t="s">
        <v>90</v>
      </c>
      <c r="AB23" s="5"/>
      <c r="AC23" s="14">
        <v>31990</v>
      </c>
      <c r="AD23" s="5">
        <v>0</v>
      </c>
      <c r="AE23" s="5"/>
      <c r="AF23" s="5">
        <f t="shared" si="8"/>
        <v>0</v>
      </c>
      <c r="AG23" s="5"/>
      <c r="AH23" s="13">
        <v>0</v>
      </c>
      <c r="AI23" s="13">
        <v>4728.0040677966099</v>
      </c>
      <c r="AJ23" s="5"/>
      <c r="AL23" s="5"/>
      <c r="AM23" s="5">
        <v>31989.999999999996</v>
      </c>
      <c r="AN23" s="5">
        <f t="shared" si="2"/>
        <v>6064.1791304347826</v>
      </c>
      <c r="AO23" s="5"/>
      <c r="AP23" s="5">
        <f t="shared" si="3"/>
        <v>31014.65306122449</v>
      </c>
      <c r="AQ23" s="20">
        <v>0</v>
      </c>
      <c r="AR23" s="20">
        <v>4728.0040677966099</v>
      </c>
      <c r="AT23" s="3">
        <v>0</v>
      </c>
      <c r="AV23" s="5">
        <f t="shared" si="9"/>
        <v>0</v>
      </c>
      <c r="AX23" s="38">
        <f t="shared" si="4"/>
        <v>0</v>
      </c>
      <c r="BA23" s="3">
        <v>0</v>
      </c>
      <c r="BB23" s="3">
        <v>0</v>
      </c>
      <c r="BC23" s="3">
        <v>0</v>
      </c>
      <c r="BD23" s="3">
        <f t="shared" si="10"/>
        <v>0</v>
      </c>
      <c r="BE23" s="3">
        <v>0</v>
      </c>
      <c r="BF23" s="3">
        <v>0</v>
      </c>
      <c r="BH23" s="3">
        <f t="shared" si="11"/>
        <v>0</v>
      </c>
      <c r="BJ23" s="38">
        <f t="shared" si="5"/>
        <v>0</v>
      </c>
      <c r="BL23" s="3">
        <f t="shared" si="6"/>
        <v>36597.290612244899</v>
      </c>
    </row>
    <row r="24" spans="1:64" x14ac:dyDescent="0.35">
      <c r="A24" s="1" t="s">
        <v>152</v>
      </c>
      <c r="B24" s="1" t="str">
        <f t="shared" si="1"/>
        <v>Premium</v>
      </c>
      <c r="C24" s="1" t="s">
        <v>46</v>
      </c>
      <c r="D24" s="1" t="s">
        <v>153</v>
      </c>
      <c r="E24" s="1" t="s">
        <v>48</v>
      </c>
      <c r="F24" s="1" t="s">
        <v>97</v>
      </c>
      <c r="G24" s="1" t="s">
        <v>98</v>
      </c>
      <c r="H24" s="1" t="s">
        <v>67</v>
      </c>
      <c r="I24" s="1" t="s">
        <v>154</v>
      </c>
      <c r="J24" s="1" t="s">
        <v>155</v>
      </c>
      <c r="K24" s="1" t="s">
        <v>54</v>
      </c>
      <c r="L24" s="1" t="s">
        <v>70</v>
      </c>
      <c r="M24" s="1" t="s">
        <v>100</v>
      </c>
      <c r="N24" s="1" t="s">
        <v>101</v>
      </c>
      <c r="O24" s="1" t="s">
        <v>156</v>
      </c>
      <c r="P24" s="1" t="s">
        <v>157</v>
      </c>
      <c r="Q24" s="1" t="s">
        <v>104</v>
      </c>
      <c r="R24" s="1" t="s">
        <v>61</v>
      </c>
      <c r="S24" s="1">
        <v>725</v>
      </c>
      <c r="T24" s="2">
        <f>U24*0.98*0.965</f>
        <v>97312.994835593214</v>
      </c>
      <c r="U24" s="13">
        <v>102900.49152542373</v>
      </c>
      <c r="V24" s="13">
        <v>0</v>
      </c>
      <c r="W24" s="13">
        <v>7970.8393220339103</v>
      </c>
      <c r="X24" s="13"/>
      <c r="Y24" s="2">
        <f>(U24*0.88-S24-V24-W24-X24)*1.18/0.92</f>
        <v>104989.97826086955</v>
      </c>
      <c r="Z24" s="1">
        <v>104990</v>
      </c>
      <c r="AA24" s="5"/>
      <c r="AB24" s="5"/>
      <c r="AC24" s="14">
        <v>104990</v>
      </c>
      <c r="AD24" s="5">
        <f t="shared" si="7"/>
        <v>-1.6949152551745304E-2</v>
      </c>
      <c r="AE24" s="5"/>
      <c r="AF24" s="5">
        <f t="shared" si="8"/>
        <v>7970.8393220339103</v>
      </c>
      <c r="AG24" s="5"/>
      <c r="AH24" s="13">
        <v>0</v>
      </c>
      <c r="AI24" s="13">
        <f>5631.83932203391+2339</f>
        <v>7970.8393220339103</v>
      </c>
      <c r="AJ24" s="5"/>
      <c r="AL24" s="5"/>
      <c r="AM24" s="5">
        <v>104989.97826086955</v>
      </c>
      <c r="AN24" s="5">
        <f t="shared" si="2"/>
        <v>0</v>
      </c>
      <c r="AO24" s="5"/>
      <c r="AP24" s="5">
        <f t="shared" si="3"/>
        <v>102900.49152542373</v>
      </c>
      <c r="AQ24" s="20">
        <v>0</v>
      </c>
      <c r="AR24" s="20">
        <v>7970.8393220339103</v>
      </c>
      <c r="AT24" s="3">
        <v>30</v>
      </c>
      <c r="AV24" s="5">
        <f t="shared" si="9"/>
        <v>300</v>
      </c>
      <c r="AX24" s="38">
        <f t="shared" si="4"/>
        <v>2391251.7966101733</v>
      </c>
      <c r="BA24" s="3">
        <v>0</v>
      </c>
      <c r="BB24" s="3">
        <v>0</v>
      </c>
      <c r="BC24" s="3">
        <v>8</v>
      </c>
      <c r="BD24" s="3">
        <f t="shared" si="10"/>
        <v>8</v>
      </c>
      <c r="BE24" s="3">
        <v>738</v>
      </c>
      <c r="BF24" s="3">
        <v>0</v>
      </c>
      <c r="BH24" s="3">
        <f t="shared" si="11"/>
        <v>15</v>
      </c>
      <c r="BJ24" s="38">
        <f t="shared" si="5"/>
        <v>0</v>
      </c>
      <c r="BL24" s="3">
        <f t="shared" si="6"/>
        <v>121422.57999999999</v>
      </c>
    </row>
    <row r="25" spans="1:64" x14ac:dyDescent="0.35">
      <c r="A25" s="1" t="s">
        <v>158</v>
      </c>
      <c r="B25" s="1" t="str">
        <f t="shared" si="1"/>
        <v>Mainstream</v>
      </c>
      <c r="C25" s="1" t="s">
        <v>79</v>
      </c>
      <c r="D25" s="1" t="s">
        <v>121</v>
      </c>
      <c r="E25" s="1" t="s">
        <v>81</v>
      </c>
      <c r="F25" s="1" t="s">
        <v>82</v>
      </c>
      <c r="G25" s="1" t="s">
        <v>159</v>
      </c>
      <c r="H25" s="1" t="s">
        <v>123</v>
      </c>
      <c r="I25" s="1" t="s">
        <v>117</v>
      </c>
      <c r="J25" s="1" t="s">
        <v>160</v>
      </c>
      <c r="K25" s="1" t="s">
        <v>54</v>
      </c>
      <c r="L25" s="1" t="s">
        <v>70</v>
      </c>
      <c r="M25" s="1" t="s">
        <v>56</v>
      </c>
      <c r="N25" s="1" t="s">
        <v>57</v>
      </c>
      <c r="O25" s="1" t="s">
        <v>87</v>
      </c>
      <c r="P25" s="1" t="s">
        <v>161</v>
      </c>
      <c r="Q25" s="1" t="s">
        <v>89</v>
      </c>
      <c r="R25" s="1" t="s">
        <v>61</v>
      </c>
      <c r="S25" s="1">
        <v>725</v>
      </c>
      <c r="T25" s="2">
        <v>41770.637888021331</v>
      </c>
      <c r="U25" s="13">
        <v>44169.015425633217</v>
      </c>
      <c r="V25" s="13">
        <v>0</v>
      </c>
      <c r="W25" s="13">
        <v>5068</v>
      </c>
      <c r="X25" s="13"/>
      <c r="Y25" s="2">
        <f>(U25*0.89-S25-V25-W25-X25)*1.18/0.92</f>
        <v>42989.739130434784</v>
      </c>
      <c r="Z25" s="18">
        <f>AC25</f>
        <v>42990</v>
      </c>
      <c r="AA25" s="5" t="s">
        <v>90</v>
      </c>
      <c r="AB25" s="5"/>
      <c r="AC25" s="14">
        <v>42990</v>
      </c>
      <c r="AD25" s="5">
        <f t="shared" si="7"/>
        <v>-0.20338983050748805</v>
      </c>
      <c r="AE25" s="5"/>
      <c r="AF25" s="5">
        <f t="shared" si="8"/>
        <v>5068</v>
      </c>
      <c r="AG25" s="5"/>
      <c r="AH25" s="13">
        <v>0</v>
      </c>
      <c r="AI25" s="13">
        <v>5067.796610169491</v>
      </c>
      <c r="AJ25" s="5"/>
      <c r="AL25" s="5"/>
      <c r="AM25" s="5">
        <v>42990</v>
      </c>
      <c r="AN25" s="5">
        <f t="shared" si="2"/>
        <v>-0.26086956521612592</v>
      </c>
      <c r="AO25" s="5"/>
      <c r="AP25" s="5">
        <f t="shared" si="3"/>
        <v>44169.015425633217</v>
      </c>
      <c r="AQ25" s="20">
        <v>0</v>
      </c>
      <c r="AR25" s="20">
        <v>5067.796610169491</v>
      </c>
      <c r="AT25" s="3">
        <v>1</v>
      </c>
      <c r="AV25" s="5">
        <f t="shared" si="9"/>
        <v>10</v>
      </c>
      <c r="AX25" s="38">
        <f t="shared" si="4"/>
        <v>50680</v>
      </c>
      <c r="BA25" s="3">
        <v>0</v>
      </c>
      <c r="BB25" s="3">
        <v>0</v>
      </c>
      <c r="BC25" s="3">
        <v>0</v>
      </c>
      <c r="BD25" s="3">
        <f t="shared" si="10"/>
        <v>0</v>
      </c>
      <c r="BE25" s="3">
        <v>19</v>
      </c>
      <c r="BF25" s="3">
        <v>0</v>
      </c>
      <c r="BH25" s="3">
        <f t="shared" si="11"/>
        <v>0</v>
      </c>
      <c r="BJ25" s="38">
        <f t="shared" si="5"/>
        <v>0</v>
      </c>
      <c r="BL25" s="3">
        <f t="shared" si="6"/>
        <v>52119.438202247191</v>
      </c>
    </row>
    <row r="26" spans="1:64" x14ac:dyDescent="0.35">
      <c r="A26" s="1" t="s">
        <v>162</v>
      </c>
      <c r="B26" s="1" t="str">
        <f t="shared" si="1"/>
        <v>Mainstream</v>
      </c>
      <c r="C26" s="1" t="s">
        <v>79</v>
      </c>
      <c r="D26" s="1" t="s">
        <v>121</v>
      </c>
      <c r="E26" s="1" t="s">
        <v>81</v>
      </c>
      <c r="F26" s="1" t="s">
        <v>146</v>
      </c>
      <c r="G26" s="1" t="s">
        <v>163</v>
      </c>
      <c r="H26" s="1" t="s">
        <v>123</v>
      </c>
      <c r="I26" s="1" t="s">
        <v>117</v>
      </c>
      <c r="J26" s="1" t="s">
        <v>160</v>
      </c>
      <c r="K26" s="1" t="s">
        <v>54</v>
      </c>
      <c r="L26" s="1" t="s">
        <v>70</v>
      </c>
      <c r="M26" s="1" t="s">
        <v>100</v>
      </c>
      <c r="N26" s="1" t="s">
        <v>57</v>
      </c>
      <c r="O26" s="1" t="s">
        <v>87</v>
      </c>
      <c r="P26" s="1" t="s">
        <v>164</v>
      </c>
      <c r="Q26" s="1" t="s">
        <v>165</v>
      </c>
      <c r="R26" s="1" t="s">
        <v>73</v>
      </c>
      <c r="S26" s="1">
        <v>0</v>
      </c>
      <c r="T26" s="2">
        <v>36218</v>
      </c>
      <c r="U26" s="13">
        <v>37711.864406779663</v>
      </c>
      <c r="V26" s="13">
        <v>0</v>
      </c>
      <c r="W26" s="13">
        <v>4999.3220338983083</v>
      </c>
      <c r="X26" s="13"/>
      <c r="Y26" s="2">
        <f>(U26*0.98-S26-V26-W26-X26)*1.18/0.92</f>
        <v>40989.999999999993</v>
      </c>
      <c r="Z26" s="18">
        <f>AC26</f>
        <v>40990</v>
      </c>
      <c r="AA26" s="5" t="s">
        <v>90</v>
      </c>
      <c r="AB26" s="5"/>
      <c r="AC26" s="14">
        <v>40990</v>
      </c>
      <c r="AD26" s="5">
        <f t="shared" si="7"/>
        <v>-5.6727805127531806E-12</v>
      </c>
      <c r="AE26" s="5"/>
      <c r="AF26" s="5">
        <f t="shared" si="8"/>
        <v>4999.3220338983083</v>
      </c>
      <c r="AG26" s="5"/>
      <c r="AH26" s="13">
        <v>0</v>
      </c>
      <c r="AI26" s="13">
        <v>4999.3220338983083</v>
      </c>
      <c r="AJ26" s="5"/>
      <c r="AL26" s="5"/>
      <c r="AM26" s="5">
        <v>40989.999999999993</v>
      </c>
      <c r="AN26" s="5">
        <f t="shared" si="2"/>
        <v>0</v>
      </c>
      <c r="AO26" s="5"/>
      <c r="AP26" s="5">
        <f t="shared" si="3"/>
        <v>37711.864406779663</v>
      </c>
      <c r="AQ26" s="20">
        <v>0</v>
      </c>
      <c r="AR26" s="20">
        <v>4999.3220338983083</v>
      </c>
      <c r="AT26" s="3">
        <v>117</v>
      </c>
      <c r="AV26" s="5">
        <f t="shared" si="9"/>
        <v>1170</v>
      </c>
      <c r="AX26" s="38">
        <f t="shared" si="4"/>
        <v>5849206.7796610203</v>
      </c>
      <c r="BA26" s="3">
        <v>0</v>
      </c>
      <c r="BB26" s="3">
        <v>141</v>
      </c>
      <c r="BC26" s="3">
        <v>533</v>
      </c>
      <c r="BD26" s="3">
        <f t="shared" si="10"/>
        <v>674</v>
      </c>
      <c r="BE26" s="3">
        <v>5</v>
      </c>
      <c r="BF26" s="3">
        <v>0</v>
      </c>
      <c r="BH26" s="3">
        <f t="shared" si="11"/>
        <v>1247</v>
      </c>
      <c r="BJ26" s="38">
        <f t="shared" si="5"/>
        <v>0</v>
      </c>
      <c r="BL26" s="3">
        <f t="shared" si="6"/>
        <v>44500</v>
      </c>
    </row>
    <row r="27" spans="1:64" x14ac:dyDescent="0.35">
      <c r="A27" s="1" t="s">
        <v>166</v>
      </c>
      <c r="B27" s="1" t="str">
        <f t="shared" si="1"/>
        <v>Premium</v>
      </c>
      <c r="C27" s="1" t="s">
        <v>46</v>
      </c>
      <c r="D27" s="1" t="s">
        <v>80</v>
      </c>
      <c r="E27" s="1" t="s">
        <v>81</v>
      </c>
      <c r="F27" s="1" t="s">
        <v>115</v>
      </c>
      <c r="G27" s="1" t="s">
        <v>167</v>
      </c>
      <c r="H27" s="1" t="s">
        <v>84</v>
      </c>
      <c r="I27" s="1" t="s">
        <v>68</v>
      </c>
      <c r="J27" s="1" t="s">
        <v>168</v>
      </c>
      <c r="K27" s="1" t="s">
        <v>54</v>
      </c>
      <c r="L27" s="1" t="s">
        <v>70</v>
      </c>
      <c r="M27" s="1" t="s">
        <v>56</v>
      </c>
      <c r="N27" s="1" t="s">
        <v>57</v>
      </c>
      <c r="O27" s="1" t="s">
        <v>87</v>
      </c>
      <c r="P27" s="1" t="s">
        <v>119</v>
      </c>
      <c r="Q27" s="1" t="s">
        <v>72</v>
      </c>
      <c r="R27" s="1" t="s">
        <v>61</v>
      </c>
      <c r="S27" s="1">
        <v>1881</v>
      </c>
      <c r="T27" s="2">
        <f>U27*0.965*0.98</f>
        <v>58317.9055912943</v>
      </c>
      <c r="U27" s="13">
        <v>61666.390600924504</v>
      </c>
      <c r="V27" s="13">
        <v>0</v>
      </c>
      <c r="W27" s="13">
        <v>6393</v>
      </c>
      <c r="X27" s="13"/>
      <c r="Y27" s="2">
        <f>(U27*0.88-S27-V27-W27-X27)*1.18/0.92</f>
        <v>58990.282608695648</v>
      </c>
      <c r="Z27" s="18">
        <v>58990</v>
      </c>
      <c r="AA27" s="5"/>
      <c r="AB27" s="5"/>
      <c r="AC27" s="14">
        <v>58990</v>
      </c>
      <c r="AD27" s="5">
        <f t="shared" si="7"/>
        <v>0.22033898304788777</v>
      </c>
      <c r="AE27" s="5"/>
      <c r="AF27" s="5">
        <f t="shared" si="8"/>
        <v>6393</v>
      </c>
      <c r="AG27" s="5"/>
      <c r="AH27" s="13">
        <v>0</v>
      </c>
      <c r="AI27" s="13">
        <f>4054.23728813559+2339</f>
        <v>6393.2372881355896</v>
      </c>
      <c r="AJ27" s="5"/>
      <c r="AL27" s="5"/>
      <c r="AM27" s="5">
        <v>58989.978260869568</v>
      </c>
      <c r="AN27" s="5">
        <f t="shared" si="2"/>
        <v>0.3043478260806296</v>
      </c>
      <c r="AO27" s="5"/>
      <c r="AP27" s="5">
        <f t="shared" si="3"/>
        <v>61666.390600924504</v>
      </c>
      <c r="AQ27" s="20">
        <v>0</v>
      </c>
      <c r="AR27" s="20">
        <v>6393.2372881355896</v>
      </c>
      <c r="AT27" s="3">
        <v>6</v>
      </c>
      <c r="AV27" s="5">
        <f t="shared" si="9"/>
        <v>60</v>
      </c>
      <c r="AX27" s="38">
        <f t="shared" si="4"/>
        <v>383580</v>
      </c>
      <c r="BA27" s="3">
        <v>0</v>
      </c>
      <c r="BB27" s="3">
        <v>-1</v>
      </c>
      <c r="BC27" s="3">
        <v>-1</v>
      </c>
      <c r="BD27" s="3">
        <f t="shared" si="10"/>
        <v>-2</v>
      </c>
      <c r="BE27" s="3">
        <v>0</v>
      </c>
      <c r="BF27" s="3">
        <v>0</v>
      </c>
      <c r="BH27" s="3">
        <f t="shared" si="11"/>
        <v>-4</v>
      </c>
      <c r="BJ27" s="38">
        <f t="shared" si="5"/>
        <v>0</v>
      </c>
      <c r="BL27" s="3">
        <f t="shared" si="6"/>
        <v>72766.340909090912</v>
      </c>
    </row>
    <row r="28" spans="1:64" x14ac:dyDescent="0.35">
      <c r="A28" s="1" t="s">
        <v>169</v>
      </c>
      <c r="B28" s="1" t="str">
        <f t="shared" si="1"/>
        <v>Mainstream</v>
      </c>
      <c r="C28" s="1" t="s">
        <v>79</v>
      </c>
      <c r="D28" s="1" t="s">
        <v>121</v>
      </c>
      <c r="E28" s="1" t="s">
        <v>81</v>
      </c>
      <c r="F28" s="1" t="s">
        <v>146</v>
      </c>
      <c r="G28" s="1" t="s">
        <v>163</v>
      </c>
      <c r="H28" s="1" t="s">
        <v>123</v>
      </c>
      <c r="I28" s="1" t="s">
        <v>117</v>
      </c>
      <c r="J28" s="1" t="s">
        <v>160</v>
      </c>
      <c r="K28" s="1" t="s">
        <v>92</v>
      </c>
      <c r="L28" s="1" t="s">
        <v>70</v>
      </c>
      <c r="M28" s="1" t="s">
        <v>100</v>
      </c>
      <c r="N28" s="1" t="s">
        <v>57</v>
      </c>
      <c r="O28" s="1" t="s">
        <v>87</v>
      </c>
      <c r="P28" s="1" t="s">
        <v>164</v>
      </c>
      <c r="Q28" s="1" t="s">
        <v>165</v>
      </c>
      <c r="R28" s="1" t="s">
        <v>73</v>
      </c>
      <c r="S28" s="1">
        <v>0</v>
      </c>
      <c r="T28" s="2">
        <v>33870</v>
      </c>
      <c r="U28" s="13">
        <v>35266.949152542373</v>
      </c>
      <c r="V28" s="13">
        <v>0</v>
      </c>
      <c r="W28" s="13">
        <v>4942.2881355932223</v>
      </c>
      <c r="X28" s="13"/>
      <c r="Y28" s="2">
        <f>(U28*0.98-S28-V28-W28-X28)*1.18/0.92</f>
        <v>37989.999999999993</v>
      </c>
      <c r="Z28" s="18">
        <f>AC28</f>
        <v>37990</v>
      </c>
      <c r="AA28" s="5" t="s">
        <v>90</v>
      </c>
      <c r="AB28" s="5"/>
      <c r="AC28" s="14">
        <v>37990</v>
      </c>
      <c r="AD28" s="5">
        <f t="shared" si="7"/>
        <v>-5.6727805127531806E-12</v>
      </c>
      <c r="AE28" s="5"/>
      <c r="AF28" s="5">
        <f t="shared" si="8"/>
        <v>4942.2881355932223</v>
      </c>
      <c r="AG28" s="5"/>
      <c r="AH28" s="13">
        <v>0</v>
      </c>
      <c r="AI28" s="13">
        <v>4942.2881355932223</v>
      </c>
      <c r="AJ28" s="5"/>
      <c r="AL28" s="5"/>
      <c r="AM28" s="5">
        <v>37989.999999999993</v>
      </c>
      <c r="AN28" s="5">
        <f t="shared" si="2"/>
        <v>0</v>
      </c>
      <c r="AO28" s="5"/>
      <c r="AP28" s="5">
        <f t="shared" si="3"/>
        <v>35266.949152542373</v>
      </c>
      <c r="AQ28" s="20">
        <v>0</v>
      </c>
      <c r="AR28" s="20">
        <v>4942.2881355932223</v>
      </c>
      <c r="AT28" s="3">
        <v>142</v>
      </c>
      <c r="AV28" s="5">
        <f t="shared" si="9"/>
        <v>1420</v>
      </c>
      <c r="AX28" s="38">
        <f t="shared" si="4"/>
        <v>7018049.152542376</v>
      </c>
      <c r="BA28" s="3">
        <v>126</v>
      </c>
      <c r="BB28" s="3">
        <v>0</v>
      </c>
      <c r="BC28" s="3">
        <v>0</v>
      </c>
      <c r="BD28" s="3">
        <f t="shared" si="10"/>
        <v>126</v>
      </c>
      <c r="BE28" s="3">
        <v>113</v>
      </c>
      <c r="BF28" s="3">
        <v>1000</v>
      </c>
      <c r="BH28" s="3">
        <f t="shared" si="11"/>
        <v>234</v>
      </c>
      <c r="BJ28" s="38">
        <f t="shared" si="5"/>
        <v>0</v>
      </c>
      <c r="BL28" s="3">
        <f t="shared" si="6"/>
        <v>41615</v>
      </c>
    </row>
    <row r="29" spans="1:64" x14ac:dyDescent="0.35">
      <c r="A29" s="1" t="s">
        <v>170</v>
      </c>
      <c r="B29" s="1" t="str">
        <f t="shared" si="1"/>
        <v>Premium</v>
      </c>
      <c r="C29" s="1" t="s">
        <v>46</v>
      </c>
      <c r="D29" s="1" t="s">
        <v>171</v>
      </c>
      <c r="E29" s="1" t="s">
        <v>48</v>
      </c>
      <c r="F29" s="1" t="s">
        <v>97</v>
      </c>
      <c r="G29" s="1" t="s">
        <v>172</v>
      </c>
      <c r="H29" s="1" t="s">
        <v>51</v>
      </c>
      <c r="I29" s="1" t="s">
        <v>137</v>
      </c>
      <c r="J29" s="1" t="s">
        <v>173</v>
      </c>
      <c r="K29" s="1" t="s">
        <v>54</v>
      </c>
      <c r="L29" s="1" t="s">
        <v>70</v>
      </c>
      <c r="M29" s="1" t="s">
        <v>100</v>
      </c>
      <c r="N29" s="1" t="s">
        <v>57</v>
      </c>
      <c r="O29" s="1" t="s">
        <v>156</v>
      </c>
      <c r="P29" s="1" t="s">
        <v>103</v>
      </c>
      <c r="Q29" s="1" t="s">
        <v>174</v>
      </c>
      <c r="R29" s="1" t="s">
        <v>61</v>
      </c>
      <c r="S29" s="1">
        <v>725</v>
      </c>
      <c r="T29" s="2">
        <f>U29*0.98*0.965</f>
        <v>92258.845444915278</v>
      </c>
      <c r="U29" s="13">
        <v>97556.144067796631</v>
      </c>
      <c r="V29" s="13">
        <v>0</v>
      </c>
      <c r="W29" s="13">
        <v>5606.7796610169607</v>
      </c>
      <c r="X29" s="13">
        <v>3898.305084745763</v>
      </c>
      <c r="Y29" s="2">
        <f>(U29*0.88-S29-V29-W29-X29)*1.18/0.92</f>
        <v>96990</v>
      </c>
      <c r="Z29" s="1">
        <v>96990</v>
      </c>
      <c r="AA29" s="5"/>
      <c r="AB29" s="5"/>
      <c r="AC29" s="14">
        <v>96990</v>
      </c>
      <c r="AD29" s="5">
        <f t="shared" si="7"/>
        <v>0</v>
      </c>
      <c r="AE29" s="5"/>
      <c r="AF29" s="5">
        <f t="shared" si="8"/>
        <v>9505.0847457627242</v>
      </c>
      <c r="AG29" s="5"/>
      <c r="AH29" s="13">
        <v>0</v>
      </c>
      <c r="AI29" s="13">
        <v>5606.7796610169607</v>
      </c>
      <c r="AJ29" s="5"/>
      <c r="AL29" s="5"/>
      <c r="AM29" s="5">
        <v>101990</v>
      </c>
      <c r="AN29" s="5">
        <f t="shared" si="2"/>
        <v>-5000</v>
      </c>
      <c r="AO29" s="5"/>
      <c r="AP29" s="5">
        <f t="shared" si="3"/>
        <v>97556.144067796631</v>
      </c>
      <c r="AQ29" s="20">
        <v>0</v>
      </c>
      <c r="AR29" s="20">
        <v>5606.7796610169607</v>
      </c>
      <c r="AT29" s="3">
        <v>2</v>
      </c>
      <c r="AV29" s="5">
        <f t="shared" si="9"/>
        <v>20</v>
      </c>
      <c r="AX29" s="38">
        <f t="shared" si="4"/>
        <v>112135.59322033921</v>
      </c>
      <c r="BA29" s="3">
        <v>0</v>
      </c>
      <c r="BB29" s="3">
        <v>0</v>
      </c>
      <c r="BC29" s="3">
        <v>7</v>
      </c>
      <c r="BD29" s="3">
        <f t="shared" si="10"/>
        <v>7</v>
      </c>
      <c r="BE29" s="3">
        <v>368</v>
      </c>
      <c r="BF29" s="3">
        <v>0</v>
      </c>
      <c r="BH29" s="3">
        <f t="shared" si="11"/>
        <v>13</v>
      </c>
      <c r="BJ29" s="38">
        <f t="shared" si="5"/>
        <v>0</v>
      </c>
      <c r="BL29" s="3">
        <f t="shared" si="6"/>
        <v>115116.25000000001</v>
      </c>
    </row>
    <row r="30" spans="1:64" x14ac:dyDescent="0.35">
      <c r="A30" s="1" t="s">
        <v>175</v>
      </c>
      <c r="B30" s="1" t="str">
        <f t="shared" si="1"/>
        <v>Premium</v>
      </c>
      <c r="C30" s="1" t="s">
        <v>46</v>
      </c>
      <c r="D30" s="1" t="s">
        <v>171</v>
      </c>
      <c r="E30" s="1" t="s">
        <v>48</v>
      </c>
      <c r="F30" s="1" t="s">
        <v>97</v>
      </c>
      <c r="G30" s="1" t="s">
        <v>172</v>
      </c>
      <c r="H30" s="1" t="s">
        <v>51</v>
      </c>
      <c r="I30" s="1" t="s">
        <v>137</v>
      </c>
      <c r="J30" s="1" t="s">
        <v>176</v>
      </c>
      <c r="K30" s="1" t="s">
        <v>54</v>
      </c>
      <c r="L30" s="1" t="s">
        <v>70</v>
      </c>
      <c r="M30" s="1" t="s">
        <v>100</v>
      </c>
      <c r="N30" s="1" t="s">
        <v>101</v>
      </c>
      <c r="O30" s="1" t="s">
        <v>156</v>
      </c>
      <c r="P30" s="1" t="s">
        <v>177</v>
      </c>
      <c r="Q30" s="1" t="s">
        <v>104</v>
      </c>
      <c r="R30" s="1" t="s">
        <v>61</v>
      </c>
      <c r="S30" s="1">
        <v>725</v>
      </c>
      <c r="T30" s="2">
        <f>U30*0.98*0.965</f>
        <v>92963.255699999994</v>
      </c>
      <c r="U30" s="13">
        <v>98301</v>
      </c>
      <c r="V30" s="13">
        <v>0</v>
      </c>
      <c r="W30" s="13">
        <v>6262.2528813559329</v>
      </c>
      <c r="X30" s="13">
        <v>3898.305084745763</v>
      </c>
      <c r="Y30" s="2">
        <f>(U30*0.88-S30-V30-W30-X30)*1.18/0.92</f>
        <v>96990</v>
      </c>
      <c r="Z30" s="1">
        <v>96990</v>
      </c>
      <c r="AA30" s="5"/>
      <c r="AB30" s="5"/>
      <c r="AC30" s="14">
        <v>96990</v>
      </c>
      <c r="AD30" s="5">
        <f t="shared" si="7"/>
        <v>0</v>
      </c>
      <c r="AE30" s="5"/>
      <c r="AF30" s="5">
        <f t="shared" si="8"/>
        <v>10160.557966101696</v>
      </c>
      <c r="AG30" s="5"/>
      <c r="AH30" s="13">
        <v>0</v>
      </c>
      <c r="AI30" s="13">
        <v>6262.2528813559329</v>
      </c>
      <c r="AJ30" s="5"/>
      <c r="AL30" s="5"/>
      <c r="AM30" s="5">
        <v>101990</v>
      </c>
      <c r="AN30" s="5">
        <f t="shared" si="2"/>
        <v>-5000</v>
      </c>
      <c r="AO30" s="5"/>
      <c r="AP30" s="5">
        <f t="shared" si="3"/>
        <v>98301</v>
      </c>
      <c r="AQ30" s="20">
        <v>0</v>
      </c>
      <c r="AR30" s="20">
        <v>6262.2528813559329</v>
      </c>
      <c r="AT30" s="3">
        <v>0</v>
      </c>
      <c r="AV30" s="5">
        <f t="shared" si="9"/>
        <v>0</v>
      </c>
      <c r="AX30" s="38">
        <f t="shared" si="4"/>
        <v>0</v>
      </c>
      <c r="BA30" s="3">
        <v>0</v>
      </c>
      <c r="BB30" s="3">
        <v>0</v>
      </c>
      <c r="BC30" s="3">
        <v>0</v>
      </c>
      <c r="BD30" s="3">
        <f t="shared" si="10"/>
        <v>0</v>
      </c>
      <c r="BE30" s="3">
        <v>33</v>
      </c>
      <c r="BF30" s="3">
        <v>0</v>
      </c>
      <c r="BH30" s="3">
        <f t="shared" si="11"/>
        <v>0</v>
      </c>
      <c r="BJ30" s="38">
        <f t="shared" si="5"/>
        <v>0</v>
      </c>
      <c r="BL30" s="3">
        <f t="shared" si="6"/>
        <v>115995.18</v>
      </c>
    </row>
    <row r="31" spans="1:64" x14ac:dyDescent="0.35">
      <c r="A31" s="1" t="s">
        <v>178</v>
      </c>
      <c r="B31" s="1" t="str">
        <f t="shared" si="1"/>
        <v>Premium</v>
      </c>
      <c r="C31" s="1" t="s">
        <v>46</v>
      </c>
      <c r="D31" s="1" t="s">
        <v>47</v>
      </c>
      <c r="E31" s="1" t="s">
        <v>48</v>
      </c>
      <c r="F31" s="1" t="s">
        <v>49</v>
      </c>
      <c r="G31" s="1" t="s">
        <v>50</v>
      </c>
      <c r="H31" s="1" t="s">
        <v>51</v>
      </c>
      <c r="I31" s="1" t="s">
        <v>52</v>
      </c>
      <c r="J31" s="1" t="s">
        <v>53</v>
      </c>
      <c r="K31" s="1" t="s">
        <v>54</v>
      </c>
      <c r="L31" s="1" t="s">
        <v>55</v>
      </c>
      <c r="M31" s="1" t="s">
        <v>56</v>
      </c>
      <c r="N31" s="1" t="s">
        <v>57</v>
      </c>
      <c r="O31" s="1" t="s">
        <v>58</v>
      </c>
      <c r="P31" s="1" t="s">
        <v>179</v>
      </c>
      <c r="Q31" s="1" t="s">
        <v>60</v>
      </c>
      <c r="R31" s="7" t="s">
        <v>61</v>
      </c>
      <c r="S31" s="1">
        <v>2457</v>
      </c>
      <c r="T31" s="2">
        <f>U31*0.98*0.965</f>
        <v>87130.17809999999</v>
      </c>
      <c r="U31" s="32">
        <v>92133</v>
      </c>
      <c r="V31" s="13">
        <v>0</v>
      </c>
      <c r="W31" s="13">
        <v>661.73491525423015</v>
      </c>
      <c r="X31" s="13"/>
      <c r="Y31" s="2">
        <f>(U31*0.88-S31-V31-W31-X31)*1.18/0.92</f>
        <v>99990</v>
      </c>
      <c r="Z31" s="1">
        <v>99990</v>
      </c>
      <c r="AA31" s="5"/>
      <c r="AB31" s="5"/>
      <c r="AC31" s="14">
        <v>99990</v>
      </c>
      <c r="AD31" s="5">
        <f t="shared" si="7"/>
        <v>0</v>
      </c>
      <c r="AE31" s="5"/>
      <c r="AF31" s="5">
        <f t="shared" si="8"/>
        <v>661.73491525423015</v>
      </c>
      <c r="AG31" s="5"/>
      <c r="AH31" s="13">
        <v>0</v>
      </c>
      <c r="AI31" s="13">
        <v>661.73491525423015</v>
      </c>
      <c r="AJ31" s="5"/>
      <c r="AL31" s="5"/>
      <c r="AM31" s="5">
        <v>99990</v>
      </c>
      <c r="AN31" s="5">
        <f t="shared" si="2"/>
        <v>0</v>
      </c>
      <c r="AO31" s="5"/>
      <c r="AP31" s="5">
        <f t="shared" si="3"/>
        <v>92133</v>
      </c>
      <c r="AQ31" s="20">
        <v>0</v>
      </c>
      <c r="AR31" s="20">
        <v>661.73491525423015</v>
      </c>
      <c r="AT31" s="3">
        <v>0</v>
      </c>
      <c r="AV31" s="5">
        <f t="shared" si="9"/>
        <v>0</v>
      </c>
      <c r="AX31" s="38">
        <f t="shared" si="4"/>
        <v>0</v>
      </c>
      <c r="BA31" s="3">
        <v>0</v>
      </c>
      <c r="BB31" s="3">
        <v>0</v>
      </c>
      <c r="BC31" s="3">
        <v>0</v>
      </c>
      <c r="BD31" s="3">
        <f t="shared" si="10"/>
        <v>0</v>
      </c>
      <c r="BE31" s="3">
        <v>9</v>
      </c>
      <c r="BF31" s="3">
        <v>10</v>
      </c>
      <c r="BH31" s="3">
        <f t="shared" si="11"/>
        <v>0</v>
      </c>
      <c r="BJ31" s="38">
        <f t="shared" si="5"/>
        <v>0</v>
      </c>
      <c r="BL31" s="3">
        <f t="shared" si="6"/>
        <v>108716.93999999999</v>
      </c>
    </row>
    <row r="32" spans="1:64" x14ac:dyDescent="0.35">
      <c r="A32" s="1" t="s">
        <v>180</v>
      </c>
      <c r="B32" s="1" t="str">
        <f t="shared" si="1"/>
        <v>Premium</v>
      </c>
      <c r="C32" s="1" t="s">
        <v>46</v>
      </c>
      <c r="D32" s="1" t="s">
        <v>47</v>
      </c>
      <c r="E32" s="1" t="s">
        <v>48</v>
      </c>
      <c r="F32" s="1" t="s">
        <v>97</v>
      </c>
      <c r="G32" s="1" t="s">
        <v>172</v>
      </c>
      <c r="H32" s="1" t="s">
        <v>51</v>
      </c>
      <c r="I32" s="1" t="s">
        <v>181</v>
      </c>
      <c r="J32" s="1" t="s">
        <v>173</v>
      </c>
      <c r="K32" s="1" t="s">
        <v>54</v>
      </c>
      <c r="L32" s="1" t="s">
        <v>70</v>
      </c>
      <c r="M32" s="1" t="s">
        <v>100</v>
      </c>
      <c r="N32" s="1" t="s">
        <v>101</v>
      </c>
      <c r="O32" s="1" t="s">
        <v>182</v>
      </c>
      <c r="P32" s="1" t="s">
        <v>103</v>
      </c>
      <c r="Q32" s="1" t="s">
        <v>104</v>
      </c>
      <c r="R32" s="1" t="s">
        <v>61</v>
      </c>
      <c r="S32" s="1">
        <v>725</v>
      </c>
      <c r="T32" s="2">
        <f>U32*0.98*0.965</f>
        <v>84744.641835593211</v>
      </c>
      <c r="U32" s="13">
        <v>89610.491525423728</v>
      </c>
      <c r="V32" s="13">
        <v>0</v>
      </c>
      <c r="W32" s="13">
        <v>5631.5545762711845</v>
      </c>
      <c r="X32" s="13">
        <v>7016.9491525423618</v>
      </c>
      <c r="Y32" s="2">
        <f>(U32*0.88-S32-V32-W32-X32)*1.18/0.92</f>
        <v>83990</v>
      </c>
      <c r="Z32" s="1">
        <v>83990</v>
      </c>
      <c r="AA32" s="5"/>
      <c r="AB32" s="5"/>
      <c r="AC32" s="14">
        <v>83990</v>
      </c>
      <c r="AD32" s="5">
        <f t="shared" si="7"/>
        <v>0</v>
      </c>
      <c r="AE32" s="5"/>
      <c r="AF32" s="5">
        <f t="shared" si="8"/>
        <v>12648.503728813546</v>
      </c>
      <c r="AG32" s="5"/>
      <c r="AH32" s="13">
        <v>0</v>
      </c>
      <c r="AI32" s="13">
        <v>5631.5545762711845</v>
      </c>
      <c r="AJ32" s="5"/>
      <c r="AL32" s="5"/>
      <c r="AM32" s="5">
        <v>92989.999999999985</v>
      </c>
      <c r="AN32" s="5">
        <f t="shared" si="2"/>
        <v>-8999.9999999999854</v>
      </c>
      <c r="AO32" s="5"/>
      <c r="AP32" s="5">
        <f t="shared" si="3"/>
        <v>89610.491525423728</v>
      </c>
      <c r="AQ32" s="20">
        <v>0</v>
      </c>
      <c r="AR32" s="20">
        <v>5631.5545762711845</v>
      </c>
      <c r="AT32" s="3">
        <v>4</v>
      </c>
      <c r="AV32" s="5">
        <f t="shared" si="9"/>
        <v>40</v>
      </c>
      <c r="AX32" s="38">
        <f t="shared" si="4"/>
        <v>225262.18305084738</v>
      </c>
      <c r="BA32" s="3">
        <v>0</v>
      </c>
      <c r="BB32" s="3">
        <v>0</v>
      </c>
      <c r="BC32" s="3">
        <v>0</v>
      </c>
      <c r="BD32" s="3">
        <f t="shared" si="10"/>
        <v>0</v>
      </c>
      <c r="BE32" s="3">
        <v>1348</v>
      </c>
      <c r="BF32" s="3">
        <v>0</v>
      </c>
      <c r="BH32" s="3">
        <f t="shared" si="11"/>
        <v>0</v>
      </c>
      <c r="BJ32" s="38">
        <f t="shared" si="5"/>
        <v>0</v>
      </c>
      <c r="BL32" s="3">
        <f t="shared" si="6"/>
        <v>105740.37999999999</v>
      </c>
    </row>
    <row r="33" spans="1:64" x14ac:dyDescent="0.35">
      <c r="A33" s="1" t="s">
        <v>183</v>
      </c>
      <c r="B33" s="1" t="str">
        <f t="shared" si="1"/>
        <v>Premium</v>
      </c>
      <c r="C33" s="1" t="s">
        <v>46</v>
      </c>
      <c r="D33" s="1" t="s">
        <v>106</v>
      </c>
      <c r="E33" s="1" t="s">
        <v>48</v>
      </c>
      <c r="F33" s="1" t="s">
        <v>65</v>
      </c>
      <c r="G33" s="1" t="s">
        <v>76</v>
      </c>
      <c r="H33" s="1" t="s">
        <v>51</v>
      </c>
      <c r="I33" s="1" t="s">
        <v>52</v>
      </c>
      <c r="J33" s="1" t="s">
        <v>53</v>
      </c>
      <c r="K33" s="1" t="s">
        <v>92</v>
      </c>
      <c r="L33" s="1" t="s">
        <v>70</v>
      </c>
      <c r="M33" s="1" t="s">
        <v>56</v>
      </c>
      <c r="N33" s="1" t="s">
        <v>57</v>
      </c>
      <c r="O33" s="1" t="s">
        <v>110</v>
      </c>
      <c r="P33" s="1" t="s">
        <v>129</v>
      </c>
      <c r="Q33" s="1" t="s">
        <v>72</v>
      </c>
      <c r="R33" s="1" t="s">
        <v>73</v>
      </c>
      <c r="S33" s="1">
        <v>725</v>
      </c>
      <c r="T33" s="2">
        <f>U33*0.98*0.98</f>
        <v>56693.519566101691</v>
      </c>
      <c r="U33" s="13">
        <v>59031.153234175028</v>
      </c>
      <c r="V33" s="13">
        <v>4054</v>
      </c>
      <c r="W33" s="13">
        <v>2401.3606779660986</v>
      </c>
      <c r="X33" s="13"/>
      <c r="Y33" s="2">
        <f>(U33*0.98-S33-V33-W33-X33)*1.18/0.92</f>
        <v>64990</v>
      </c>
      <c r="Z33" s="1">
        <v>64990</v>
      </c>
      <c r="AA33" s="5"/>
      <c r="AB33" s="5"/>
      <c r="AC33" s="14">
        <v>64990</v>
      </c>
      <c r="AD33" s="5">
        <f t="shared" si="7"/>
        <v>0</v>
      </c>
      <c r="AE33" s="5"/>
      <c r="AF33" s="5">
        <f t="shared" si="8"/>
        <v>2401.3606779660986</v>
      </c>
      <c r="AG33" s="5"/>
      <c r="AH33" s="13">
        <v>4054</v>
      </c>
      <c r="AI33" s="13">
        <v>2401.3606779660986</v>
      </c>
      <c r="AJ33" s="5"/>
      <c r="AL33" s="5"/>
      <c r="AM33" s="5">
        <v>64990</v>
      </c>
      <c r="AN33" s="5">
        <f t="shared" si="2"/>
        <v>0</v>
      </c>
      <c r="AO33" s="5"/>
      <c r="AP33" s="5">
        <f t="shared" si="3"/>
        <v>59031.153234175028</v>
      </c>
      <c r="AQ33" s="20">
        <v>4054</v>
      </c>
      <c r="AR33" s="20">
        <v>2401.3606779660986</v>
      </c>
      <c r="AT33" s="3">
        <v>0</v>
      </c>
      <c r="AV33" s="5">
        <f t="shared" si="9"/>
        <v>0</v>
      </c>
      <c r="AX33" s="38">
        <f t="shared" si="4"/>
        <v>0</v>
      </c>
      <c r="BA33" s="3">
        <v>-2</v>
      </c>
      <c r="BB33" s="3">
        <v>0</v>
      </c>
      <c r="BC33" s="3">
        <v>0</v>
      </c>
      <c r="BD33" s="3">
        <f t="shared" si="10"/>
        <v>-2</v>
      </c>
      <c r="BE33" s="3">
        <v>0</v>
      </c>
      <c r="BF33" s="3">
        <v>0</v>
      </c>
      <c r="BH33" s="3">
        <f t="shared" si="11"/>
        <v>-4</v>
      </c>
      <c r="BJ33" s="38">
        <f t="shared" si="5"/>
        <v>-16216</v>
      </c>
      <c r="BL33" s="3">
        <f t="shared" si="6"/>
        <v>69656.760816326525</v>
      </c>
    </row>
    <row r="34" spans="1:64" x14ac:dyDescent="0.35">
      <c r="A34" s="1" t="s">
        <v>184</v>
      </c>
      <c r="B34" s="1" t="str">
        <f t="shared" si="1"/>
        <v>Premium</v>
      </c>
      <c r="C34" s="1" t="s">
        <v>46</v>
      </c>
      <c r="D34" s="1" t="s">
        <v>64</v>
      </c>
      <c r="E34" s="1" t="s">
        <v>48</v>
      </c>
      <c r="F34" s="1" t="s">
        <v>97</v>
      </c>
      <c r="G34" s="1" t="s">
        <v>98</v>
      </c>
      <c r="H34" s="1" t="s">
        <v>67</v>
      </c>
      <c r="I34" s="1" t="s">
        <v>154</v>
      </c>
      <c r="J34" s="1" t="s">
        <v>155</v>
      </c>
      <c r="K34" s="1" t="s">
        <v>54</v>
      </c>
      <c r="L34" s="1" t="s">
        <v>70</v>
      </c>
      <c r="M34" s="1" t="s">
        <v>100</v>
      </c>
      <c r="N34" s="1" t="s">
        <v>101</v>
      </c>
      <c r="O34" s="1" t="s">
        <v>182</v>
      </c>
      <c r="P34" s="1" t="s">
        <v>157</v>
      </c>
      <c r="Q34" s="1" t="s">
        <v>104</v>
      </c>
      <c r="R34" s="1" t="s">
        <v>61</v>
      </c>
      <c r="S34" s="1">
        <v>725</v>
      </c>
      <c r="T34" s="2">
        <f>U34*0.98*0.965</f>
        <v>84744.641835593211</v>
      </c>
      <c r="U34" s="13">
        <v>89610.491525423728</v>
      </c>
      <c r="V34" s="13">
        <v>0</v>
      </c>
      <c r="W34" s="13">
        <v>0</v>
      </c>
      <c r="X34" s="13"/>
      <c r="Y34" s="2">
        <f>(U34*0.88-S34-V34-W34-X34)*1.18/0.92</f>
        <v>100213.08086956521</v>
      </c>
      <c r="Z34" s="1">
        <v>100190</v>
      </c>
      <c r="AA34" s="5"/>
      <c r="AB34" s="5"/>
      <c r="AC34" s="14">
        <v>100190</v>
      </c>
      <c r="AD34" s="5">
        <v>0</v>
      </c>
      <c r="AE34" s="5"/>
      <c r="AF34" s="5">
        <f t="shared" si="8"/>
        <v>0</v>
      </c>
      <c r="AG34" s="5"/>
      <c r="AH34" s="13">
        <v>0</v>
      </c>
      <c r="AI34" s="13"/>
      <c r="AJ34" s="5"/>
      <c r="AL34" s="5"/>
      <c r="AM34" s="5">
        <v>100213.08086956521</v>
      </c>
      <c r="AN34" s="5">
        <f t="shared" si="2"/>
        <v>0</v>
      </c>
      <c r="AO34" s="5"/>
      <c r="AP34" s="5">
        <f t="shared" si="3"/>
        <v>89610.491525423728</v>
      </c>
      <c r="AQ34" s="20">
        <v>0</v>
      </c>
      <c r="AR34" s="20"/>
      <c r="AT34" s="3">
        <v>1</v>
      </c>
      <c r="AV34" s="5">
        <f t="shared" si="9"/>
        <v>10</v>
      </c>
      <c r="AX34" s="38">
        <f t="shared" si="4"/>
        <v>0</v>
      </c>
      <c r="BA34" s="3">
        <v>0</v>
      </c>
      <c r="BB34" s="3">
        <v>0</v>
      </c>
      <c r="BC34" s="3">
        <v>0</v>
      </c>
      <c r="BD34" s="3">
        <f t="shared" si="10"/>
        <v>0</v>
      </c>
      <c r="BE34" s="3">
        <v>27</v>
      </c>
      <c r="BF34" s="3">
        <v>0</v>
      </c>
      <c r="BH34" s="3">
        <f t="shared" si="11"/>
        <v>0</v>
      </c>
      <c r="BJ34" s="38">
        <f t="shared" si="5"/>
        <v>0</v>
      </c>
      <c r="BL34" s="3">
        <f t="shared" si="6"/>
        <v>105740.37999999999</v>
      </c>
    </row>
    <row r="35" spans="1:64" x14ac:dyDescent="0.35">
      <c r="A35" s="1" t="s">
        <v>185</v>
      </c>
      <c r="B35" s="1" t="str">
        <f t="shared" si="1"/>
        <v>Premium</v>
      </c>
      <c r="C35" s="1" t="s">
        <v>46</v>
      </c>
      <c r="D35" s="1" t="s">
        <v>186</v>
      </c>
      <c r="E35" s="1" t="s">
        <v>48</v>
      </c>
      <c r="F35" s="1" t="s">
        <v>97</v>
      </c>
      <c r="G35" s="1" t="s">
        <v>98</v>
      </c>
      <c r="H35" s="1" t="s">
        <v>84</v>
      </c>
      <c r="I35" s="1" t="s">
        <v>68</v>
      </c>
      <c r="J35" s="1" t="s">
        <v>99</v>
      </c>
      <c r="K35" s="1" t="s">
        <v>54</v>
      </c>
      <c r="L35" s="1" t="s">
        <v>70</v>
      </c>
      <c r="M35" s="1" t="s">
        <v>100</v>
      </c>
      <c r="N35" s="1" t="s">
        <v>101</v>
      </c>
      <c r="O35" s="1" t="s">
        <v>156</v>
      </c>
      <c r="P35" s="1" t="s">
        <v>157</v>
      </c>
      <c r="Q35" s="1" t="s">
        <v>104</v>
      </c>
      <c r="R35" s="1" t="s">
        <v>61</v>
      </c>
      <c r="S35" s="1">
        <v>725</v>
      </c>
      <c r="T35" s="2">
        <f>U35*0.98*0.965</f>
        <v>83068.861435593208</v>
      </c>
      <c r="U35" s="13">
        <v>87838.491525423728</v>
      </c>
      <c r="V35" s="13">
        <v>0</v>
      </c>
      <c r="W35" s="13">
        <v>5631.5166101694776</v>
      </c>
      <c r="X35" s="13">
        <v>6237.2881355932213</v>
      </c>
      <c r="Y35" s="2">
        <f>(U35*0.88-S35-V35-W35-X35)*1.18/0.92</f>
        <v>82990</v>
      </c>
      <c r="Z35" s="1">
        <v>82990</v>
      </c>
      <c r="AA35" s="5"/>
      <c r="AB35" s="5"/>
      <c r="AC35" s="14">
        <v>82990</v>
      </c>
      <c r="AD35" s="5">
        <f t="shared" si="7"/>
        <v>0</v>
      </c>
      <c r="AE35" s="5"/>
      <c r="AF35" s="5">
        <f t="shared" si="8"/>
        <v>11868.8047457627</v>
      </c>
      <c r="AG35" s="5"/>
      <c r="AH35" s="13">
        <v>0</v>
      </c>
      <c r="AI35" s="13">
        <v>5631.5166101694776</v>
      </c>
      <c r="AJ35" s="5"/>
      <c r="AL35" s="5"/>
      <c r="AM35" s="5">
        <v>90990</v>
      </c>
      <c r="AN35" s="5">
        <f t="shared" si="2"/>
        <v>-8000</v>
      </c>
      <c r="AO35" s="5"/>
      <c r="AP35" s="5">
        <f t="shared" si="3"/>
        <v>87838.491525423728</v>
      </c>
      <c r="AQ35" s="20">
        <v>0</v>
      </c>
      <c r="AR35" s="20">
        <v>5631.5166101694776</v>
      </c>
      <c r="AT35" s="3">
        <v>7</v>
      </c>
      <c r="AV35" s="5">
        <f t="shared" si="9"/>
        <v>70</v>
      </c>
      <c r="AX35" s="38">
        <f t="shared" si="4"/>
        <v>394206.16271186341</v>
      </c>
      <c r="BA35" s="3">
        <v>0</v>
      </c>
      <c r="BB35" s="3">
        <v>0</v>
      </c>
      <c r="BC35" s="3">
        <v>13</v>
      </c>
      <c r="BD35" s="3">
        <f t="shared" si="10"/>
        <v>13</v>
      </c>
      <c r="BE35" s="3">
        <v>952</v>
      </c>
      <c r="BF35" s="3">
        <v>0</v>
      </c>
      <c r="BH35" s="3">
        <f t="shared" si="11"/>
        <v>25</v>
      </c>
      <c r="BJ35" s="38">
        <f t="shared" si="5"/>
        <v>0</v>
      </c>
      <c r="BL35" s="3">
        <f t="shared" si="6"/>
        <v>103649.42</v>
      </c>
    </row>
    <row r="36" spans="1:64" x14ac:dyDescent="0.35">
      <c r="A36" s="1" t="s">
        <v>187</v>
      </c>
      <c r="B36" s="1" t="str">
        <f t="shared" si="1"/>
        <v>Premium</v>
      </c>
      <c r="C36" s="1" t="s">
        <v>46</v>
      </c>
      <c r="D36" s="1" t="s">
        <v>106</v>
      </c>
      <c r="E36" s="1" t="s">
        <v>48</v>
      </c>
      <c r="F36" s="1" t="s">
        <v>65</v>
      </c>
      <c r="G36" s="1" t="s">
        <v>76</v>
      </c>
      <c r="H36" s="1" t="s">
        <v>51</v>
      </c>
      <c r="I36" s="1" t="s">
        <v>52</v>
      </c>
      <c r="J36" s="1" t="s">
        <v>53</v>
      </c>
      <c r="K36" s="1" t="s">
        <v>92</v>
      </c>
      <c r="L36" s="1" t="s">
        <v>70</v>
      </c>
      <c r="M36" s="1" t="s">
        <v>56</v>
      </c>
      <c r="N36" s="1" t="s">
        <v>57</v>
      </c>
      <c r="O36" s="1" t="s">
        <v>110</v>
      </c>
      <c r="P36" s="1" t="s">
        <v>129</v>
      </c>
      <c r="Q36" s="1" t="s">
        <v>72</v>
      </c>
      <c r="R36" s="7" t="s">
        <v>73</v>
      </c>
      <c r="S36" s="1">
        <v>725</v>
      </c>
      <c r="T36" s="2">
        <f>U36*0.98*0.98</f>
        <v>56693.519566101691</v>
      </c>
      <c r="U36" s="13">
        <v>59031.153234175028</v>
      </c>
      <c r="V36" s="13">
        <v>4054</v>
      </c>
      <c r="W36" s="13">
        <v>2401.3606779660986</v>
      </c>
      <c r="X36" s="13"/>
      <c r="Y36" s="2">
        <f>(U36*0.98-S36-V36-W36-X36)*1.18/0.92</f>
        <v>64990</v>
      </c>
      <c r="Z36" s="1">
        <v>64990</v>
      </c>
      <c r="AA36" s="5"/>
      <c r="AB36" s="5"/>
      <c r="AC36" s="14">
        <v>64990</v>
      </c>
      <c r="AD36" s="5">
        <f t="shared" si="7"/>
        <v>0</v>
      </c>
      <c r="AE36" s="5"/>
      <c r="AF36" s="5">
        <f t="shared" si="8"/>
        <v>2401.3606779660986</v>
      </c>
      <c r="AG36" s="5"/>
      <c r="AH36" s="13">
        <v>4054</v>
      </c>
      <c r="AI36" s="13">
        <v>2401.3606779660986</v>
      </c>
      <c r="AJ36" s="5"/>
      <c r="AL36" s="5"/>
      <c r="AM36" s="5">
        <v>64990</v>
      </c>
      <c r="AN36" s="5">
        <f t="shared" si="2"/>
        <v>0</v>
      </c>
      <c r="AO36" s="5"/>
      <c r="AP36" s="5">
        <f t="shared" si="3"/>
        <v>59031.153234175028</v>
      </c>
      <c r="AQ36" s="20">
        <v>4054</v>
      </c>
      <c r="AR36" s="20">
        <v>2401.3606779660986</v>
      </c>
      <c r="AT36" s="3">
        <v>0</v>
      </c>
      <c r="AV36" s="5">
        <f t="shared" si="9"/>
        <v>0</v>
      </c>
      <c r="AX36" s="38">
        <f t="shared" si="4"/>
        <v>0</v>
      </c>
      <c r="BA36" s="3">
        <v>0</v>
      </c>
      <c r="BB36" s="3">
        <v>0</v>
      </c>
      <c r="BC36" s="3">
        <v>0</v>
      </c>
      <c r="BD36" s="3">
        <f t="shared" si="10"/>
        <v>0</v>
      </c>
      <c r="BE36" s="3">
        <v>3</v>
      </c>
      <c r="BF36" s="3">
        <v>0</v>
      </c>
      <c r="BH36" s="3">
        <f t="shared" si="11"/>
        <v>0</v>
      </c>
      <c r="BJ36" s="38">
        <f t="shared" si="5"/>
        <v>0</v>
      </c>
      <c r="BL36" s="3">
        <f t="shared" si="6"/>
        <v>69656.760816326525</v>
      </c>
    </row>
    <row r="37" spans="1:64" x14ac:dyDescent="0.35">
      <c r="A37" s="1" t="s">
        <v>188</v>
      </c>
      <c r="B37" s="1" t="str">
        <f t="shared" si="1"/>
        <v>Premium</v>
      </c>
      <c r="C37" s="1" t="s">
        <v>46</v>
      </c>
      <c r="D37" s="1" t="s">
        <v>47</v>
      </c>
      <c r="E37" s="1" t="s">
        <v>48</v>
      </c>
      <c r="F37" s="1" t="s">
        <v>49</v>
      </c>
      <c r="G37" s="1" t="s">
        <v>50</v>
      </c>
      <c r="H37" s="1" t="s">
        <v>51</v>
      </c>
      <c r="I37" s="1" t="s">
        <v>52</v>
      </c>
      <c r="J37" s="1" t="s">
        <v>189</v>
      </c>
      <c r="K37" s="1" t="s">
        <v>54</v>
      </c>
      <c r="L37" s="1" t="s">
        <v>55</v>
      </c>
      <c r="M37" s="1" t="s">
        <v>100</v>
      </c>
      <c r="N37" s="1" t="s">
        <v>57</v>
      </c>
      <c r="O37" s="1" t="s">
        <v>58</v>
      </c>
      <c r="P37" s="1" t="s">
        <v>179</v>
      </c>
      <c r="Q37" s="1" t="s">
        <v>174</v>
      </c>
      <c r="R37" s="1" t="s">
        <v>73</v>
      </c>
      <c r="S37" s="1">
        <v>0</v>
      </c>
      <c r="T37" s="2">
        <f>U37*0.98*0.98</f>
        <v>76484.628203389831</v>
      </c>
      <c r="U37" s="13">
        <v>79638.305084745763</v>
      </c>
      <c r="V37" s="13">
        <v>0</v>
      </c>
      <c r="W37" s="13">
        <v>0</v>
      </c>
      <c r="X37" s="13"/>
      <c r="Y37" s="2">
        <f>(U37*0.98-S37-V37-W37-X37)*1.18/0.92</f>
        <v>100101.88695652175</v>
      </c>
      <c r="Z37" s="1">
        <v>99990</v>
      </c>
      <c r="AA37" s="5"/>
      <c r="AB37" s="5"/>
      <c r="AC37" s="14">
        <v>99990</v>
      </c>
      <c r="AD37" s="5">
        <v>0</v>
      </c>
      <c r="AE37" s="5"/>
      <c r="AF37" s="5">
        <f t="shared" si="8"/>
        <v>0</v>
      </c>
      <c r="AG37" s="5"/>
      <c r="AH37" s="13">
        <v>0</v>
      </c>
      <c r="AI37" s="13">
        <v>0</v>
      </c>
      <c r="AJ37" s="5"/>
      <c r="AL37" s="5"/>
      <c r="AM37" s="5">
        <v>100101.88695652175</v>
      </c>
      <c r="AN37" s="5">
        <f t="shared" si="2"/>
        <v>0</v>
      </c>
      <c r="AO37" s="5"/>
      <c r="AP37" s="5">
        <f t="shared" si="3"/>
        <v>79638.305084745763</v>
      </c>
      <c r="AQ37" s="20">
        <v>0</v>
      </c>
      <c r="AR37" s="20">
        <v>0</v>
      </c>
      <c r="AT37" s="3">
        <v>1</v>
      </c>
      <c r="AV37" s="5">
        <f t="shared" si="9"/>
        <v>10</v>
      </c>
      <c r="AX37" s="38">
        <f t="shared" si="4"/>
        <v>0</v>
      </c>
      <c r="BA37" s="3">
        <v>0</v>
      </c>
      <c r="BB37" s="3">
        <v>0</v>
      </c>
      <c r="BC37" s="3">
        <v>0</v>
      </c>
      <c r="BD37" s="3">
        <f t="shared" si="10"/>
        <v>0</v>
      </c>
      <c r="BE37" s="3">
        <v>185</v>
      </c>
      <c r="BF37" s="3">
        <v>0</v>
      </c>
      <c r="BH37" s="3">
        <f t="shared" si="11"/>
        <v>0</v>
      </c>
      <c r="BJ37" s="38">
        <f t="shared" si="5"/>
        <v>0</v>
      </c>
      <c r="BL37" s="3">
        <f t="shared" si="6"/>
        <v>93973.2</v>
      </c>
    </row>
    <row r="38" spans="1:64" x14ac:dyDescent="0.35">
      <c r="A38" s="1" t="s">
        <v>190</v>
      </c>
      <c r="B38" s="1" t="str">
        <f t="shared" si="1"/>
        <v>Premium</v>
      </c>
      <c r="C38" s="1" t="s">
        <v>46</v>
      </c>
      <c r="D38" s="1" t="s">
        <v>191</v>
      </c>
      <c r="E38" s="1" t="s">
        <v>48</v>
      </c>
      <c r="F38" s="1" t="s">
        <v>97</v>
      </c>
      <c r="G38" s="1" t="s">
        <v>98</v>
      </c>
      <c r="H38" s="1" t="s">
        <v>84</v>
      </c>
      <c r="I38" s="1" t="s">
        <v>68</v>
      </c>
      <c r="J38" s="1" t="s">
        <v>99</v>
      </c>
      <c r="K38" s="1" t="s">
        <v>54</v>
      </c>
      <c r="L38" s="1" t="s">
        <v>70</v>
      </c>
      <c r="M38" s="1" t="s">
        <v>100</v>
      </c>
      <c r="N38" s="1" t="s">
        <v>101</v>
      </c>
      <c r="O38" s="1" t="s">
        <v>182</v>
      </c>
      <c r="P38" s="1" t="s">
        <v>103</v>
      </c>
      <c r="Q38" s="1" t="s">
        <v>104</v>
      </c>
      <c r="R38" s="1" t="s">
        <v>61</v>
      </c>
      <c r="S38" s="1">
        <v>725</v>
      </c>
      <c r="T38" s="2">
        <f>U38*0.98*0.965</f>
        <v>77622.575135593215</v>
      </c>
      <c r="U38" s="13">
        <v>82079.491525423728</v>
      </c>
      <c r="V38" s="13">
        <v>4461.9016949152428</v>
      </c>
      <c r="W38" s="13">
        <v>0</v>
      </c>
      <c r="X38" s="13">
        <v>7016.9491525423728</v>
      </c>
      <c r="Y38" s="2">
        <f>(U38*0.88-S38-V38-W38-X38)*1.18/0.92</f>
        <v>76990</v>
      </c>
      <c r="Z38" s="1">
        <v>76990</v>
      </c>
      <c r="AA38" s="5"/>
      <c r="AB38" s="5"/>
      <c r="AC38" s="14">
        <v>76990</v>
      </c>
      <c r="AD38" s="5">
        <f t="shared" si="7"/>
        <v>0</v>
      </c>
      <c r="AE38" s="5"/>
      <c r="AF38" s="5">
        <f t="shared" si="8"/>
        <v>7016.9491525423728</v>
      </c>
      <c r="AG38" s="5"/>
      <c r="AH38" s="13">
        <v>4461.9016949152428</v>
      </c>
      <c r="AI38" s="13">
        <v>0</v>
      </c>
      <c r="AJ38" s="5"/>
      <c r="AL38" s="5"/>
      <c r="AM38" s="5">
        <v>85990</v>
      </c>
      <c r="AN38" s="5">
        <f t="shared" si="2"/>
        <v>-9000</v>
      </c>
      <c r="AO38" s="5"/>
      <c r="AP38" s="5">
        <f t="shared" si="3"/>
        <v>82079.491525423728</v>
      </c>
      <c r="AQ38" s="20">
        <v>4461.9016949152428</v>
      </c>
      <c r="AR38" s="20">
        <v>0</v>
      </c>
      <c r="AT38" s="3">
        <v>0</v>
      </c>
      <c r="AV38" s="5">
        <f t="shared" si="9"/>
        <v>0</v>
      </c>
      <c r="AX38" s="38">
        <f t="shared" si="4"/>
        <v>0</v>
      </c>
      <c r="BA38" s="3">
        <v>0</v>
      </c>
      <c r="BB38" s="3">
        <v>0</v>
      </c>
      <c r="BC38" s="3">
        <v>0</v>
      </c>
      <c r="BD38" s="3">
        <f t="shared" si="10"/>
        <v>0</v>
      </c>
      <c r="BE38" s="3">
        <v>774</v>
      </c>
      <c r="BF38" s="3">
        <v>0</v>
      </c>
      <c r="BH38" s="3">
        <f t="shared" si="11"/>
        <v>0</v>
      </c>
      <c r="BJ38" s="38">
        <f t="shared" si="5"/>
        <v>0</v>
      </c>
      <c r="BL38" s="3">
        <f t="shared" si="6"/>
        <v>96853.799999999988</v>
      </c>
    </row>
    <row r="39" spans="1:64" x14ac:dyDescent="0.35">
      <c r="A39" s="1" t="s">
        <v>192</v>
      </c>
      <c r="B39" s="1" t="str">
        <f t="shared" si="1"/>
        <v>Premium</v>
      </c>
      <c r="C39" s="1" t="s">
        <v>46</v>
      </c>
      <c r="D39" s="1" t="s">
        <v>47</v>
      </c>
      <c r="E39" s="1" t="s">
        <v>48</v>
      </c>
      <c r="F39" s="1" t="s">
        <v>193</v>
      </c>
      <c r="G39" s="1" t="s">
        <v>194</v>
      </c>
      <c r="H39" s="1" t="s">
        <v>51</v>
      </c>
      <c r="I39" s="1" t="s">
        <v>52</v>
      </c>
      <c r="J39" s="1" t="s">
        <v>53</v>
      </c>
      <c r="K39" s="1" t="s">
        <v>54</v>
      </c>
      <c r="L39" s="1" t="s">
        <v>55</v>
      </c>
      <c r="M39" s="1" t="s">
        <v>56</v>
      </c>
      <c r="N39" s="1" t="s">
        <v>57</v>
      </c>
      <c r="O39" s="1" t="s">
        <v>58</v>
      </c>
      <c r="P39" s="1" t="s">
        <v>195</v>
      </c>
      <c r="Q39" s="1" t="s">
        <v>196</v>
      </c>
      <c r="R39" s="7" t="s">
        <v>61</v>
      </c>
      <c r="S39" s="1">
        <v>2457</v>
      </c>
      <c r="T39" s="2">
        <f>U39*0.98*0.965</f>
        <v>117803.76525423728</v>
      </c>
      <c r="U39" s="13">
        <v>124567.79661016949</v>
      </c>
      <c r="V39" s="13">
        <v>17796.238207065544</v>
      </c>
      <c r="W39" s="13">
        <v>7509.812640392076</v>
      </c>
      <c r="X39" s="13"/>
      <c r="Y39" s="2">
        <f>(U39*0.88-S39-V39-W39-X39)*1.18/0.92</f>
        <v>104990</v>
      </c>
      <c r="Z39" s="1">
        <v>104990</v>
      </c>
      <c r="AA39" s="5"/>
      <c r="AB39" s="5"/>
      <c r="AC39" s="14">
        <v>104990</v>
      </c>
      <c r="AD39" s="5">
        <f t="shared" si="7"/>
        <v>0</v>
      </c>
      <c r="AE39" s="5"/>
      <c r="AF39" s="5">
        <f t="shared" si="8"/>
        <v>7509.812640392076</v>
      </c>
      <c r="AG39" s="5"/>
      <c r="AH39" s="13">
        <v>17796.238207065544</v>
      </c>
      <c r="AI39" s="13">
        <v>7509.812640392076</v>
      </c>
      <c r="AJ39" s="5"/>
      <c r="AL39" s="5"/>
      <c r="AM39" s="5">
        <v>104990</v>
      </c>
      <c r="AN39" s="5">
        <f t="shared" si="2"/>
        <v>0</v>
      </c>
      <c r="AO39" s="5"/>
      <c r="AP39" s="5">
        <f t="shared" si="3"/>
        <v>124567.79661016949</v>
      </c>
      <c r="AQ39" s="20">
        <v>17796.238207065544</v>
      </c>
      <c r="AR39" s="20">
        <v>7509.812640392076</v>
      </c>
      <c r="AT39" s="3">
        <v>23</v>
      </c>
      <c r="AV39" s="5">
        <f t="shared" si="9"/>
        <v>230</v>
      </c>
      <c r="AX39" s="38">
        <f t="shared" si="4"/>
        <v>1727256.9072901774</v>
      </c>
      <c r="BA39" s="3">
        <v>0</v>
      </c>
      <c r="BB39" s="3">
        <v>0</v>
      </c>
      <c r="BC39" s="3">
        <v>12</v>
      </c>
      <c r="BD39" s="3">
        <f t="shared" si="10"/>
        <v>12</v>
      </c>
      <c r="BE39" s="3">
        <v>94</v>
      </c>
      <c r="BF39" s="3">
        <v>13</v>
      </c>
      <c r="BH39" s="3">
        <f t="shared" si="11"/>
        <v>23</v>
      </c>
      <c r="BJ39" s="38">
        <f t="shared" si="5"/>
        <v>409313.4787625075</v>
      </c>
      <c r="BL39" s="3">
        <f t="shared" si="6"/>
        <v>146990</v>
      </c>
    </row>
    <row r="40" spans="1:64" x14ac:dyDescent="0.35">
      <c r="A40" s="1" t="s">
        <v>197</v>
      </c>
      <c r="B40" s="1" t="str">
        <f t="shared" si="1"/>
        <v>Premium</v>
      </c>
      <c r="C40" s="1" t="s">
        <v>46</v>
      </c>
      <c r="D40" s="1" t="s">
        <v>47</v>
      </c>
      <c r="E40" s="1" t="s">
        <v>48</v>
      </c>
      <c r="F40" s="1" t="s">
        <v>193</v>
      </c>
      <c r="G40" s="1" t="s">
        <v>194</v>
      </c>
      <c r="H40" s="1" t="s">
        <v>51</v>
      </c>
      <c r="I40" s="1" t="s">
        <v>52</v>
      </c>
      <c r="J40" s="1" t="s">
        <v>53</v>
      </c>
      <c r="K40" s="1" t="s">
        <v>54</v>
      </c>
      <c r="L40" s="1" t="s">
        <v>55</v>
      </c>
      <c r="M40" s="1" t="s">
        <v>56</v>
      </c>
      <c r="N40" s="1" t="s">
        <v>57</v>
      </c>
      <c r="O40" s="1" t="s">
        <v>58</v>
      </c>
      <c r="P40" s="1" t="s">
        <v>195</v>
      </c>
      <c r="Q40" s="1" t="s">
        <v>196</v>
      </c>
      <c r="R40" s="7" t="s">
        <v>61</v>
      </c>
      <c r="S40" s="1">
        <v>2457</v>
      </c>
      <c r="T40" s="2">
        <f>U40*0.98*0.965</f>
        <v>117803.76525423728</v>
      </c>
      <c r="U40" s="13">
        <v>124567.79661016949</v>
      </c>
      <c r="V40" s="13">
        <v>17796.238207065544</v>
      </c>
      <c r="W40" s="13">
        <v>7509.812640392076</v>
      </c>
      <c r="X40" s="13"/>
      <c r="Y40" s="2">
        <f>(U40*0.88-S40-V40-W40-X40)*1.18/0.92</f>
        <v>104990</v>
      </c>
      <c r="Z40" s="1">
        <v>104990</v>
      </c>
      <c r="AA40" s="5"/>
      <c r="AB40" s="5"/>
      <c r="AC40" s="14">
        <v>104990</v>
      </c>
      <c r="AD40" s="5">
        <f t="shared" si="7"/>
        <v>0</v>
      </c>
      <c r="AE40" s="5"/>
      <c r="AF40" s="5">
        <f t="shared" si="8"/>
        <v>7509.812640392076</v>
      </c>
      <c r="AG40" s="5"/>
      <c r="AH40" s="13">
        <v>17796.238207065544</v>
      </c>
      <c r="AI40" s="13">
        <v>7509.812640392076</v>
      </c>
      <c r="AJ40" s="5"/>
      <c r="AL40" s="5"/>
      <c r="AM40" s="5">
        <v>104990</v>
      </c>
      <c r="AN40" s="5">
        <f t="shared" si="2"/>
        <v>0</v>
      </c>
      <c r="AO40" s="5"/>
      <c r="AP40" s="5">
        <f t="shared" si="3"/>
        <v>124567.79661016949</v>
      </c>
      <c r="AQ40" s="20">
        <v>17796.238207065544</v>
      </c>
      <c r="AR40" s="20">
        <v>7509.812640392076</v>
      </c>
      <c r="AT40" s="3">
        <v>21</v>
      </c>
      <c r="AV40" s="5">
        <f t="shared" si="9"/>
        <v>210</v>
      </c>
      <c r="AX40" s="38">
        <f t="shared" si="4"/>
        <v>1577060.654482336</v>
      </c>
      <c r="BA40" s="3">
        <v>0</v>
      </c>
      <c r="BB40" s="3">
        <v>0</v>
      </c>
      <c r="BC40" s="3">
        <v>0</v>
      </c>
      <c r="BD40" s="3">
        <f t="shared" si="10"/>
        <v>0</v>
      </c>
      <c r="BE40" s="3">
        <v>0</v>
      </c>
      <c r="BF40" s="3">
        <v>0</v>
      </c>
      <c r="BH40" s="3">
        <f t="shared" si="11"/>
        <v>0</v>
      </c>
      <c r="BJ40" s="38">
        <f t="shared" si="5"/>
        <v>0</v>
      </c>
      <c r="BL40" s="3">
        <f t="shared" si="6"/>
        <v>146990</v>
      </c>
    </row>
    <row r="41" spans="1:64" x14ac:dyDescent="0.35">
      <c r="A41" s="1" t="s">
        <v>198</v>
      </c>
      <c r="B41" s="1" t="str">
        <f t="shared" si="1"/>
        <v>Premium</v>
      </c>
      <c r="C41" s="1" t="s">
        <v>46</v>
      </c>
      <c r="D41" s="1" t="s">
        <v>114</v>
      </c>
      <c r="E41" s="1" t="s">
        <v>81</v>
      </c>
      <c r="F41" s="1" t="s">
        <v>115</v>
      </c>
      <c r="G41" s="1" t="s">
        <v>122</v>
      </c>
      <c r="H41" s="1" t="s">
        <v>51</v>
      </c>
      <c r="I41" s="1" t="s">
        <v>124</v>
      </c>
      <c r="J41" s="1" t="s">
        <v>199</v>
      </c>
      <c r="K41" s="24" t="s">
        <v>54</v>
      </c>
      <c r="L41" s="1" t="s">
        <v>70</v>
      </c>
      <c r="M41" s="1" t="s">
        <v>100</v>
      </c>
      <c r="N41" s="1" t="s">
        <v>200</v>
      </c>
      <c r="O41" s="1" t="s">
        <v>87</v>
      </c>
      <c r="P41" s="1" t="s">
        <v>126</v>
      </c>
      <c r="Q41" s="1" t="s">
        <v>127</v>
      </c>
      <c r="R41" s="1" t="s">
        <v>61</v>
      </c>
      <c r="S41" s="1">
        <v>0</v>
      </c>
      <c r="T41" s="2">
        <f>U41*0.965*0.98</f>
        <v>53775.868050847457</v>
      </c>
      <c r="U41" s="13">
        <v>56863.5593220339</v>
      </c>
      <c r="V41" s="13">
        <v>0</v>
      </c>
      <c r="W41" s="13">
        <v>2332</v>
      </c>
      <c r="X41" s="13"/>
      <c r="Y41" s="2">
        <f>(U41*0.88-S41-V41-W41-X41)*1.18/0.92</f>
        <v>61190.608695652169</v>
      </c>
      <c r="Z41" s="2">
        <v>61190</v>
      </c>
      <c r="AA41" s="5"/>
      <c r="AB41" s="5"/>
      <c r="AC41" s="14">
        <v>61190</v>
      </c>
      <c r="AD41" s="5">
        <f t="shared" si="7"/>
        <v>0.47457627118224782</v>
      </c>
      <c r="AE41" s="5"/>
      <c r="AF41" s="5">
        <f t="shared" si="8"/>
        <v>2332</v>
      </c>
      <c r="AG41" s="5"/>
      <c r="AH41" s="13">
        <v>0</v>
      </c>
      <c r="AI41" s="13">
        <v>2332.47457627119</v>
      </c>
      <c r="AJ41" s="5"/>
      <c r="AL41" s="5"/>
      <c r="AM41" s="5">
        <v>61189.999999999993</v>
      </c>
      <c r="AN41" s="5">
        <f t="shared" si="2"/>
        <v>0.60869565217581112</v>
      </c>
      <c r="AO41" s="5"/>
      <c r="AP41" s="5">
        <f t="shared" si="3"/>
        <v>56863.5593220339</v>
      </c>
      <c r="AQ41" s="20">
        <v>0</v>
      </c>
      <c r="AR41" s="20">
        <v>2332.47457627119</v>
      </c>
      <c r="AT41" s="3">
        <v>13</v>
      </c>
      <c r="AV41" s="5">
        <f t="shared" si="9"/>
        <v>130</v>
      </c>
      <c r="AX41" s="38">
        <f t="shared" si="4"/>
        <v>303160</v>
      </c>
      <c r="BA41" s="3">
        <v>125</v>
      </c>
      <c r="BB41" s="3">
        <v>8</v>
      </c>
      <c r="BC41" s="3">
        <v>43</v>
      </c>
      <c r="BD41" s="3">
        <f t="shared" si="10"/>
        <v>176</v>
      </c>
      <c r="BE41" s="3">
        <v>116</v>
      </c>
      <c r="BF41" s="3">
        <v>0</v>
      </c>
      <c r="BH41" s="3">
        <f t="shared" si="11"/>
        <v>326</v>
      </c>
      <c r="BJ41" s="38">
        <f t="shared" si="5"/>
        <v>0</v>
      </c>
      <c r="BL41" s="3">
        <f t="shared" si="6"/>
        <v>67099</v>
      </c>
    </row>
    <row r="42" spans="1:64" x14ac:dyDescent="0.35">
      <c r="A42" s="1" t="s">
        <v>201</v>
      </c>
      <c r="B42" s="1" t="str">
        <f t="shared" si="1"/>
        <v>Premium</v>
      </c>
      <c r="C42" s="1" t="s">
        <v>46</v>
      </c>
      <c r="D42" s="1" t="s">
        <v>121</v>
      </c>
      <c r="E42" s="1" t="s">
        <v>81</v>
      </c>
      <c r="F42" s="1" t="s">
        <v>115</v>
      </c>
      <c r="G42" s="1" t="s">
        <v>122</v>
      </c>
      <c r="H42" s="1" t="s">
        <v>123</v>
      </c>
      <c r="I42" s="1" t="s">
        <v>124</v>
      </c>
      <c r="J42" s="1" t="s">
        <v>125</v>
      </c>
      <c r="K42" s="1" t="s">
        <v>54</v>
      </c>
      <c r="L42" s="1" t="s">
        <v>55</v>
      </c>
      <c r="M42" s="1" t="s">
        <v>100</v>
      </c>
      <c r="N42" s="1" t="s">
        <v>57</v>
      </c>
      <c r="O42" s="1" t="s">
        <v>87</v>
      </c>
      <c r="P42" s="1" t="s">
        <v>202</v>
      </c>
      <c r="Q42" s="1" t="s">
        <v>127</v>
      </c>
      <c r="R42" s="1" t="s">
        <v>61</v>
      </c>
      <c r="S42" s="1">
        <v>0</v>
      </c>
      <c r="T42" s="2">
        <f>U42*0.965*0.98</f>
        <v>53782.8624422188</v>
      </c>
      <c r="U42" s="13">
        <v>56870.955315870575</v>
      </c>
      <c r="V42" s="13">
        <v>0</v>
      </c>
      <c r="W42" s="13">
        <v>2339</v>
      </c>
      <c r="X42" s="13"/>
      <c r="Y42" s="2">
        <f>(U42*0.88-S42-V42-W42-X42)*1.18/0.92</f>
        <v>61189.978260869568</v>
      </c>
      <c r="Z42" s="1">
        <v>61190</v>
      </c>
      <c r="AA42" s="5"/>
      <c r="AB42" s="5"/>
      <c r="AC42" s="14">
        <v>61190</v>
      </c>
      <c r="AD42" s="5">
        <f t="shared" si="7"/>
        <v>-1.6949152540399741E-2</v>
      </c>
      <c r="AE42" s="5"/>
      <c r="AF42" s="5">
        <f t="shared" si="8"/>
        <v>2339</v>
      </c>
      <c r="AG42" s="5"/>
      <c r="AH42" s="13">
        <v>0</v>
      </c>
      <c r="AI42" s="13">
        <v>2338.9830508474624</v>
      </c>
      <c r="AJ42" s="5"/>
      <c r="AL42" s="5"/>
      <c r="AM42" s="5">
        <v>61189.999999999993</v>
      </c>
      <c r="AN42" s="5">
        <f t="shared" si="2"/>
        <v>-2.1739130424975883E-2</v>
      </c>
      <c r="AO42" s="5"/>
      <c r="AP42" s="5">
        <f t="shared" si="3"/>
        <v>56870.955315870575</v>
      </c>
      <c r="AQ42" s="20">
        <v>0</v>
      </c>
      <c r="AR42" s="20">
        <v>2338.9830508474624</v>
      </c>
      <c r="AT42" s="3">
        <v>2</v>
      </c>
      <c r="AV42" s="5">
        <f t="shared" si="9"/>
        <v>20</v>
      </c>
      <c r="AX42" s="38">
        <f t="shared" si="4"/>
        <v>46780</v>
      </c>
      <c r="BA42" s="3">
        <v>6</v>
      </c>
      <c r="BB42" s="3">
        <v>10</v>
      </c>
      <c r="BC42" s="3">
        <v>22</v>
      </c>
      <c r="BD42" s="3">
        <f t="shared" si="10"/>
        <v>38</v>
      </c>
      <c r="BE42" s="3">
        <v>142</v>
      </c>
      <c r="BF42" s="3">
        <v>0</v>
      </c>
      <c r="BH42" s="3">
        <f t="shared" si="11"/>
        <v>71</v>
      </c>
      <c r="BJ42" s="38">
        <f t="shared" si="5"/>
        <v>0</v>
      </c>
      <c r="BL42" s="3">
        <f t="shared" si="6"/>
        <v>67107.727272727279</v>
      </c>
    </row>
    <row r="43" spans="1:64" x14ac:dyDescent="0.35">
      <c r="A43" s="1" t="s">
        <v>203</v>
      </c>
      <c r="B43" s="1" t="str">
        <f t="shared" si="1"/>
        <v>Mainstream</v>
      </c>
      <c r="C43" s="1" t="s">
        <v>46</v>
      </c>
      <c r="D43" s="1" t="s">
        <v>80</v>
      </c>
      <c r="E43" s="1" t="s">
        <v>81</v>
      </c>
      <c r="F43" s="1" t="s">
        <v>115</v>
      </c>
      <c r="G43" s="1" t="s">
        <v>204</v>
      </c>
      <c r="H43" s="1" t="s">
        <v>84</v>
      </c>
      <c r="I43" s="1" t="s">
        <v>68</v>
      </c>
      <c r="J43" s="1" t="s">
        <v>99</v>
      </c>
      <c r="K43" s="24" t="s">
        <v>54</v>
      </c>
      <c r="L43" s="1" t="s">
        <v>70</v>
      </c>
      <c r="M43" s="1" t="s">
        <v>100</v>
      </c>
      <c r="N43" s="1" t="s">
        <v>200</v>
      </c>
      <c r="O43" s="1" t="s">
        <v>87</v>
      </c>
      <c r="P43" s="1" t="s">
        <v>205</v>
      </c>
      <c r="Q43" s="1" t="s">
        <v>127</v>
      </c>
      <c r="R43" s="1" t="s">
        <v>73</v>
      </c>
      <c r="S43" s="1">
        <v>0</v>
      </c>
      <c r="T43" s="2">
        <f>U43*0.98*0.98</f>
        <v>49656.5216</v>
      </c>
      <c r="U43" s="13">
        <v>51704</v>
      </c>
      <c r="V43" s="13">
        <v>1559.0725423728884</v>
      </c>
      <c r="W43" s="13"/>
      <c r="X43" s="13"/>
      <c r="Y43" s="2">
        <f>(U43*0.98-S43-V43-W43-X43)*1.18/0.92</f>
        <v>62989.999999999985</v>
      </c>
      <c r="Z43" s="2">
        <v>62990</v>
      </c>
      <c r="AA43" s="5"/>
      <c r="AB43" s="5"/>
      <c r="AC43" s="14">
        <v>62990</v>
      </c>
      <c r="AD43" s="5">
        <f t="shared" si="7"/>
        <v>-1.1345561025506361E-11</v>
      </c>
      <c r="AE43" s="5"/>
      <c r="AF43" s="5">
        <f t="shared" si="8"/>
        <v>0</v>
      </c>
      <c r="AG43" s="5"/>
      <c r="AH43" s="13">
        <v>1559.0725423728884</v>
      </c>
      <c r="AI43" s="13"/>
      <c r="AJ43" s="5"/>
      <c r="AL43" s="5"/>
      <c r="AM43" s="5">
        <v>60202.550434782606</v>
      </c>
      <c r="AN43" s="5">
        <f t="shared" si="2"/>
        <v>2787.4495652173791</v>
      </c>
      <c r="AO43" s="5"/>
      <c r="AP43" s="5">
        <f t="shared" si="3"/>
        <v>51704</v>
      </c>
      <c r="AQ43" s="20">
        <v>0</v>
      </c>
      <c r="AR43" s="20"/>
      <c r="AT43" s="3">
        <v>16</v>
      </c>
      <c r="AV43" s="5">
        <f t="shared" si="9"/>
        <v>160</v>
      </c>
      <c r="AX43" s="38">
        <f t="shared" si="4"/>
        <v>0</v>
      </c>
      <c r="BA43" s="3">
        <v>0</v>
      </c>
      <c r="BB43" s="3">
        <v>98</v>
      </c>
      <c r="BC43" s="3">
        <v>385</v>
      </c>
      <c r="BD43" s="3">
        <f t="shared" si="10"/>
        <v>483</v>
      </c>
      <c r="BE43" s="3">
        <v>224</v>
      </c>
      <c r="BF43" s="3">
        <v>0</v>
      </c>
      <c r="BH43" s="3">
        <f t="shared" si="11"/>
        <v>894</v>
      </c>
      <c r="BJ43" s="38">
        <f t="shared" si="5"/>
        <v>1393810.8528813622</v>
      </c>
      <c r="BL43" s="3">
        <f t="shared" si="6"/>
        <v>61010.719999999994</v>
      </c>
    </row>
    <row r="44" spans="1:64" x14ac:dyDescent="0.35">
      <c r="A44" s="4" t="s">
        <v>206</v>
      </c>
      <c r="B44" s="1" t="str">
        <f t="shared" si="1"/>
        <v>Mainstream</v>
      </c>
      <c r="C44" s="1" t="s">
        <v>46</v>
      </c>
      <c r="D44" s="1" t="s">
        <v>135</v>
      </c>
      <c r="E44" s="1" t="s">
        <v>48</v>
      </c>
      <c r="F44" s="1" t="s">
        <v>65</v>
      </c>
      <c r="G44" s="1" t="s">
        <v>76</v>
      </c>
      <c r="H44" s="1" t="s">
        <v>123</v>
      </c>
      <c r="I44" s="1" t="s">
        <v>52</v>
      </c>
      <c r="J44" s="1" t="s">
        <v>207</v>
      </c>
      <c r="K44" s="1" t="s">
        <v>54</v>
      </c>
      <c r="L44" s="1" t="s">
        <v>70</v>
      </c>
      <c r="M44" s="1" t="s">
        <v>100</v>
      </c>
      <c r="N44" s="1" t="s">
        <v>139</v>
      </c>
      <c r="O44" s="1" t="s">
        <v>102</v>
      </c>
      <c r="P44" s="1" t="s">
        <v>208</v>
      </c>
      <c r="Q44" s="1" t="s">
        <v>104</v>
      </c>
      <c r="R44" s="1" t="s">
        <v>73</v>
      </c>
      <c r="S44" s="1">
        <v>0</v>
      </c>
      <c r="T44" s="2">
        <f>U44*0.98*0.98</f>
        <v>47527.34237288135</v>
      </c>
      <c r="U44" s="13">
        <v>49487.028709789003</v>
      </c>
      <c r="V44" s="13">
        <v>0</v>
      </c>
      <c r="W44" s="13">
        <v>0</v>
      </c>
      <c r="X44" s="13">
        <v>10301.694915254235</v>
      </c>
      <c r="Y44" s="2">
        <f>(U44*0.98-S44-V44-W44-X44)*1.18/0.92</f>
        <v>48989.999999999993</v>
      </c>
      <c r="Z44" s="1">
        <v>48990</v>
      </c>
      <c r="AA44" s="5"/>
      <c r="AB44" s="5"/>
      <c r="AC44" s="14">
        <v>48990</v>
      </c>
      <c r="AD44" s="5">
        <f t="shared" si="7"/>
        <v>-5.6727805127531806E-12</v>
      </c>
      <c r="AE44" s="5"/>
      <c r="AF44" s="5">
        <f t="shared" si="8"/>
        <v>10301.694915254235</v>
      </c>
      <c r="AG44" s="5"/>
      <c r="AH44" s="13">
        <v>0</v>
      </c>
      <c r="AI44" s="28">
        <v>8742.3728813559501</v>
      </c>
      <c r="AJ44" s="5"/>
      <c r="AL44" s="5"/>
      <c r="AM44" s="5">
        <v>50989.999999999971</v>
      </c>
      <c r="AN44" s="5">
        <f t="shared" si="2"/>
        <v>-1999.9999999999782</v>
      </c>
      <c r="AO44" s="5"/>
      <c r="AP44" s="5">
        <f t="shared" si="3"/>
        <v>49487.028709789003</v>
      </c>
      <c r="AQ44" s="20">
        <v>0</v>
      </c>
      <c r="AR44" s="20">
        <v>8742.3728813559501</v>
      </c>
      <c r="AT44" s="3">
        <v>16</v>
      </c>
      <c r="AV44" s="5">
        <f t="shared" si="9"/>
        <v>160</v>
      </c>
      <c r="AX44" s="38">
        <f t="shared" si="4"/>
        <v>0</v>
      </c>
      <c r="BA44" s="3">
        <v>57</v>
      </c>
      <c r="BB44" s="3">
        <v>0</v>
      </c>
      <c r="BC44" s="3">
        <v>100</v>
      </c>
      <c r="BD44" s="3">
        <f t="shared" si="10"/>
        <v>157</v>
      </c>
      <c r="BE44" s="3">
        <v>0</v>
      </c>
      <c r="BF44" s="3">
        <v>0</v>
      </c>
      <c r="BH44" s="3">
        <f t="shared" si="11"/>
        <v>291</v>
      </c>
      <c r="BJ44" s="38">
        <f t="shared" si="5"/>
        <v>0</v>
      </c>
      <c r="BL44" s="3">
        <f t="shared" si="6"/>
        <v>58394.693877551021</v>
      </c>
    </row>
    <row r="45" spans="1:64" x14ac:dyDescent="0.35">
      <c r="A45" s="1" t="s">
        <v>209</v>
      </c>
      <c r="B45" s="1" t="str">
        <f t="shared" si="1"/>
        <v>Mainstream</v>
      </c>
      <c r="C45" s="1" t="s">
        <v>79</v>
      </c>
      <c r="D45" s="1" t="s">
        <v>210</v>
      </c>
      <c r="E45" s="1" t="s">
        <v>81</v>
      </c>
      <c r="F45" s="1" t="s">
        <v>82</v>
      </c>
      <c r="G45" s="1" t="s">
        <v>211</v>
      </c>
      <c r="H45" s="1" t="s">
        <v>212</v>
      </c>
      <c r="I45" s="1" t="s">
        <v>68</v>
      </c>
      <c r="J45" s="1" t="s">
        <v>213</v>
      </c>
      <c r="K45" s="1" t="s">
        <v>92</v>
      </c>
      <c r="L45" s="1" t="s">
        <v>70</v>
      </c>
      <c r="M45" s="1" t="s">
        <v>100</v>
      </c>
      <c r="N45" s="1" t="s">
        <v>57</v>
      </c>
      <c r="O45" s="1" t="s">
        <v>87</v>
      </c>
      <c r="P45" s="1" t="s">
        <v>126</v>
      </c>
      <c r="Q45" s="1" t="s">
        <v>89</v>
      </c>
      <c r="R45" s="1" t="s">
        <v>61</v>
      </c>
      <c r="S45" s="1">
        <v>0</v>
      </c>
      <c r="T45" s="2">
        <v>35615.303332698531</v>
      </c>
      <c r="U45" s="13">
        <v>37660.255189487718</v>
      </c>
      <c r="V45" s="13">
        <v>0</v>
      </c>
      <c r="W45" s="13">
        <v>5458</v>
      </c>
      <c r="X45" s="13"/>
      <c r="Y45" s="2">
        <f>(U45*0.89-S45-V45-W45-X45)*1.18/0.92</f>
        <v>35989.521739130432</v>
      </c>
      <c r="Z45" s="18">
        <f>AC45</f>
        <v>39490</v>
      </c>
      <c r="AA45" s="5" t="s">
        <v>90</v>
      </c>
      <c r="AB45" s="5"/>
      <c r="AC45" s="14">
        <v>39490</v>
      </c>
      <c r="AD45" s="5">
        <v>0</v>
      </c>
      <c r="AE45" s="5"/>
      <c r="AF45" s="5">
        <f t="shared" si="8"/>
        <v>5458</v>
      </c>
      <c r="AG45" s="5"/>
      <c r="AH45" s="13">
        <v>0</v>
      </c>
      <c r="AI45" s="13">
        <v>5458</v>
      </c>
      <c r="AJ45" s="5"/>
      <c r="AL45" s="5"/>
      <c r="AM45" s="5">
        <v>35989.521739130432</v>
      </c>
      <c r="AN45" s="5">
        <f t="shared" si="2"/>
        <v>0</v>
      </c>
      <c r="AO45" s="5"/>
      <c r="AP45" s="5">
        <f t="shared" si="3"/>
        <v>37660.255189487718</v>
      </c>
      <c r="AQ45" s="20">
        <v>0</v>
      </c>
      <c r="AR45" s="20">
        <v>3898.3050847457671</v>
      </c>
      <c r="AT45" s="3">
        <v>1</v>
      </c>
      <c r="AV45" s="5">
        <f t="shared" si="9"/>
        <v>10</v>
      </c>
      <c r="AX45" s="38">
        <f t="shared" si="4"/>
        <v>54580</v>
      </c>
      <c r="BA45" s="3">
        <v>-1</v>
      </c>
      <c r="BB45" s="3">
        <v>0</v>
      </c>
      <c r="BC45" s="3">
        <v>0</v>
      </c>
      <c r="BD45" s="3">
        <f t="shared" si="10"/>
        <v>-1</v>
      </c>
      <c r="BE45" s="3">
        <v>1</v>
      </c>
      <c r="BF45" s="3">
        <v>0</v>
      </c>
      <c r="BH45" s="3">
        <f t="shared" si="11"/>
        <v>-2</v>
      </c>
      <c r="BJ45" s="38">
        <f t="shared" si="5"/>
        <v>0</v>
      </c>
      <c r="BL45" s="3">
        <f t="shared" si="6"/>
        <v>44439.101123595501</v>
      </c>
    </row>
    <row r="46" spans="1:64" x14ac:dyDescent="0.35">
      <c r="A46" s="24" t="s">
        <v>214</v>
      </c>
      <c r="B46" s="1" t="str">
        <f t="shared" si="1"/>
        <v>Premium</v>
      </c>
      <c r="C46" s="1" t="s">
        <v>46</v>
      </c>
      <c r="D46" s="1" t="s">
        <v>106</v>
      </c>
      <c r="E46" s="1" t="s">
        <v>48</v>
      </c>
      <c r="F46" s="1" t="s">
        <v>65</v>
      </c>
      <c r="G46" s="1" t="s">
        <v>76</v>
      </c>
      <c r="H46" s="1" t="s">
        <v>51</v>
      </c>
      <c r="I46" s="1" t="s">
        <v>52</v>
      </c>
      <c r="J46" s="1" t="s">
        <v>53</v>
      </c>
      <c r="K46" s="1" t="s">
        <v>92</v>
      </c>
      <c r="L46" s="1" t="s">
        <v>70</v>
      </c>
      <c r="M46" s="1" t="s">
        <v>100</v>
      </c>
      <c r="N46" s="1" t="s">
        <v>57</v>
      </c>
      <c r="O46" s="1" t="s">
        <v>110</v>
      </c>
      <c r="P46" s="1" t="s">
        <v>129</v>
      </c>
      <c r="Q46" s="1" t="s">
        <v>72</v>
      </c>
      <c r="R46" s="1" t="s">
        <v>61</v>
      </c>
      <c r="S46" s="1">
        <v>725</v>
      </c>
      <c r="T46" s="2">
        <f>U46*0.98*0.965</f>
        <v>66672.122489830508</v>
      </c>
      <c r="U46" s="13">
        <v>70500.288135593219</v>
      </c>
      <c r="V46" s="13">
        <v>5187.4569491525372</v>
      </c>
      <c r="W46" s="13">
        <v>5457.6271186440645</v>
      </c>
      <c r="X46" s="13"/>
      <c r="Y46" s="2">
        <f>(U46*0.88-S46-V46-W46-X46)*1.18/0.92</f>
        <v>64990</v>
      </c>
      <c r="Z46" s="1">
        <v>64990</v>
      </c>
      <c r="AA46" s="5"/>
      <c r="AB46" s="5"/>
      <c r="AC46" s="14">
        <v>64990</v>
      </c>
      <c r="AD46" s="5">
        <f t="shared" si="7"/>
        <v>0</v>
      </c>
      <c r="AE46" s="5"/>
      <c r="AF46" s="5">
        <f t="shared" si="8"/>
        <v>5457.6271186440645</v>
      </c>
      <c r="AG46" s="5"/>
      <c r="AH46" s="13">
        <v>5187.4569491525372</v>
      </c>
      <c r="AI46" s="13">
        <v>5457.6271186440645</v>
      </c>
      <c r="AJ46" s="5"/>
      <c r="AL46" s="5"/>
      <c r="AM46" s="5">
        <v>64990</v>
      </c>
      <c r="AN46" s="5">
        <f t="shared" si="2"/>
        <v>0</v>
      </c>
      <c r="AO46" s="5"/>
      <c r="AP46" s="5">
        <f t="shared" si="3"/>
        <v>70500.288135593219</v>
      </c>
      <c r="AQ46" s="20">
        <v>5187.4569491525372</v>
      </c>
      <c r="AR46" s="20">
        <v>5457.6271186440645</v>
      </c>
      <c r="AT46" s="3">
        <v>0</v>
      </c>
      <c r="AV46" s="5">
        <f t="shared" si="9"/>
        <v>0</v>
      </c>
      <c r="AX46" s="38">
        <f t="shared" si="4"/>
        <v>0</v>
      </c>
      <c r="BA46" s="3">
        <v>0</v>
      </c>
      <c r="BB46" s="3">
        <v>0</v>
      </c>
      <c r="BC46" s="3">
        <v>0</v>
      </c>
      <c r="BD46" s="3">
        <f t="shared" si="10"/>
        <v>0</v>
      </c>
      <c r="BE46" s="3">
        <v>0</v>
      </c>
      <c r="BF46" s="3">
        <v>0</v>
      </c>
      <c r="BH46" s="3">
        <f t="shared" si="11"/>
        <v>0</v>
      </c>
      <c r="BJ46" s="38">
        <f t="shared" si="5"/>
        <v>0</v>
      </c>
      <c r="BL46" s="3">
        <f t="shared" si="6"/>
        <v>83190.34</v>
      </c>
    </row>
    <row r="47" spans="1:64" x14ac:dyDescent="0.35">
      <c r="A47" s="1" t="s">
        <v>215</v>
      </c>
      <c r="B47" s="1" t="str">
        <f t="shared" si="1"/>
        <v>Mainstream</v>
      </c>
      <c r="C47" s="1" t="s">
        <v>79</v>
      </c>
      <c r="D47" s="1" t="s">
        <v>121</v>
      </c>
      <c r="E47" s="1" t="s">
        <v>81</v>
      </c>
      <c r="F47" s="1" t="s">
        <v>82</v>
      </c>
      <c r="G47" s="1" t="s">
        <v>216</v>
      </c>
      <c r="H47" s="1" t="s">
        <v>123</v>
      </c>
      <c r="I47" s="1" t="s">
        <v>124</v>
      </c>
      <c r="J47" s="1" t="s">
        <v>217</v>
      </c>
      <c r="K47" s="1" t="s">
        <v>54</v>
      </c>
      <c r="L47" s="1" t="s">
        <v>70</v>
      </c>
      <c r="M47" s="1" t="s">
        <v>100</v>
      </c>
      <c r="N47" s="1" t="s">
        <v>57</v>
      </c>
      <c r="O47" s="1" t="s">
        <v>87</v>
      </c>
      <c r="P47" s="1" t="s">
        <v>161</v>
      </c>
      <c r="Q47" s="1" t="s">
        <v>165</v>
      </c>
      <c r="R47" s="1" t="s">
        <v>61</v>
      </c>
      <c r="S47" s="1">
        <v>0</v>
      </c>
      <c r="T47" s="2">
        <v>42404.979005524867</v>
      </c>
      <c r="U47" s="13">
        <v>44839.779005524862</v>
      </c>
      <c r="V47" s="13">
        <v>444</v>
      </c>
      <c r="W47" s="13">
        <v>3217</v>
      </c>
      <c r="X47" s="13"/>
      <c r="Y47" s="2">
        <f>(U47*0.89-S47-V47-W47-X47)*1.18/0.92</f>
        <v>46489.952077828486</v>
      </c>
      <c r="Z47" s="18">
        <f>AC47</f>
        <v>46490</v>
      </c>
      <c r="AA47" s="5" t="s">
        <v>90</v>
      </c>
      <c r="AB47" s="5"/>
      <c r="AC47" s="14">
        <v>46490</v>
      </c>
      <c r="AD47" s="5">
        <f t="shared" si="7"/>
        <v>-3.7363048977074535E-2</v>
      </c>
      <c r="AE47" s="5"/>
      <c r="AF47" s="5">
        <f t="shared" si="8"/>
        <v>3217</v>
      </c>
      <c r="AG47" s="5"/>
      <c r="AH47" s="13">
        <v>444</v>
      </c>
      <c r="AI47" s="13">
        <v>3217</v>
      </c>
      <c r="AJ47" s="5"/>
      <c r="AL47" s="5"/>
      <c r="AM47" s="5">
        <v>45989.554347826088</v>
      </c>
      <c r="AN47" s="5">
        <f t="shared" si="2"/>
        <v>500.39773000239802</v>
      </c>
      <c r="AO47" s="5"/>
      <c r="AP47" s="5">
        <f t="shared" si="3"/>
        <v>44839.779005524862</v>
      </c>
      <c r="AQ47" s="20">
        <v>0</v>
      </c>
      <c r="AR47" s="20">
        <v>3217</v>
      </c>
      <c r="AT47" s="3">
        <v>43</v>
      </c>
      <c r="AV47" s="5">
        <f t="shared" si="9"/>
        <v>430</v>
      </c>
      <c r="AX47" s="38">
        <f t="shared" si="4"/>
        <v>1383310</v>
      </c>
      <c r="BA47" s="3">
        <v>-2</v>
      </c>
      <c r="BB47" s="3">
        <v>596</v>
      </c>
      <c r="BC47" s="3">
        <v>-1</v>
      </c>
      <c r="BD47" s="3">
        <f t="shared" si="10"/>
        <v>593</v>
      </c>
      <c r="BE47" s="3">
        <v>2005</v>
      </c>
      <c r="BF47" s="3">
        <v>2</v>
      </c>
      <c r="BH47" s="3">
        <f t="shared" si="11"/>
        <v>1098</v>
      </c>
      <c r="BJ47" s="38">
        <f t="shared" si="5"/>
        <v>487512</v>
      </c>
      <c r="BL47" s="3">
        <f t="shared" si="6"/>
        <v>52910.939226519338</v>
      </c>
    </row>
    <row r="48" spans="1:64" x14ac:dyDescent="0.35">
      <c r="A48" s="1" t="s">
        <v>218</v>
      </c>
      <c r="B48" s="1" t="str">
        <f t="shared" si="1"/>
        <v>Mainstream</v>
      </c>
      <c r="C48" s="1" t="s">
        <v>79</v>
      </c>
      <c r="D48" s="1" t="s">
        <v>121</v>
      </c>
      <c r="E48" s="1" t="s">
        <v>81</v>
      </c>
      <c r="F48" s="1" t="s">
        <v>82</v>
      </c>
      <c r="G48" s="1" t="s">
        <v>216</v>
      </c>
      <c r="H48" s="1" t="s">
        <v>123</v>
      </c>
      <c r="I48" s="1" t="s">
        <v>124</v>
      </c>
      <c r="J48" s="1" t="s">
        <v>217</v>
      </c>
      <c r="K48" s="1" t="s">
        <v>92</v>
      </c>
      <c r="L48" s="1" t="s">
        <v>70</v>
      </c>
      <c r="M48" s="1" t="s">
        <v>100</v>
      </c>
      <c r="N48" s="1" t="s">
        <v>57</v>
      </c>
      <c r="O48" s="1" t="s">
        <v>87</v>
      </c>
      <c r="P48" s="1" t="s">
        <v>161</v>
      </c>
      <c r="Q48" s="1" t="s">
        <v>165</v>
      </c>
      <c r="R48" s="8" t="s">
        <v>61</v>
      </c>
      <c r="S48" s="1">
        <v>0</v>
      </c>
      <c r="T48" s="2">
        <v>39891.820441988944</v>
      </c>
      <c r="U48" s="13">
        <v>42182.320441988944</v>
      </c>
      <c r="V48" s="13">
        <v>444</v>
      </c>
      <c r="W48" s="13">
        <v>3191</v>
      </c>
      <c r="X48" s="13"/>
      <c r="Y48" s="2">
        <f>(U48*0.89-S48-V48-W48-X48)*1.18/0.92</f>
        <v>43489.753182800858</v>
      </c>
      <c r="Z48" s="18">
        <f>AC48</f>
        <v>43490</v>
      </c>
      <c r="AA48" s="5" t="s">
        <v>90</v>
      </c>
      <c r="AB48" s="5"/>
      <c r="AC48" s="14">
        <v>43490</v>
      </c>
      <c r="AD48" s="5">
        <f t="shared" si="7"/>
        <v>-0.19243374848378214</v>
      </c>
      <c r="AE48" s="5"/>
      <c r="AF48" s="5">
        <f t="shared" si="8"/>
        <v>3191</v>
      </c>
      <c r="AG48" s="5"/>
      <c r="AH48" s="13">
        <v>444</v>
      </c>
      <c r="AI48" s="13">
        <v>3191</v>
      </c>
      <c r="AJ48" s="5"/>
      <c r="AL48" s="5"/>
      <c r="AM48" s="5">
        <v>42990.130434782615</v>
      </c>
      <c r="AN48" s="5">
        <f t="shared" si="2"/>
        <v>499.62274801824242</v>
      </c>
      <c r="AO48" s="5"/>
      <c r="AP48" s="5">
        <f t="shared" si="3"/>
        <v>42182.320441988944</v>
      </c>
      <c r="AQ48" s="20">
        <v>0</v>
      </c>
      <c r="AR48" s="20">
        <v>3191</v>
      </c>
      <c r="AT48" s="3">
        <v>3</v>
      </c>
      <c r="AV48" s="5">
        <f t="shared" si="9"/>
        <v>30</v>
      </c>
      <c r="AX48" s="38">
        <f t="shared" si="4"/>
        <v>95730</v>
      </c>
      <c r="BA48" s="3">
        <v>0</v>
      </c>
      <c r="BB48" s="3">
        <v>0</v>
      </c>
      <c r="BC48" s="3">
        <v>0</v>
      </c>
      <c r="BD48" s="3">
        <f t="shared" si="10"/>
        <v>0</v>
      </c>
      <c r="BE48" s="3">
        <v>380</v>
      </c>
      <c r="BF48" s="3">
        <v>0</v>
      </c>
      <c r="BH48" s="3">
        <f t="shared" si="11"/>
        <v>0</v>
      </c>
      <c r="BJ48" s="38">
        <f t="shared" si="5"/>
        <v>0</v>
      </c>
      <c r="BL48" s="3">
        <f t="shared" si="6"/>
        <v>49775.138121546952</v>
      </c>
    </row>
    <row r="49" spans="1:64" x14ac:dyDescent="0.35">
      <c r="A49" s="1" t="s">
        <v>219</v>
      </c>
      <c r="B49" s="1" t="str">
        <f t="shared" si="1"/>
        <v>Premium</v>
      </c>
      <c r="C49" s="1" t="s">
        <v>46</v>
      </c>
      <c r="D49" s="1" t="s">
        <v>80</v>
      </c>
      <c r="E49" s="1" t="s">
        <v>220</v>
      </c>
      <c r="F49" s="1" t="s">
        <v>221</v>
      </c>
      <c r="G49" s="1" t="s">
        <v>222</v>
      </c>
      <c r="H49" s="1" t="s">
        <v>84</v>
      </c>
      <c r="I49" s="1" t="s">
        <v>68</v>
      </c>
      <c r="J49" s="1" t="s">
        <v>168</v>
      </c>
      <c r="K49" s="1" t="s">
        <v>54</v>
      </c>
      <c r="L49" s="1" t="s">
        <v>70</v>
      </c>
      <c r="M49" s="1" t="s">
        <v>100</v>
      </c>
      <c r="N49" s="1" t="s">
        <v>57</v>
      </c>
      <c r="O49" s="1" t="s">
        <v>87</v>
      </c>
      <c r="P49" s="1" t="s">
        <v>223</v>
      </c>
      <c r="Q49" s="1" t="s">
        <v>127</v>
      </c>
      <c r="R49" s="1" t="s">
        <v>61</v>
      </c>
      <c r="S49" s="1">
        <v>725</v>
      </c>
      <c r="T49" s="2">
        <f>U49*0.98*0.965</f>
        <v>56757.227372881352</v>
      </c>
      <c r="U49" s="13">
        <v>60016.101694915254</v>
      </c>
      <c r="V49" s="13">
        <v>0</v>
      </c>
      <c r="W49" s="13"/>
      <c r="X49" s="13"/>
      <c r="Y49" s="2">
        <f>(U49*0.88-S49-V49-W49-X49)*1.18/0.92</f>
        <v>66810.021739130432</v>
      </c>
      <c r="Z49" s="2">
        <v>66990</v>
      </c>
      <c r="AA49" s="5"/>
      <c r="AB49" s="5"/>
      <c r="AC49" s="14">
        <v>0</v>
      </c>
      <c r="AD49" s="5">
        <f t="shared" si="7"/>
        <v>52089.169491525427</v>
      </c>
      <c r="AE49" s="5"/>
      <c r="AF49" s="5">
        <f t="shared" si="8"/>
        <v>0</v>
      </c>
      <c r="AG49" s="5"/>
      <c r="AH49" s="13">
        <v>0</v>
      </c>
      <c r="AI49" s="13"/>
      <c r="AJ49" s="5"/>
      <c r="AL49" s="5"/>
      <c r="AM49" s="5">
        <v>66189.999999999985</v>
      </c>
      <c r="AN49" s="5">
        <f t="shared" si="2"/>
        <v>620.0217391304468</v>
      </c>
      <c r="AO49" s="5"/>
      <c r="AP49" s="5"/>
      <c r="AQ49" s="20">
        <v>0</v>
      </c>
      <c r="AR49" s="20"/>
      <c r="AT49" s="3">
        <v>0</v>
      </c>
      <c r="AV49" s="5">
        <f t="shared" si="9"/>
        <v>0</v>
      </c>
      <c r="AX49" s="38">
        <f t="shared" si="4"/>
        <v>0</v>
      </c>
      <c r="BA49" s="3">
        <v>0</v>
      </c>
      <c r="BB49" s="3">
        <v>0</v>
      </c>
      <c r="BC49" s="3">
        <v>200</v>
      </c>
      <c r="BD49" s="3">
        <f t="shared" si="10"/>
        <v>200</v>
      </c>
      <c r="BE49" s="3">
        <v>295</v>
      </c>
      <c r="BF49" s="3">
        <v>0</v>
      </c>
      <c r="BH49" s="3">
        <f t="shared" si="11"/>
        <v>370</v>
      </c>
      <c r="BJ49" s="38">
        <f t="shared" si="5"/>
        <v>0</v>
      </c>
      <c r="BL49" s="3">
        <f t="shared" si="6"/>
        <v>70819</v>
      </c>
    </row>
    <row r="50" spans="1:64" x14ac:dyDescent="0.35">
      <c r="A50" s="1" t="s">
        <v>224</v>
      </c>
      <c r="B50" s="1" t="str">
        <f t="shared" si="1"/>
        <v>Premium</v>
      </c>
      <c r="C50" s="1" t="s">
        <v>46</v>
      </c>
      <c r="D50" s="1" t="s">
        <v>153</v>
      </c>
      <c r="E50" s="1" t="s">
        <v>48</v>
      </c>
      <c r="F50" s="1" t="s">
        <v>193</v>
      </c>
      <c r="G50" s="1" t="s">
        <v>225</v>
      </c>
      <c r="H50" s="1" t="s">
        <v>67</v>
      </c>
      <c r="I50" s="1" t="s">
        <v>85</v>
      </c>
      <c r="J50" s="1" t="s">
        <v>226</v>
      </c>
      <c r="K50" s="1" t="s">
        <v>227</v>
      </c>
      <c r="L50" s="1" t="s">
        <v>55</v>
      </c>
      <c r="M50" s="1" t="s">
        <v>228</v>
      </c>
      <c r="N50" s="1" t="s">
        <v>229</v>
      </c>
      <c r="O50" s="1" t="s">
        <v>230</v>
      </c>
      <c r="P50" s="1" t="s">
        <v>231</v>
      </c>
      <c r="Q50" s="1" t="s">
        <v>196</v>
      </c>
      <c r="R50" s="7" t="s">
        <v>61</v>
      </c>
      <c r="S50" s="1">
        <v>2457</v>
      </c>
      <c r="T50" s="2">
        <f>U50*0.98*0.965</f>
        <v>156272.91779661016</v>
      </c>
      <c r="U50" s="13">
        <v>165245.7627118644</v>
      </c>
      <c r="V50" s="13">
        <v>33898.801000612642</v>
      </c>
      <c r="W50" s="13">
        <v>15508.944762099229</v>
      </c>
      <c r="X50" s="13"/>
      <c r="Y50" s="2">
        <f>(U50*0.88-S50-V50-W50-X50)*1.18/0.92</f>
        <v>119990</v>
      </c>
      <c r="Z50" s="1">
        <v>119990</v>
      </c>
      <c r="AA50" s="5"/>
      <c r="AB50" s="5"/>
      <c r="AC50" s="14">
        <v>119990</v>
      </c>
      <c r="AD50" s="5">
        <f t="shared" si="7"/>
        <v>0</v>
      </c>
      <c r="AE50" s="5"/>
      <c r="AF50" s="5">
        <f t="shared" si="8"/>
        <v>15508.944762099229</v>
      </c>
      <c r="AG50" s="5"/>
      <c r="AH50" s="13">
        <v>33898.801000612642</v>
      </c>
      <c r="AI50" s="13">
        <v>15508.944762099229</v>
      </c>
      <c r="AJ50" s="5"/>
      <c r="AL50" s="5"/>
      <c r="AM50" s="5">
        <v>119990</v>
      </c>
      <c r="AN50" s="5">
        <f t="shared" si="2"/>
        <v>0</v>
      </c>
      <c r="AO50" s="5"/>
      <c r="AP50" s="5">
        <f t="shared" ref="AP50:AP113" si="15">U50-AL50</f>
        <v>165245.7627118644</v>
      </c>
      <c r="AQ50" s="20">
        <v>33898.801000612642</v>
      </c>
      <c r="AR50" s="20">
        <v>15508.944762099229</v>
      </c>
      <c r="AT50" s="3">
        <v>0</v>
      </c>
      <c r="AV50" s="5">
        <f t="shared" si="9"/>
        <v>0</v>
      </c>
      <c r="AX50" s="38">
        <f t="shared" si="4"/>
        <v>0</v>
      </c>
      <c r="BA50" s="3">
        <v>0</v>
      </c>
      <c r="BB50" s="3">
        <v>0</v>
      </c>
      <c r="BC50" s="3">
        <v>0</v>
      </c>
      <c r="BD50" s="3">
        <f t="shared" si="10"/>
        <v>0</v>
      </c>
      <c r="BE50" s="3">
        <v>1</v>
      </c>
      <c r="BF50" s="3">
        <v>0</v>
      </c>
      <c r="BH50" s="3">
        <f t="shared" si="11"/>
        <v>0</v>
      </c>
      <c r="BJ50" s="38">
        <f t="shared" si="5"/>
        <v>0</v>
      </c>
      <c r="BL50" s="3">
        <f t="shared" si="6"/>
        <v>194989.99999999997</v>
      </c>
    </row>
    <row r="51" spans="1:64" s="21" customFormat="1" x14ac:dyDescent="0.35">
      <c r="A51" s="1" t="s">
        <v>232</v>
      </c>
      <c r="B51" s="1" t="str">
        <f t="shared" si="1"/>
        <v>Mainstream</v>
      </c>
      <c r="C51" s="1" t="s">
        <v>46</v>
      </c>
      <c r="D51" s="1" t="s">
        <v>233</v>
      </c>
      <c r="E51" s="1" t="s">
        <v>48</v>
      </c>
      <c r="F51" s="1" t="s">
        <v>65</v>
      </c>
      <c r="G51" s="1" t="s">
        <v>234</v>
      </c>
      <c r="H51" s="1" t="s">
        <v>84</v>
      </c>
      <c r="I51" s="1" t="s">
        <v>85</v>
      </c>
      <c r="J51" s="1" t="s">
        <v>235</v>
      </c>
      <c r="K51" s="1" t="s">
        <v>92</v>
      </c>
      <c r="L51" s="1" t="s">
        <v>70</v>
      </c>
      <c r="M51" s="1" t="s">
        <v>56</v>
      </c>
      <c r="N51" s="1" t="s">
        <v>139</v>
      </c>
      <c r="O51" s="1" t="s">
        <v>143</v>
      </c>
      <c r="P51" s="1" t="s">
        <v>129</v>
      </c>
      <c r="Q51" s="1" t="s">
        <v>72</v>
      </c>
      <c r="R51" s="1" t="s">
        <v>73</v>
      </c>
      <c r="S51" s="1">
        <v>725</v>
      </c>
      <c r="T51" s="2">
        <f>U51*0.98*0.98</f>
        <v>49802.435171999998</v>
      </c>
      <c r="U51" s="13">
        <v>51855.93</v>
      </c>
      <c r="V51" s="13">
        <v>4914</v>
      </c>
      <c r="W51" s="13">
        <v>6204.5571627118625</v>
      </c>
      <c r="X51" s="13"/>
      <c r="Y51" s="2">
        <f>(U51*0.98-S51-V51-W51-X51)*1.18/0.92</f>
        <v>49989.999999999993</v>
      </c>
      <c r="Z51" s="1">
        <v>49990</v>
      </c>
      <c r="AA51" s="5"/>
      <c r="AB51" s="5"/>
      <c r="AC51" s="14">
        <v>49990</v>
      </c>
      <c r="AD51" s="5">
        <f t="shared" si="7"/>
        <v>-5.6727805127531806E-12</v>
      </c>
      <c r="AE51" s="5"/>
      <c r="AF51" s="5">
        <f t="shared" si="8"/>
        <v>6204.5571627118625</v>
      </c>
      <c r="AG51" s="5"/>
      <c r="AH51" s="13">
        <v>4914</v>
      </c>
      <c r="AI51" s="13">
        <v>6204.5571627118625</v>
      </c>
      <c r="AJ51" s="5"/>
      <c r="AK51" s="23"/>
      <c r="AL51" s="5"/>
      <c r="AM51" s="5">
        <v>49989.999999999993</v>
      </c>
      <c r="AN51" s="5">
        <f t="shared" si="2"/>
        <v>0</v>
      </c>
      <c r="AO51" s="5"/>
      <c r="AP51" s="5">
        <f t="shared" si="15"/>
        <v>51855.93</v>
      </c>
      <c r="AQ51" s="20">
        <v>4914</v>
      </c>
      <c r="AR51" s="20">
        <v>6204.5571627118625</v>
      </c>
      <c r="AT51" s="3">
        <v>0</v>
      </c>
      <c r="AU51" s="3"/>
      <c r="AV51" s="5">
        <f t="shared" si="9"/>
        <v>0</v>
      </c>
      <c r="AX51" s="38">
        <f t="shared" si="4"/>
        <v>0</v>
      </c>
      <c r="BA51" s="3">
        <v>0</v>
      </c>
      <c r="BB51" s="3">
        <v>0</v>
      </c>
      <c r="BC51" s="3">
        <v>0</v>
      </c>
      <c r="BD51" s="3">
        <f t="shared" si="10"/>
        <v>0</v>
      </c>
      <c r="BE51" s="3">
        <v>0</v>
      </c>
      <c r="BF51" s="3">
        <v>3</v>
      </c>
      <c r="BG51" s="3"/>
      <c r="BH51" s="3">
        <f t="shared" si="11"/>
        <v>0</v>
      </c>
      <c r="BJ51" s="38">
        <f t="shared" si="5"/>
        <v>0</v>
      </c>
      <c r="BL51" s="3">
        <f t="shared" si="6"/>
        <v>61189.9974</v>
      </c>
    </row>
    <row r="52" spans="1:64" x14ac:dyDescent="0.35">
      <c r="A52" s="1" t="s">
        <v>236</v>
      </c>
      <c r="B52" s="1" t="str">
        <f t="shared" si="1"/>
        <v>Premium</v>
      </c>
      <c r="C52" s="1" t="s">
        <v>46</v>
      </c>
      <c r="D52" s="1" t="s">
        <v>80</v>
      </c>
      <c r="E52" s="1" t="s">
        <v>81</v>
      </c>
      <c r="F52" s="1" t="s">
        <v>115</v>
      </c>
      <c r="G52" s="1" t="s">
        <v>237</v>
      </c>
      <c r="H52" s="1" t="s">
        <v>84</v>
      </c>
      <c r="I52" s="1" t="s">
        <v>68</v>
      </c>
      <c r="J52" s="1" t="s">
        <v>99</v>
      </c>
      <c r="K52" s="24" t="s">
        <v>54</v>
      </c>
      <c r="L52" s="1" t="s">
        <v>70</v>
      </c>
      <c r="M52" s="1" t="s">
        <v>100</v>
      </c>
      <c r="N52" s="1" t="s">
        <v>200</v>
      </c>
      <c r="O52" s="1" t="s">
        <v>87</v>
      </c>
      <c r="P52" s="1" t="s">
        <v>238</v>
      </c>
      <c r="Q52" s="1" t="s">
        <v>127</v>
      </c>
      <c r="R52" s="1" t="s">
        <v>61</v>
      </c>
      <c r="S52" s="1">
        <v>0</v>
      </c>
      <c r="T52" s="2">
        <f>U52*0.965*0.98</f>
        <v>54453.158281972275</v>
      </c>
      <c r="U52" s="13">
        <v>57579.738058551629</v>
      </c>
      <c r="V52" s="13">
        <v>1559.3220338983233</v>
      </c>
      <c r="W52" s="13"/>
      <c r="X52" s="13"/>
      <c r="Y52" s="2">
        <f>(U52*0.88-S52-V52-W52-X52)*1.18/0.92</f>
        <v>62989.999999999985</v>
      </c>
      <c r="Z52" s="2">
        <v>62990</v>
      </c>
      <c r="AA52" s="5"/>
      <c r="AB52" s="5"/>
      <c r="AC52" s="14">
        <v>62990</v>
      </c>
      <c r="AD52" s="5">
        <f t="shared" si="7"/>
        <v>-1.1345561025506361E-11</v>
      </c>
      <c r="AE52" s="5"/>
      <c r="AF52" s="5">
        <f t="shared" si="8"/>
        <v>0</v>
      </c>
      <c r="AG52" s="5"/>
      <c r="AH52" s="13">
        <v>1559.3220338983233</v>
      </c>
      <c r="AI52" s="13"/>
      <c r="AJ52" s="5"/>
      <c r="AL52" s="5"/>
      <c r="AM52" s="5">
        <v>62181.526956521731</v>
      </c>
      <c r="AN52" s="5">
        <f t="shared" si="2"/>
        <v>808.47304347825411</v>
      </c>
      <c r="AO52" s="5"/>
      <c r="AP52" s="5">
        <f t="shared" si="15"/>
        <v>57579.738058551629</v>
      </c>
      <c r="AQ52" s="20">
        <v>0</v>
      </c>
      <c r="AR52" s="20"/>
      <c r="AT52" s="3">
        <v>15</v>
      </c>
      <c r="AV52" s="5">
        <f t="shared" si="9"/>
        <v>150</v>
      </c>
      <c r="AX52" s="38">
        <f t="shared" si="4"/>
        <v>0</v>
      </c>
      <c r="BA52" s="3">
        <v>45</v>
      </c>
      <c r="BB52" s="3">
        <v>950</v>
      </c>
      <c r="BC52" s="3">
        <v>0</v>
      </c>
      <c r="BD52" s="3">
        <f t="shared" si="10"/>
        <v>995</v>
      </c>
      <c r="BE52" s="3">
        <v>213</v>
      </c>
      <c r="BF52" s="3">
        <v>3</v>
      </c>
      <c r="BH52" s="3">
        <f t="shared" si="11"/>
        <v>1841</v>
      </c>
      <c r="BJ52" s="38">
        <f t="shared" si="5"/>
        <v>2870711.8644068134</v>
      </c>
      <c r="BL52" s="3">
        <f t="shared" si="6"/>
        <v>67944.090909090926</v>
      </c>
    </row>
    <row r="53" spans="1:64" x14ac:dyDescent="0.35">
      <c r="A53" s="1" t="s">
        <v>239</v>
      </c>
      <c r="B53" s="1" t="str">
        <f t="shared" si="1"/>
        <v>Mainstream</v>
      </c>
      <c r="C53" s="1" t="s">
        <v>79</v>
      </c>
      <c r="D53" s="1" t="s">
        <v>121</v>
      </c>
      <c r="E53" s="1" t="s">
        <v>81</v>
      </c>
      <c r="F53" s="1" t="s">
        <v>146</v>
      </c>
      <c r="G53" s="1" t="s">
        <v>240</v>
      </c>
      <c r="H53" s="1" t="s">
        <v>123</v>
      </c>
      <c r="I53" s="1" t="s">
        <v>124</v>
      </c>
      <c r="J53" s="1" t="s">
        <v>217</v>
      </c>
      <c r="K53" s="1" t="s">
        <v>92</v>
      </c>
      <c r="L53" s="1" t="s">
        <v>70</v>
      </c>
      <c r="M53" s="1" t="s">
        <v>100</v>
      </c>
      <c r="N53" s="1" t="s">
        <v>57</v>
      </c>
      <c r="O53" s="1" t="s">
        <v>87</v>
      </c>
      <c r="P53" s="1" t="s">
        <v>241</v>
      </c>
      <c r="Q53" s="1" t="s">
        <v>165</v>
      </c>
      <c r="R53" s="1" t="s">
        <v>61</v>
      </c>
      <c r="S53" s="1">
        <v>0</v>
      </c>
      <c r="T53" s="2">
        <v>39012.962099999997</v>
      </c>
      <c r="U53" s="13">
        <v>41253</v>
      </c>
      <c r="V53" s="13">
        <v>444</v>
      </c>
      <c r="W53" s="13">
        <v>3143</v>
      </c>
      <c r="X53" s="13"/>
      <c r="Y53" s="2">
        <f>(U53*0.89-S53-V53-W53-X53)*1.18/0.92</f>
        <v>42490.478913043473</v>
      </c>
      <c r="Z53" s="18">
        <f>AC53</f>
        <v>42490</v>
      </c>
      <c r="AA53" s="5" t="s">
        <v>90</v>
      </c>
      <c r="AB53" s="5"/>
      <c r="AC53" s="14">
        <v>42490</v>
      </c>
      <c r="AD53" s="5">
        <f t="shared" si="7"/>
        <v>0.37338983050426194</v>
      </c>
      <c r="AE53" s="5"/>
      <c r="AF53" s="5">
        <f t="shared" si="8"/>
        <v>3143</v>
      </c>
      <c r="AG53" s="5"/>
      <c r="AH53" s="13">
        <v>444</v>
      </c>
      <c r="AI53" s="13">
        <v>3143</v>
      </c>
      <c r="AJ53" s="5"/>
      <c r="AL53" s="5"/>
      <c r="AM53" s="5">
        <v>41990.467391304344</v>
      </c>
      <c r="AN53" s="5">
        <f t="shared" si="2"/>
        <v>500.01152173912851</v>
      </c>
      <c r="AO53" s="5"/>
      <c r="AP53" s="5">
        <f t="shared" si="15"/>
        <v>41253</v>
      </c>
      <c r="AQ53" s="20">
        <v>0</v>
      </c>
      <c r="AR53" s="20">
        <v>3143</v>
      </c>
      <c r="AT53" s="3">
        <v>7</v>
      </c>
      <c r="AV53" s="5">
        <f t="shared" si="9"/>
        <v>70</v>
      </c>
      <c r="AX53" s="38">
        <f t="shared" si="4"/>
        <v>220010</v>
      </c>
      <c r="BA53" s="3">
        <v>0</v>
      </c>
      <c r="BB53" s="3">
        <v>0</v>
      </c>
      <c r="BC53" s="3">
        <v>970</v>
      </c>
      <c r="BD53" s="3">
        <f t="shared" si="10"/>
        <v>970</v>
      </c>
      <c r="BE53" s="3">
        <v>1248</v>
      </c>
      <c r="BF53" s="3">
        <v>0</v>
      </c>
      <c r="BH53" s="3">
        <f t="shared" si="11"/>
        <v>1795</v>
      </c>
      <c r="BJ53" s="38">
        <f t="shared" si="5"/>
        <v>796980</v>
      </c>
      <c r="BL53" s="3">
        <f t="shared" si="6"/>
        <v>48678.54</v>
      </c>
    </row>
    <row r="54" spans="1:64" x14ac:dyDescent="0.35">
      <c r="A54" s="1" t="s">
        <v>242</v>
      </c>
      <c r="B54" s="1" t="str">
        <f t="shared" si="1"/>
        <v>Mainstream</v>
      </c>
      <c r="C54" s="1" t="s">
        <v>46</v>
      </c>
      <c r="D54" s="1" t="s">
        <v>135</v>
      </c>
      <c r="E54" s="1" t="s">
        <v>48</v>
      </c>
      <c r="F54" s="1" t="s">
        <v>65</v>
      </c>
      <c r="G54" s="1" t="s">
        <v>76</v>
      </c>
      <c r="H54" s="1" t="s">
        <v>123</v>
      </c>
      <c r="I54" s="1" t="s">
        <v>52</v>
      </c>
      <c r="J54" s="1" t="s">
        <v>142</v>
      </c>
      <c r="K54" s="1" t="s">
        <v>54</v>
      </c>
      <c r="L54" s="1" t="s">
        <v>70</v>
      </c>
      <c r="M54" s="1" t="s">
        <v>100</v>
      </c>
      <c r="N54" s="1" t="s">
        <v>139</v>
      </c>
      <c r="O54" s="1" t="s">
        <v>143</v>
      </c>
      <c r="P54" s="1" t="s">
        <v>243</v>
      </c>
      <c r="Q54" s="1" t="s">
        <v>140</v>
      </c>
      <c r="R54" s="1" t="s">
        <v>73</v>
      </c>
      <c r="S54" s="1"/>
      <c r="T54" s="2">
        <f>U54*0.98*0.98</f>
        <v>45741.084745762717</v>
      </c>
      <c r="U54" s="13">
        <v>47627.118644067799</v>
      </c>
      <c r="V54" s="13">
        <v>0</v>
      </c>
      <c r="W54" s="13">
        <v>6140</v>
      </c>
      <c r="X54" s="13"/>
      <c r="Y54" s="2">
        <f>(U54*0.98-S54-V54-W54-X54)*1.18/0.92</f>
        <v>51990</v>
      </c>
      <c r="Z54" s="1">
        <v>51990</v>
      </c>
      <c r="AA54" s="5"/>
      <c r="AB54" s="5"/>
      <c r="AC54" s="14">
        <v>51990</v>
      </c>
      <c r="AD54" s="5">
        <f t="shared" si="7"/>
        <v>0</v>
      </c>
      <c r="AE54" s="5"/>
      <c r="AF54" s="5">
        <f t="shared" si="8"/>
        <v>6140</v>
      </c>
      <c r="AG54" s="5"/>
      <c r="AH54" s="13">
        <v>0</v>
      </c>
      <c r="AI54" s="13">
        <v>6140</v>
      </c>
      <c r="AJ54" s="5"/>
      <c r="AL54" s="5"/>
      <c r="AM54" s="5">
        <v>51990</v>
      </c>
      <c r="AN54" s="5">
        <f t="shared" si="2"/>
        <v>0</v>
      </c>
      <c r="AO54" s="5"/>
      <c r="AP54" s="5">
        <f t="shared" si="15"/>
        <v>47627.118644067799</v>
      </c>
      <c r="AQ54" s="20">
        <v>0</v>
      </c>
      <c r="AR54" s="20">
        <v>6140</v>
      </c>
      <c r="AT54" s="3">
        <v>0</v>
      </c>
      <c r="AV54" s="5">
        <f t="shared" si="9"/>
        <v>0</v>
      </c>
      <c r="AX54" s="38">
        <f t="shared" si="4"/>
        <v>0</v>
      </c>
      <c r="BA54" s="3">
        <v>0</v>
      </c>
      <c r="BB54" s="3">
        <v>0</v>
      </c>
      <c r="BC54" s="3">
        <v>0</v>
      </c>
      <c r="BD54" s="3">
        <f t="shared" si="10"/>
        <v>0</v>
      </c>
      <c r="BE54" s="3">
        <v>13</v>
      </c>
      <c r="BF54" s="3">
        <v>2</v>
      </c>
      <c r="BH54" s="3">
        <f t="shared" si="11"/>
        <v>0</v>
      </c>
      <c r="BJ54" s="38">
        <f t="shared" si="5"/>
        <v>0</v>
      </c>
      <c r="BL54" s="3">
        <f t="shared" si="6"/>
        <v>56200</v>
      </c>
    </row>
    <row r="55" spans="1:64" x14ac:dyDescent="0.35">
      <c r="A55" s="1" t="s">
        <v>244</v>
      </c>
      <c r="B55" s="1" t="str">
        <f t="shared" si="1"/>
        <v>Mainstream</v>
      </c>
      <c r="C55" s="1" t="s">
        <v>46</v>
      </c>
      <c r="D55" s="1" t="s">
        <v>135</v>
      </c>
      <c r="E55" s="1" t="s">
        <v>48</v>
      </c>
      <c r="F55" s="1" t="s">
        <v>65</v>
      </c>
      <c r="G55" s="1" t="s">
        <v>76</v>
      </c>
      <c r="H55" s="1" t="s">
        <v>123</v>
      </c>
      <c r="I55" s="1" t="s">
        <v>52</v>
      </c>
      <c r="J55" s="1" t="s">
        <v>142</v>
      </c>
      <c r="K55" s="1" t="s">
        <v>92</v>
      </c>
      <c r="L55" s="1" t="s">
        <v>70</v>
      </c>
      <c r="M55" s="1" t="s">
        <v>100</v>
      </c>
      <c r="N55" s="1" t="s">
        <v>139</v>
      </c>
      <c r="O55" s="1" t="s">
        <v>143</v>
      </c>
      <c r="P55" s="1" t="s">
        <v>129</v>
      </c>
      <c r="Q55" s="1" t="s">
        <v>140</v>
      </c>
      <c r="R55" s="1" t="s">
        <v>73</v>
      </c>
      <c r="S55" s="1"/>
      <c r="T55" s="2">
        <f>U55*0.98*0.98</f>
        <v>44031.898305084746</v>
      </c>
      <c r="U55" s="13">
        <v>45847.457627118645</v>
      </c>
      <c r="V55" s="13">
        <v>0</v>
      </c>
      <c r="W55" s="13">
        <v>5955.2542372881362</v>
      </c>
      <c r="X55" s="13"/>
      <c r="Y55" s="2">
        <f>(U55*0.98-S55-V55-W55-X55)*1.18/0.92</f>
        <v>49989.999999999993</v>
      </c>
      <c r="Z55" s="1">
        <v>49990</v>
      </c>
      <c r="AA55" s="5"/>
      <c r="AB55" s="5"/>
      <c r="AC55" s="14">
        <v>49990</v>
      </c>
      <c r="AD55" s="5">
        <f t="shared" si="7"/>
        <v>-5.6727805127531806E-12</v>
      </c>
      <c r="AE55" s="5"/>
      <c r="AF55" s="5">
        <f t="shared" si="8"/>
        <v>5955.2542372881362</v>
      </c>
      <c r="AG55" s="5"/>
      <c r="AH55" s="13">
        <v>0</v>
      </c>
      <c r="AI55" s="13">
        <v>5955.2542372881362</v>
      </c>
      <c r="AJ55" s="5"/>
      <c r="AL55" s="5"/>
      <c r="AM55" s="5">
        <v>49989.999999999993</v>
      </c>
      <c r="AN55" s="5">
        <f t="shared" si="2"/>
        <v>0</v>
      </c>
      <c r="AO55" s="5"/>
      <c r="AP55" s="5">
        <f t="shared" si="15"/>
        <v>45847.457627118645</v>
      </c>
      <c r="AQ55" s="20">
        <v>0</v>
      </c>
      <c r="AR55" s="20">
        <v>5955.2542372881362</v>
      </c>
      <c r="AT55" s="3">
        <v>0</v>
      </c>
      <c r="AV55" s="5">
        <f t="shared" si="9"/>
        <v>0</v>
      </c>
      <c r="AX55" s="38">
        <f t="shared" si="4"/>
        <v>0</v>
      </c>
      <c r="BA55" s="3">
        <v>0</v>
      </c>
      <c r="BB55" s="3">
        <v>0</v>
      </c>
      <c r="BC55" s="3">
        <v>0</v>
      </c>
      <c r="BD55" s="3">
        <f t="shared" si="10"/>
        <v>0</v>
      </c>
      <c r="BE55" s="3">
        <v>0</v>
      </c>
      <c r="BF55" s="3">
        <v>0</v>
      </c>
      <c r="BH55" s="3">
        <f t="shared" si="11"/>
        <v>0</v>
      </c>
      <c r="BJ55" s="38">
        <f t="shared" si="5"/>
        <v>0</v>
      </c>
      <c r="BL55" s="3">
        <f t="shared" si="6"/>
        <v>54100</v>
      </c>
    </row>
    <row r="56" spans="1:64" x14ac:dyDescent="0.35">
      <c r="A56" s="1" t="s">
        <v>245</v>
      </c>
      <c r="B56" s="1" t="str">
        <f t="shared" si="1"/>
        <v>Premium</v>
      </c>
      <c r="C56" s="1" t="s">
        <v>46</v>
      </c>
      <c r="D56" s="1" t="s">
        <v>47</v>
      </c>
      <c r="E56" s="1" t="s">
        <v>48</v>
      </c>
      <c r="F56" s="1" t="s">
        <v>193</v>
      </c>
      <c r="G56" s="1" t="s">
        <v>194</v>
      </c>
      <c r="H56" s="1" t="s">
        <v>51</v>
      </c>
      <c r="I56" s="1" t="s">
        <v>52</v>
      </c>
      <c r="J56" s="1" t="s">
        <v>246</v>
      </c>
      <c r="K56" s="1" t="s">
        <v>54</v>
      </c>
      <c r="L56" s="1" t="s">
        <v>70</v>
      </c>
      <c r="M56" s="1" t="s">
        <v>100</v>
      </c>
      <c r="N56" s="1" t="s">
        <v>57</v>
      </c>
      <c r="O56" s="1" t="s">
        <v>58</v>
      </c>
      <c r="P56" s="1" t="s">
        <v>247</v>
      </c>
      <c r="Q56" s="1" t="s">
        <v>248</v>
      </c>
      <c r="R56" s="1" t="s">
        <v>61</v>
      </c>
      <c r="S56" s="1">
        <v>0</v>
      </c>
      <c r="T56" s="2">
        <f>U56*0.98*0.965</f>
        <v>95676.29717111864</v>
      </c>
      <c r="U56" s="13">
        <v>101169.81830508474</v>
      </c>
      <c r="V56" s="13">
        <v>0</v>
      </c>
      <c r="W56" s="13">
        <v>8732.1519728813582</v>
      </c>
      <c r="X56" s="13"/>
      <c r="Y56" s="2">
        <f>(U56*0.88-S56-V56-W56-X56)*1.18/0.92</f>
        <v>102989.99999999999</v>
      </c>
      <c r="Z56" s="1">
        <v>102990</v>
      </c>
      <c r="AA56" s="5"/>
      <c r="AB56" s="5"/>
      <c r="AC56" s="14">
        <v>102990</v>
      </c>
      <c r="AD56" s="5">
        <f t="shared" si="7"/>
        <v>-1.1345561025506361E-11</v>
      </c>
      <c r="AE56" s="5"/>
      <c r="AF56" s="5">
        <f t="shared" si="8"/>
        <v>8732.1519728813582</v>
      </c>
      <c r="AG56" s="5"/>
      <c r="AH56" s="13">
        <v>0</v>
      </c>
      <c r="AI56" s="13">
        <v>8732.1519728813582</v>
      </c>
      <c r="AJ56" s="5"/>
      <c r="AL56" s="5"/>
      <c r="AM56" s="5">
        <v>102989.99999999999</v>
      </c>
      <c r="AN56" s="5">
        <f t="shared" si="2"/>
        <v>0</v>
      </c>
      <c r="AO56" s="5"/>
      <c r="AP56" s="5">
        <f t="shared" si="15"/>
        <v>101169.81830508474</v>
      </c>
      <c r="AQ56" s="20">
        <v>0</v>
      </c>
      <c r="AR56" s="20">
        <v>8732.1519728813582</v>
      </c>
      <c r="AT56" s="3">
        <v>0</v>
      </c>
      <c r="AV56" s="5">
        <f t="shared" si="9"/>
        <v>0</v>
      </c>
      <c r="AX56" s="38">
        <f t="shared" si="4"/>
        <v>0</v>
      </c>
      <c r="BA56" s="3">
        <v>0</v>
      </c>
      <c r="BB56" s="3">
        <v>0</v>
      </c>
      <c r="BC56" s="3">
        <v>0</v>
      </c>
      <c r="BD56" s="3">
        <f t="shared" si="10"/>
        <v>0</v>
      </c>
      <c r="BE56" s="3">
        <v>217</v>
      </c>
      <c r="BF56" s="3">
        <v>0</v>
      </c>
      <c r="BH56" s="3">
        <f t="shared" si="11"/>
        <v>0</v>
      </c>
      <c r="BJ56" s="38">
        <f t="shared" si="5"/>
        <v>0</v>
      </c>
      <c r="BL56" s="3">
        <f t="shared" si="6"/>
        <v>119380.38559999999</v>
      </c>
    </row>
    <row r="57" spans="1:64" x14ac:dyDescent="0.35">
      <c r="A57" s="1" t="s">
        <v>249</v>
      </c>
      <c r="B57" s="1" t="str">
        <f t="shared" si="1"/>
        <v>Mainstream</v>
      </c>
      <c r="C57" s="1" t="s">
        <v>79</v>
      </c>
      <c r="D57" s="1" t="s">
        <v>121</v>
      </c>
      <c r="E57" s="1" t="s">
        <v>81</v>
      </c>
      <c r="F57" s="1" t="s">
        <v>82</v>
      </c>
      <c r="G57" s="1" t="s">
        <v>159</v>
      </c>
      <c r="H57" s="1" t="s">
        <v>123</v>
      </c>
      <c r="I57" s="1" t="s">
        <v>117</v>
      </c>
      <c r="J57" s="1" t="s">
        <v>160</v>
      </c>
      <c r="K57" s="1" t="s">
        <v>92</v>
      </c>
      <c r="L57" s="1" t="s">
        <v>70</v>
      </c>
      <c r="M57" s="1" t="s">
        <v>56</v>
      </c>
      <c r="N57" s="1" t="s">
        <v>57</v>
      </c>
      <c r="O57" s="1" t="s">
        <v>87</v>
      </c>
      <c r="P57" s="1" t="s">
        <v>250</v>
      </c>
      <c r="Q57" s="1" t="s">
        <v>89</v>
      </c>
      <c r="R57" s="1" t="s">
        <v>61</v>
      </c>
      <c r="S57" s="1">
        <v>725</v>
      </c>
      <c r="T57" s="2">
        <v>38461.009905084749</v>
      </c>
      <c r="U57" s="13">
        <v>40669.355932203391</v>
      </c>
      <c r="V57" s="13">
        <v>0</v>
      </c>
      <c r="W57" s="13">
        <v>4292.0827118644047</v>
      </c>
      <c r="X57" s="13"/>
      <c r="Y57" s="2">
        <f>(U57*0.89-S57-V57-W57-X57)*1.18/0.92</f>
        <v>39990</v>
      </c>
      <c r="Z57" s="18">
        <f t="shared" ref="Z57:Z63" si="16">AC57</f>
        <v>39990</v>
      </c>
      <c r="AA57" s="5" t="s">
        <v>90</v>
      </c>
      <c r="AB57" s="5"/>
      <c r="AC57" s="14">
        <v>39990</v>
      </c>
      <c r="AD57" s="5">
        <f t="shared" si="7"/>
        <v>0</v>
      </c>
      <c r="AE57" s="5"/>
      <c r="AF57" s="5">
        <f t="shared" si="8"/>
        <v>4292.0827118644047</v>
      </c>
      <c r="AG57" s="5"/>
      <c r="AH57" s="13">
        <v>0</v>
      </c>
      <c r="AI57" s="13">
        <v>4292.0827118644047</v>
      </c>
      <c r="AJ57" s="5"/>
      <c r="AL57" s="5"/>
      <c r="AM57" s="5">
        <v>39990</v>
      </c>
      <c r="AN57" s="5">
        <f t="shared" si="2"/>
        <v>0</v>
      </c>
      <c r="AO57" s="5"/>
      <c r="AP57" s="5">
        <f t="shared" si="15"/>
        <v>40669.355932203391</v>
      </c>
      <c r="AQ57" s="20">
        <v>0</v>
      </c>
      <c r="AR57" s="20">
        <v>4292.0827118644047</v>
      </c>
      <c r="AT57" s="3">
        <v>0</v>
      </c>
      <c r="AV57" s="5">
        <f t="shared" si="9"/>
        <v>0</v>
      </c>
      <c r="AX57" s="38">
        <f t="shared" si="4"/>
        <v>0</v>
      </c>
      <c r="BA57" s="3">
        <v>0</v>
      </c>
      <c r="BB57" s="3">
        <v>0</v>
      </c>
      <c r="BC57" s="3">
        <v>0</v>
      </c>
      <c r="BD57" s="3">
        <f t="shared" si="10"/>
        <v>0</v>
      </c>
      <c r="BE57" s="3">
        <v>16</v>
      </c>
      <c r="BF57" s="3">
        <v>23</v>
      </c>
      <c r="BH57" s="3">
        <f t="shared" si="11"/>
        <v>0</v>
      </c>
      <c r="BJ57" s="38">
        <f t="shared" si="5"/>
        <v>0</v>
      </c>
      <c r="BL57" s="3">
        <f t="shared" si="6"/>
        <v>47989.84</v>
      </c>
    </row>
    <row r="58" spans="1:64" x14ac:dyDescent="0.35">
      <c r="A58" s="1" t="s">
        <v>251</v>
      </c>
      <c r="B58" s="1" t="str">
        <f t="shared" si="1"/>
        <v>Mainstream</v>
      </c>
      <c r="C58" s="1" t="s">
        <v>79</v>
      </c>
      <c r="D58" s="1" t="s">
        <v>121</v>
      </c>
      <c r="E58" s="1" t="s">
        <v>81</v>
      </c>
      <c r="F58" s="1" t="s">
        <v>82</v>
      </c>
      <c r="G58" s="1" t="s">
        <v>159</v>
      </c>
      <c r="H58" s="1" t="s">
        <v>123</v>
      </c>
      <c r="I58" s="1" t="s">
        <v>117</v>
      </c>
      <c r="J58" s="1" t="s">
        <v>160</v>
      </c>
      <c r="K58" s="1" t="s">
        <v>92</v>
      </c>
      <c r="L58" s="1" t="s">
        <v>70</v>
      </c>
      <c r="M58" s="1" t="s">
        <v>56</v>
      </c>
      <c r="N58" s="1" t="s">
        <v>57</v>
      </c>
      <c r="O58" s="1" t="s">
        <v>87</v>
      </c>
      <c r="P58" s="1" t="s">
        <v>250</v>
      </c>
      <c r="Q58" s="1" t="s">
        <v>89</v>
      </c>
      <c r="R58" s="1" t="s">
        <v>61</v>
      </c>
      <c r="S58" s="1">
        <v>725</v>
      </c>
      <c r="T58" s="2">
        <v>39262.001776271201</v>
      </c>
      <c r="U58" s="13">
        <v>41516.33898305086</v>
      </c>
      <c r="V58" s="13">
        <v>758</v>
      </c>
      <c r="W58" s="13">
        <v>4287.8976271186511</v>
      </c>
      <c r="X58" s="13"/>
      <c r="Y58" s="2">
        <f>(U58*0.89-S58-V58-W58-X58)*1.18/0.92</f>
        <v>39990</v>
      </c>
      <c r="Z58" s="18">
        <f t="shared" si="16"/>
        <v>39990</v>
      </c>
      <c r="AA58" s="5" t="s">
        <v>90</v>
      </c>
      <c r="AB58" s="5"/>
      <c r="AC58" s="14">
        <v>39990</v>
      </c>
      <c r="AD58" s="5">
        <f t="shared" si="7"/>
        <v>0</v>
      </c>
      <c r="AE58" s="5"/>
      <c r="AF58" s="5">
        <f t="shared" si="8"/>
        <v>4287.8976271186511</v>
      </c>
      <c r="AG58" s="5"/>
      <c r="AH58" s="13">
        <v>758</v>
      </c>
      <c r="AI58" s="13">
        <v>4287.8976271186511</v>
      </c>
      <c r="AJ58" s="5"/>
      <c r="AL58" s="5"/>
      <c r="AM58" s="5">
        <v>39990</v>
      </c>
      <c r="AN58" s="5">
        <f t="shared" si="2"/>
        <v>0</v>
      </c>
      <c r="AO58" s="5"/>
      <c r="AP58" s="5">
        <f t="shared" si="15"/>
        <v>41516.33898305086</v>
      </c>
      <c r="AQ58" s="20">
        <v>758</v>
      </c>
      <c r="AR58" s="20">
        <v>4287.8976271186511</v>
      </c>
      <c r="AT58" s="3">
        <v>2</v>
      </c>
      <c r="AV58" s="5">
        <f t="shared" si="9"/>
        <v>20</v>
      </c>
      <c r="AX58" s="38">
        <f t="shared" si="4"/>
        <v>85757.952542373023</v>
      </c>
      <c r="BA58" s="3">
        <v>0</v>
      </c>
      <c r="BB58" s="3">
        <v>-2</v>
      </c>
      <c r="BC58" s="3">
        <v>0</v>
      </c>
      <c r="BD58" s="3">
        <f t="shared" si="10"/>
        <v>-2</v>
      </c>
      <c r="BE58" s="3">
        <v>2</v>
      </c>
      <c r="BF58" s="3">
        <v>0</v>
      </c>
      <c r="BH58" s="3">
        <f t="shared" si="11"/>
        <v>-4</v>
      </c>
      <c r="BJ58" s="38">
        <f t="shared" si="5"/>
        <v>-3032</v>
      </c>
      <c r="BL58" s="3">
        <f t="shared" si="6"/>
        <v>48989.280000000013</v>
      </c>
    </row>
    <row r="59" spans="1:64" x14ac:dyDescent="0.35">
      <c r="A59" s="1" t="s">
        <v>252</v>
      </c>
      <c r="B59" s="1" t="str">
        <f t="shared" si="1"/>
        <v>Entry</v>
      </c>
      <c r="C59" s="1" t="s">
        <v>253</v>
      </c>
      <c r="D59" s="1" t="s">
        <v>254</v>
      </c>
      <c r="E59" s="1" t="s">
        <v>81</v>
      </c>
      <c r="F59" s="1" t="s">
        <v>146</v>
      </c>
      <c r="G59" s="1" t="s">
        <v>240</v>
      </c>
      <c r="H59" s="1" t="s">
        <v>255</v>
      </c>
      <c r="I59" s="1" t="s">
        <v>124</v>
      </c>
      <c r="J59" s="1" t="s">
        <v>256</v>
      </c>
      <c r="K59" s="1" t="s">
        <v>92</v>
      </c>
      <c r="L59" s="1" t="s">
        <v>70</v>
      </c>
      <c r="M59" s="1" t="s">
        <v>100</v>
      </c>
      <c r="N59" s="1" t="s">
        <v>57</v>
      </c>
      <c r="O59" s="1" t="s">
        <v>87</v>
      </c>
      <c r="P59" s="1" t="s">
        <v>241</v>
      </c>
      <c r="Q59" s="1" t="s">
        <v>165</v>
      </c>
      <c r="R59" s="1" t="s">
        <v>73</v>
      </c>
      <c r="S59" s="1">
        <v>0</v>
      </c>
      <c r="T59" s="2">
        <v>25487.225423728818</v>
      </c>
      <c r="U59" s="13">
        <v>26708</v>
      </c>
      <c r="V59" s="13">
        <v>0</v>
      </c>
      <c r="W59" s="13">
        <v>3571</v>
      </c>
      <c r="X59" s="13"/>
      <c r="Y59" s="2">
        <f>(U59*0.98-S59-V59-W59-X59)*1.18/0.92</f>
        <v>28990.599130434777</v>
      </c>
      <c r="Z59" s="18">
        <f t="shared" si="16"/>
        <v>28990</v>
      </c>
      <c r="AA59" s="5" t="s">
        <v>90</v>
      </c>
      <c r="AB59" s="5"/>
      <c r="AC59" s="14">
        <v>28990</v>
      </c>
      <c r="AD59" s="5">
        <f t="shared" si="7"/>
        <v>0.46711864406356424</v>
      </c>
      <c r="AE59" s="5"/>
      <c r="AF59" s="5">
        <f t="shared" si="8"/>
        <v>3571</v>
      </c>
      <c r="AG59" s="5"/>
      <c r="AH59" s="13">
        <v>0</v>
      </c>
      <c r="AI59" s="13">
        <v>3571</v>
      </c>
      <c r="AJ59" s="5"/>
      <c r="AL59" s="5"/>
      <c r="AM59" s="5">
        <v>26989.999999999996</v>
      </c>
      <c r="AN59" s="5">
        <f t="shared" si="2"/>
        <v>2000.5991304347808</v>
      </c>
      <c r="AO59" s="5"/>
      <c r="AP59" s="5">
        <f t="shared" si="15"/>
        <v>26708</v>
      </c>
      <c r="AQ59" s="20">
        <v>0</v>
      </c>
      <c r="AR59" s="20">
        <v>5130.7891525423729</v>
      </c>
      <c r="AT59" s="3">
        <v>19</v>
      </c>
      <c r="AV59" s="5">
        <f t="shared" si="9"/>
        <v>190</v>
      </c>
      <c r="AX59" s="38">
        <f t="shared" si="4"/>
        <v>678490</v>
      </c>
      <c r="BA59" s="3">
        <v>-1</v>
      </c>
      <c r="BB59" s="3">
        <v>0</v>
      </c>
      <c r="BC59" s="3">
        <v>-4</v>
      </c>
      <c r="BD59" s="3">
        <f t="shared" si="10"/>
        <v>-5</v>
      </c>
      <c r="BE59" s="3">
        <v>1</v>
      </c>
      <c r="BF59" s="3">
        <v>6</v>
      </c>
      <c r="BH59" s="3">
        <f t="shared" si="11"/>
        <v>-10</v>
      </c>
      <c r="BJ59" s="38">
        <f t="shared" si="5"/>
        <v>0</v>
      </c>
      <c r="BL59" s="3">
        <f t="shared" si="6"/>
        <v>31515.439999999999</v>
      </c>
    </row>
    <row r="60" spans="1:64" x14ac:dyDescent="0.35">
      <c r="A60" s="1" t="s">
        <v>257</v>
      </c>
      <c r="B60" s="1" t="str">
        <f t="shared" si="1"/>
        <v>Entry</v>
      </c>
      <c r="C60" s="1" t="s">
        <v>253</v>
      </c>
      <c r="D60" s="1" t="s">
        <v>258</v>
      </c>
      <c r="E60" s="1" t="s">
        <v>81</v>
      </c>
      <c r="F60" s="1" t="s">
        <v>146</v>
      </c>
      <c r="G60" s="1" t="s">
        <v>259</v>
      </c>
      <c r="H60" s="1" t="s">
        <v>260</v>
      </c>
      <c r="I60" s="1" t="s">
        <v>261</v>
      </c>
      <c r="J60" s="1" t="s">
        <v>262</v>
      </c>
      <c r="K60" s="1" t="s">
        <v>92</v>
      </c>
      <c r="L60" s="1" t="s">
        <v>263</v>
      </c>
      <c r="M60" s="1" t="s">
        <v>100</v>
      </c>
      <c r="N60" s="1" t="s">
        <v>200</v>
      </c>
      <c r="O60" s="1" t="s">
        <v>87</v>
      </c>
      <c r="P60" s="1" t="s">
        <v>264</v>
      </c>
      <c r="Q60" s="1" t="s">
        <v>165</v>
      </c>
      <c r="R60" s="1" t="s">
        <v>73</v>
      </c>
      <c r="S60" s="1"/>
      <c r="T60" s="2">
        <v>22561</v>
      </c>
      <c r="U60" s="13">
        <v>23491.525423728814</v>
      </c>
      <c r="V60" s="13">
        <v>0</v>
      </c>
      <c r="W60" s="13">
        <v>2368</v>
      </c>
      <c r="X60" s="13"/>
      <c r="Y60" s="2">
        <f>(U60*0.98-S60-V60-W60-X60)*1.18/0.92</f>
        <v>26490.608695652169</v>
      </c>
      <c r="Z60" s="18">
        <f t="shared" si="16"/>
        <v>26490</v>
      </c>
      <c r="AA60" s="5" t="s">
        <v>90</v>
      </c>
      <c r="AB60" s="5"/>
      <c r="AC60" s="14">
        <v>26490</v>
      </c>
      <c r="AD60" s="5">
        <f t="shared" si="7"/>
        <v>0.47457627118224782</v>
      </c>
      <c r="AE60" s="5"/>
      <c r="AF60" s="5">
        <f t="shared" si="8"/>
        <v>2368</v>
      </c>
      <c r="AG60" s="5"/>
      <c r="AH60" s="13">
        <v>0</v>
      </c>
      <c r="AI60" s="13">
        <v>2368</v>
      </c>
      <c r="AJ60" s="5"/>
      <c r="AL60" s="5"/>
      <c r="AM60" s="5">
        <v>26489.999999999996</v>
      </c>
      <c r="AN60" s="5">
        <f t="shared" si="2"/>
        <v>0.60869565217217314</v>
      </c>
      <c r="AO60" s="5"/>
      <c r="AP60" s="5">
        <f t="shared" si="15"/>
        <v>23491.525423728814</v>
      </c>
      <c r="AQ60" s="20">
        <v>0</v>
      </c>
      <c r="AR60" s="20">
        <v>2368.4745762711864</v>
      </c>
      <c r="AT60" s="3">
        <v>25</v>
      </c>
      <c r="AV60" s="5">
        <f t="shared" si="9"/>
        <v>250</v>
      </c>
      <c r="AX60" s="38">
        <f t="shared" si="4"/>
        <v>592000</v>
      </c>
      <c r="BA60" s="3">
        <v>-23</v>
      </c>
      <c r="BB60" s="3">
        <v>28</v>
      </c>
      <c r="BC60" s="3">
        <v>-1</v>
      </c>
      <c r="BD60" s="3">
        <f t="shared" si="10"/>
        <v>4</v>
      </c>
      <c r="BE60" s="3">
        <v>0</v>
      </c>
      <c r="BF60" s="3">
        <v>0</v>
      </c>
      <c r="BH60" s="3">
        <f t="shared" si="11"/>
        <v>8</v>
      </c>
      <c r="BJ60" s="38">
        <f t="shared" si="5"/>
        <v>0</v>
      </c>
      <c r="BL60" s="3">
        <f t="shared" si="6"/>
        <v>27720</v>
      </c>
    </row>
    <row r="61" spans="1:64" x14ac:dyDescent="0.35">
      <c r="A61" s="1" t="s">
        <v>265</v>
      </c>
      <c r="B61" s="1" t="str">
        <f t="shared" si="1"/>
        <v>Entry</v>
      </c>
      <c r="C61" s="1" t="s">
        <v>253</v>
      </c>
      <c r="D61" s="1" t="s">
        <v>258</v>
      </c>
      <c r="E61" s="1" t="s">
        <v>81</v>
      </c>
      <c r="F61" s="1" t="s">
        <v>146</v>
      </c>
      <c r="G61" s="1" t="s">
        <v>259</v>
      </c>
      <c r="H61" s="1" t="s">
        <v>260</v>
      </c>
      <c r="I61" s="1" t="s">
        <v>266</v>
      </c>
      <c r="J61" s="1" t="s">
        <v>262</v>
      </c>
      <c r="K61" s="1" t="s">
        <v>92</v>
      </c>
      <c r="L61" s="1" t="s">
        <v>263</v>
      </c>
      <c r="M61" s="1" t="s">
        <v>100</v>
      </c>
      <c r="N61" s="1" t="s">
        <v>57</v>
      </c>
      <c r="O61" s="1" t="s">
        <v>87</v>
      </c>
      <c r="P61" s="1" t="s">
        <v>264</v>
      </c>
      <c r="Q61" s="1" t="s">
        <v>165</v>
      </c>
      <c r="R61" s="8" t="s">
        <v>73</v>
      </c>
      <c r="S61" s="1"/>
      <c r="T61" s="2">
        <v>22561</v>
      </c>
      <c r="U61" s="13">
        <v>23491.525423728814</v>
      </c>
      <c r="V61" s="13">
        <v>0</v>
      </c>
      <c r="W61" s="13">
        <v>2368</v>
      </c>
      <c r="X61" s="13"/>
      <c r="Y61" s="2">
        <f>(U61*0.98-S61-V61-W61-X61)*1.18/0.92</f>
        <v>26490.608695652169</v>
      </c>
      <c r="Z61" s="18">
        <f t="shared" si="16"/>
        <v>26490</v>
      </c>
      <c r="AA61" s="5" t="s">
        <v>90</v>
      </c>
      <c r="AB61" s="5"/>
      <c r="AC61" s="14">
        <v>26490</v>
      </c>
      <c r="AD61" s="5">
        <f t="shared" si="7"/>
        <v>0.47457627118224782</v>
      </c>
      <c r="AE61" s="5"/>
      <c r="AF61" s="5">
        <f t="shared" si="8"/>
        <v>2368</v>
      </c>
      <c r="AG61" s="5"/>
      <c r="AH61" s="13">
        <v>0</v>
      </c>
      <c r="AI61" s="13">
        <v>2368</v>
      </c>
      <c r="AJ61" s="5"/>
      <c r="AL61" s="5"/>
      <c r="AM61" s="5">
        <v>26489.999999999996</v>
      </c>
      <c r="AN61" s="5">
        <f t="shared" si="2"/>
        <v>0.60869565217217314</v>
      </c>
      <c r="AO61" s="5"/>
      <c r="AP61" s="5">
        <f t="shared" si="15"/>
        <v>23491.525423728814</v>
      </c>
      <c r="AQ61" s="20">
        <v>0</v>
      </c>
      <c r="AR61" s="20">
        <v>2368.4745762711864</v>
      </c>
      <c r="AT61" s="3">
        <v>16</v>
      </c>
      <c r="AV61" s="5">
        <f t="shared" si="9"/>
        <v>160</v>
      </c>
      <c r="AX61" s="38">
        <f t="shared" si="4"/>
        <v>378880</v>
      </c>
      <c r="BA61" s="3">
        <v>0</v>
      </c>
      <c r="BB61" s="3">
        <v>484</v>
      </c>
      <c r="BC61" s="3">
        <v>72</v>
      </c>
      <c r="BD61" s="3">
        <f t="shared" si="10"/>
        <v>556</v>
      </c>
      <c r="BE61" s="3">
        <v>186</v>
      </c>
      <c r="BF61" s="3">
        <v>0</v>
      </c>
      <c r="BH61" s="3">
        <f t="shared" si="11"/>
        <v>1029</v>
      </c>
      <c r="BJ61" s="38">
        <f t="shared" si="5"/>
        <v>0</v>
      </c>
      <c r="BL61" s="3">
        <f t="shared" si="6"/>
        <v>27720</v>
      </c>
    </row>
    <row r="62" spans="1:64" x14ac:dyDescent="0.35">
      <c r="A62" s="1" t="s">
        <v>267</v>
      </c>
      <c r="B62" s="1" t="str">
        <f t="shared" si="1"/>
        <v>Mainstream</v>
      </c>
      <c r="C62" s="1" t="s">
        <v>79</v>
      </c>
      <c r="D62" s="1" t="s">
        <v>210</v>
      </c>
      <c r="E62" s="1" t="s">
        <v>81</v>
      </c>
      <c r="F62" s="1" t="s">
        <v>82</v>
      </c>
      <c r="G62" s="1" t="s">
        <v>268</v>
      </c>
      <c r="H62" s="1" t="s">
        <v>212</v>
      </c>
      <c r="I62" s="1" t="s">
        <v>68</v>
      </c>
      <c r="J62" s="1" t="s">
        <v>213</v>
      </c>
      <c r="K62" s="1" t="s">
        <v>92</v>
      </c>
      <c r="L62" s="1" t="s">
        <v>70</v>
      </c>
      <c r="M62" s="1" t="s">
        <v>56</v>
      </c>
      <c r="N62" s="1" t="s">
        <v>57</v>
      </c>
      <c r="O62" s="1" t="s">
        <v>87</v>
      </c>
      <c r="P62" s="1" t="s">
        <v>88</v>
      </c>
      <c r="Q62" s="1" t="s">
        <v>89</v>
      </c>
      <c r="R62" s="1" t="s">
        <v>61</v>
      </c>
      <c r="S62" s="1"/>
      <c r="T62" s="2">
        <v>35655.727100000004</v>
      </c>
      <c r="U62" s="13">
        <v>37703</v>
      </c>
      <c r="V62" s="13">
        <v>817.70389830507702</v>
      </c>
      <c r="W62" s="13">
        <v>4678</v>
      </c>
      <c r="X62" s="13"/>
      <c r="Y62" s="2">
        <f>(U62*0.89-S62-V62-W62-X62)*1.18/0.92</f>
        <v>35989.956521739128</v>
      </c>
      <c r="Z62" s="18">
        <f t="shared" si="16"/>
        <v>39490</v>
      </c>
      <c r="AA62" s="5" t="s">
        <v>90</v>
      </c>
      <c r="AB62" s="5"/>
      <c r="AC62" s="14">
        <v>39490</v>
      </c>
      <c r="AD62" s="5">
        <v>0</v>
      </c>
      <c r="AE62" s="5"/>
      <c r="AF62" s="5">
        <f t="shared" si="8"/>
        <v>4678</v>
      </c>
      <c r="AG62" s="5"/>
      <c r="AH62" s="13">
        <v>817.70389830507702</v>
      </c>
      <c r="AI62" s="13">
        <v>4678</v>
      </c>
      <c r="AJ62" s="5"/>
      <c r="AL62" s="5"/>
      <c r="AM62" s="5">
        <v>35989.956521739128</v>
      </c>
      <c r="AN62" s="5">
        <f t="shared" si="2"/>
        <v>0</v>
      </c>
      <c r="AO62" s="5"/>
      <c r="AP62" s="5">
        <f t="shared" si="15"/>
        <v>37703</v>
      </c>
      <c r="AQ62" s="20">
        <v>817.70389830507702</v>
      </c>
      <c r="AR62" s="20">
        <v>3118.6440677966166</v>
      </c>
      <c r="AT62" s="3">
        <v>0</v>
      </c>
      <c r="AV62" s="5">
        <f t="shared" si="9"/>
        <v>0</v>
      </c>
      <c r="AX62" s="38">
        <f t="shared" si="4"/>
        <v>0</v>
      </c>
      <c r="BA62" s="3">
        <v>0</v>
      </c>
      <c r="BB62" s="3">
        <v>0</v>
      </c>
      <c r="BC62" s="3">
        <v>0</v>
      </c>
      <c r="BD62" s="3">
        <f t="shared" si="10"/>
        <v>0</v>
      </c>
      <c r="BE62" s="3">
        <v>9</v>
      </c>
      <c r="BF62" s="3">
        <v>0</v>
      </c>
      <c r="BH62" s="3">
        <f t="shared" si="11"/>
        <v>0</v>
      </c>
      <c r="BJ62" s="38">
        <f t="shared" si="5"/>
        <v>0</v>
      </c>
      <c r="BL62" s="3">
        <f t="shared" si="6"/>
        <v>44489.54</v>
      </c>
    </row>
    <row r="63" spans="1:64" x14ac:dyDescent="0.35">
      <c r="A63" s="1" t="s">
        <v>269</v>
      </c>
      <c r="B63" s="1" t="str">
        <f t="shared" si="1"/>
        <v>Mainstream</v>
      </c>
      <c r="C63" s="1" t="s">
        <v>79</v>
      </c>
      <c r="D63" s="1" t="s">
        <v>210</v>
      </c>
      <c r="E63" s="1" t="s">
        <v>81</v>
      </c>
      <c r="F63" s="1" t="s">
        <v>82</v>
      </c>
      <c r="G63" s="1" t="s">
        <v>270</v>
      </c>
      <c r="H63" s="1" t="s">
        <v>212</v>
      </c>
      <c r="I63" s="1" t="s">
        <v>68</v>
      </c>
      <c r="J63" s="1" t="s">
        <v>213</v>
      </c>
      <c r="K63" s="1" t="s">
        <v>92</v>
      </c>
      <c r="L63" s="1" t="s">
        <v>70</v>
      </c>
      <c r="M63" s="1" t="s">
        <v>100</v>
      </c>
      <c r="N63" s="1" t="s">
        <v>57</v>
      </c>
      <c r="O63" s="1" t="s">
        <v>87</v>
      </c>
      <c r="P63" s="1" t="s">
        <v>88</v>
      </c>
      <c r="Q63" s="1" t="s">
        <v>89</v>
      </c>
      <c r="R63" s="1" t="s">
        <v>61</v>
      </c>
      <c r="S63" s="1">
        <v>725</v>
      </c>
      <c r="T63" s="2">
        <v>35557.221395924586</v>
      </c>
      <c r="U63" s="13">
        <v>37598.838316511145</v>
      </c>
      <c r="V63" s="13">
        <v>0</v>
      </c>
      <c r="W63" s="13">
        <v>4678</v>
      </c>
      <c r="X63" s="13"/>
      <c r="Y63" s="2">
        <f>(U63*0.89-S63-V63-W63-X63)*1.18/0.92</f>
        <v>35989.956521739128</v>
      </c>
      <c r="Z63" s="18">
        <f t="shared" si="16"/>
        <v>39490</v>
      </c>
      <c r="AA63" s="5" t="s">
        <v>90</v>
      </c>
      <c r="AB63" s="5"/>
      <c r="AC63" s="14">
        <v>39490</v>
      </c>
      <c r="AD63" s="5">
        <v>0</v>
      </c>
      <c r="AE63" s="5"/>
      <c r="AF63" s="5">
        <f t="shared" si="8"/>
        <v>4678</v>
      </c>
      <c r="AG63" s="5"/>
      <c r="AH63" s="13">
        <v>0</v>
      </c>
      <c r="AI63" s="13">
        <v>4678</v>
      </c>
      <c r="AJ63" s="5"/>
      <c r="AL63" s="5"/>
      <c r="AM63" s="5">
        <v>35989.956521739128</v>
      </c>
      <c r="AN63" s="5">
        <f t="shared" si="2"/>
        <v>0</v>
      </c>
      <c r="AO63" s="5"/>
      <c r="AP63" s="5">
        <f t="shared" si="15"/>
        <v>37598.838316511145</v>
      </c>
      <c r="AQ63" s="20">
        <v>0</v>
      </c>
      <c r="AR63" s="20">
        <v>3118.6440677966129</v>
      </c>
      <c r="AT63" s="3">
        <v>0</v>
      </c>
      <c r="AV63" s="5">
        <f t="shared" si="9"/>
        <v>0</v>
      </c>
      <c r="AX63" s="38">
        <f t="shared" si="4"/>
        <v>0</v>
      </c>
      <c r="BA63" s="3">
        <v>0</v>
      </c>
      <c r="BB63" s="3">
        <v>0</v>
      </c>
      <c r="BC63" s="3">
        <v>0</v>
      </c>
      <c r="BD63" s="3">
        <f t="shared" si="10"/>
        <v>0</v>
      </c>
      <c r="BE63" s="3">
        <v>0</v>
      </c>
      <c r="BF63" s="3">
        <v>0</v>
      </c>
      <c r="BH63" s="3">
        <f t="shared" si="11"/>
        <v>0</v>
      </c>
      <c r="BJ63" s="38">
        <f t="shared" si="5"/>
        <v>0</v>
      </c>
      <c r="BL63" s="3">
        <f t="shared" si="6"/>
        <v>44366.629213483146</v>
      </c>
    </row>
    <row r="64" spans="1:64" x14ac:dyDescent="0.35">
      <c r="A64" s="1" t="s">
        <v>271</v>
      </c>
      <c r="B64" s="1" t="str">
        <f t="shared" si="1"/>
        <v>Mainstream</v>
      </c>
      <c r="C64" s="1" t="s">
        <v>46</v>
      </c>
      <c r="D64" s="1" t="s">
        <v>233</v>
      </c>
      <c r="E64" s="1" t="s">
        <v>48</v>
      </c>
      <c r="F64" s="1" t="s">
        <v>65</v>
      </c>
      <c r="G64" s="1" t="s">
        <v>234</v>
      </c>
      <c r="H64" s="1" t="s">
        <v>84</v>
      </c>
      <c r="I64" s="1" t="s">
        <v>85</v>
      </c>
      <c r="J64" s="1" t="s">
        <v>272</v>
      </c>
      <c r="K64" s="1" t="s">
        <v>54</v>
      </c>
      <c r="L64" s="1" t="s">
        <v>70</v>
      </c>
      <c r="M64" s="1" t="s">
        <v>100</v>
      </c>
      <c r="N64" s="1" t="s">
        <v>139</v>
      </c>
      <c r="O64" s="1" t="s">
        <v>143</v>
      </c>
      <c r="P64" s="1" t="s">
        <v>129</v>
      </c>
      <c r="Q64" s="1" t="s">
        <v>140</v>
      </c>
      <c r="R64" s="1" t="s">
        <v>73</v>
      </c>
      <c r="S64" s="1"/>
      <c r="T64" s="2">
        <f>U64*0.98*0.98</f>
        <v>45985.254237288129</v>
      </c>
      <c r="U64" s="13">
        <v>47881.355932203391</v>
      </c>
      <c r="V64" s="13">
        <v>0</v>
      </c>
      <c r="W64" s="13">
        <v>5609.4915254237276</v>
      </c>
      <c r="X64" s="13"/>
      <c r="Y64" s="2">
        <f t="shared" ref="Y64:Y80" si="17">(U64*0.98-S64-V64-W64-X64)*1.18/0.92</f>
        <v>52989.999999999993</v>
      </c>
      <c r="Z64" s="1">
        <v>52990</v>
      </c>
      <c r="AA64" s="5"/>
      <c r="AB64" s="5"/>
      <c r="AC64" s="14">
        <v>52990</v>
      </c>
      <c r="AD64" s="5">
        <f t="shared" si="7"/>
        <v>-5.6727805127531806E-12</v>
      </c>
      <c r="AE64" s="5"/>
      <c r="AF64" s="5">
        <f t="shared" si="8"/>
        <v>5609.4915254237276</v>
      </c>
      <c r="AG64" s="5"/>
      <c r="AH64" s="13">
        <v>0</v>
      </c>
      <c r="AI64" s="13">
        <v>5609.4915254237276</v>
      </c>
      <c r="AJ64" s="5"/>
      <c r="AL64" s="5"/>
      <c r="AM64" s="5">
        <v>52989.999999999993</v>
      </c>
      <c r="AN64" s="5">
        <f t="shared" si="2"/>
        <v>0</v>
      </c>
      <c r="AO64" s="5"/>
      <c r="AP64" s="5">
        <f t="shared" si="15"/>
        <v>47881.355932203391</v>
      </c>
      <c r="AQ64" s="20">
        <v>0</v>
      </c>
      <c r="AR64" s="20">
        <v>5609.4915254237276</v>
      </c>
      <c r="AT64" s="3">
        <v>0</v>
      </c>
      <c r="AV64" s="5">
        <f t="shared" si="9"/>
        <v>0</v>
      </c>
      <c r="AX64" s="38">
        <f t="shared" si="4"/>
        <v>0</v>
      </c>
      <c r="BA64" s="3">
        <v>0</v>
      </c>
      <c r="BB64" s="3">
        <v>0</v>
      </c>
      <c r="BC64" s="3">
        <v>0</v>
      </c>
      <c r="BD64" s="3">
        <f t="shared" si="10"/>
        <v>0</v>
      </c>
      <c r="BE64" s="3">
        <v>0</v>
      </c>
      <c r="BF64" s="3">
        <v>13</v>
      </c>
      <c r="BH64" s="3">
        <f t="shared" si="11"/>
        <v>0</v>
      </c>
      <c r="BJ64" s="38">
        <f t="shared" si="5"/>
        <v>0</v>
      </c>
      <c r="BL64" s="3">
        <f t="shared" si="6"/>
        <v>56500</v>
      </c>
    </row>
    <row r="65" spans="1:64" x14ac:dyDescent="0.35">
      <c r="A65" s="1" t="s">
        <v>273</v>
      </c>
      <c r="B65" s="1" t="str">
        <f t="shared" si="1"/>
        <v>Mainstream</v>
      </c>
      <c r="C65" s="1" t="s">
        <v>79</v>
      </c>
      <c r="D65" s="1" t="s">
        <v>80</v>
      </c>
      <c r="E65" s="1" t="s">
        <v>81</v>
      </c>
      <c r="F65" s="1" t="s">
        <v>82</v>
      </c>
      <c r="G65" s="1" t="s">
        <v>83</v>
      </c>
      <c r="H65" s="1" t="s">
        <v>84</v>
      </c>
      <c r="I65" s="1" t="s">
        <v>85</v>
      </c>
      <c r="J65" s="1" t="s">
        <v>274</v>
      </c>
      <c r="K65" s="1" t="s">
        <v>54</v>
      </c>
      <c r="L65" s="1" t="s">
        <v>70</v>
      </c>
      <c r="M65" s="1" t="s">
        <v>100</v>
      </c>
      <c r="N65" s="1" t="s">
        <v>57</v>
      </c>
      <c r="O65" s="1" t="s">
        <v>87</v>
      </c>
      <c r="P65" s="1" t="s">
        <v>161</v>
      </c>
      <c r="Q65" s="1" t="s">
        <v>165</v>
      </c>
      <c r="R65" s="1" t="s">
        <v>73</v>
      </c>
      <c r="S65" s="1">
        <v>0</v>
      </c>
      <c r="T65" s="2">
        <v>39669.403389830513</v>
      </c>
      <c r="U65" s="13">
        <v>41305.084745762717</v>
      </c>
      <c r="V65" s="13">
        <v>847</v>
      </c>
      <c r="W65" s="13">
        <v>2995.7118644067814</v>
      </c>
      <c r="X65" s="13"/>
      <c r="Y65" s="2">
        <f t="shared" si="17"/>
        <v>46990</v>
      </c>
      <c r="Z65" s="18">
        <f>AC65</f>
        <v>46990</v>
      </c>
      <c r="AA65" s="5" t="s">
        <v>90</v>
      </c>
      <c r="AB65" s="5"/>
      <c r="AC65" s="14">
        <v>46990</v>
      </c>
      <c r="AD65" s="5">
        <f t="shared" si="7"/>
        <v>0</v>
      </c>
      <c r="AE65" s="5"/>
      <c r="AF65" s="5">
        <f t="shared" si="8"/>
        <v>2995.7118644067814</v>
      </c>
      <c r="AG65" s="5"/>
      <c r="AH65" s="13">
        <v>847</v>
      </c>
      <c r="AI65" s="13">
        <v>2995.7118644067814</v>
      </c>
      <c r="AJ65" s="5"/>
      <c r="AL65" s="5"/>
      <c r="AM65" s="5">
        <v>46990</v>
      </c>
      <c r="AN65" s="5">
        <f t="shared" si="2"/>
        <v>0</v>
      </c>
      <c r="AO65" s="5"/>
      <c r="AP65" s="5">
        <f t="shared" si="15"/>
        <v>41305.084745762717</v>
      </c>
      <c r="AQ65" s="20">
        <v>847</v>
      </c>
      <c r="AR65" s="20">
        <v>2995.7118644067814</v>
      </c>
      <c r="AT65" s="3">
        <v>5</v>
      </c>
      <c r="AV65" s="5">
        <f t="shared" si="9"/>
        <v>50</v>
      </c>
      <c r="AX65" s="38">
        <f t="shared" si="4"/>
        <v>149785.59322033907</v>
      </c>
      <c r="BA65" s="3">
        <v>0</v>
      </c>
      <c r="BB65" s="3">
        <v>0</v>
      </c>
      <c r="BC65" s="3">
        <v>0</v>
      </c>
      <c r="BD65" s="3">
        <f t="shared" si="10"/>
        <v>0</v>
      </c>
      <c r="BE65" s="3">
        <v>2</v>
      </c>
      <c r="BF65" s="3">
        <v>0</v>
      </c>
      <c r="BH65" s="3">
        <f t="shared" si="11"/>
        <v>0</v>
      </c>
      <c r="BJ65" s="38">
        <f t="shared" si="5"/>
        <v>0</v>
      </c>
      <c r="BL65" s="3">
        <f t="shared" si="6"/>
        <v>48740</v>
      </c>
    </row>
    <row r="66" spans="1:64" x14ac:dyDescent="0.35">
      <c r="A66" s="1" t="s">
        <v>275</v>
      </c>
      <c r="B66" s="1" t="str">
        <f t="shared" si="1"/>
        <v>Mainstream</v>
      </c>
      <c r="C66" s="1" t="s">
        <v>79</v>
      </c>
      <c r="D66" s="1" t="s">
        <v>80</v>
      </c>
      <c r="E66" s="1" t="s">
        <v>81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276</v>
      </c>
      <c r="K66" s="1" t="s">
        <v>54</v>
      </c>
      <c r="L66" s="1" t="s">
        <v>70</v>
      </c>
      <c r="M66" s="1" t="s">
        <v>100</v>
      </c>
      <c r="N66" s="1" t="s">
        <v>200</v>
      </c>
      <c r="O66" s="1" t="s">
        <v>87</v>
      </c>
      <c r="P66" s="1" t="s">
        <v>161</v>
      </c>
      <c r="Q66" s="1" t="s">
        <v>165</v>
      </c>
      <c r="R66" s="1" t="s">
        <v>73</v>
      </c>
      <c r="S66" s="1">
        <v>0</v>
      </c>
      <c r="T66" s="2">
        <v>39669.403389830513</v>
      </c>
      <c r="U66" s="13">
        <v>41305.084745762717</v>
      </c>
      <c r="V66" s="13">
        <v>847</v>
      </c>
      <c r="W66" s="13">
        <v>2995.7118644067814</v>
      </c>
      <c r="X66" s="13"/>
      <c r="Y66" s="2">
        <f t="shared" si="17"/>
        <v>46990</v>
      </c>
      <c r="Z66" s="18">
        <f>AC66</f>
        <v>46990</v>
      </c>
      <c r="AA66" s="5" t="s">
        <v>90</v>
      </c>
      <c r="AB66" s="5"/>
      <c r="AC66" s="14">
        <v>46990</v>
      </c>
      <c r="AD66" s="5">
        <f t="shared" si="7"/>
        <v>0</v>
      </c>
      <c r="AE66" s="5"/>
      <c r="AF66" s="5">
        <f t="shared" si="8"/>
        <v>2995.7118644067814</v>
      </c>
      <c r="AG66" s="5"/>
      <c r="AH66" s="13">
        <v>847</v>
      </c>
      <c r="AI66" s="13">
        <v>2995.7118644067814</v>
      </c>
      <c r="AJ66" s="5"/>
      <c r="AL66" s="5"/>
      <c r="AM66" s="5">
        <v>46990</v>
      </c>
      <c r="AN66" s="5">
        <f t="shared" si="2"/>
        <v>0</v>
      </c>
      <c r="AO66" s="5"/>
      <c r="AP66" s="5">
        <f t="shared" si="15"/>
        <v>41305.084745762717</v>
      </c>
      <c r="AQ66" s="20">
        <v>847</v>
      </c>
      <c r="AR66" s="20">
        <v>2995.7118644067814</v>
      </c>
      <c r="AT66" s="3">
        <v>0</v>
      </c>
      <c r="AV66" s="5">
        <f t="shared" si="9"/>
        <v>0</v>
      </c>
      <c r="AX66" s="38">
        <f t="shared" si="4"/>
        <v>0</v>
      </c>
      <c r="BA66" s="3">
        <v>0</v>
      </c>
      <c r="BB66" s="3">
        <v>0</v>
      </c>
      <c r="BC66" s="3">
        <v>0</v>
      </c>
      <c r="BD66" s="3">
        <f t="shared" si="10"/>
        <v>0</v>
      </c>
      <c r="BE66" s="3">
        <v>1</v>
      </c>
      <c r="BF66" s="3">
        <v>0</v>
      </c>
      <c r="BH66" s="3">
        <f t="shared" si="11"/>
        <v>0</v>
      </c>
      <c r="BJ66" s="38">
        <f t="shared" si="5"/>
        <v>0</v>
      </c>
      <c r="BL66" s="3">
        <f t="shared" si="6"/>
        <v>48740</v>
      </c>
    </row>
    <row r="67" spans="1:64" x14ac:dyDescent="0.35">
      <c r="A67" s="1" t="s">
        <v>277</v>
      </c>
      <c r="B67" s="1" t="str">
        <f t="shared" ref="B67:B130" si="18">IF(BL67&lt;40000,"Entry",IF(BL67&gt;65000,"Premium","Mainstream"))</f>
        <v>Mainstream</v>
      </c>
      <c r="C67" s="1" t="s">
        <v>46</v>
      </c>
      <c r="D67" s="1" t="s">
        <v>135</v>
      </c>
      <c r="E67" s="1" t="s">
        <v>48</v>
      </c>
      <c r="F67" s="1" t="s">
        <v>65</v>
      </c>
      <c r="G67" s="1" t="s">
        <v>76</v>
      </c>
      <c r="H67" s="1" t="s">
        <v>123</v>
      </c>
      <c r="I67" s="1" t="s">
        <v>52</v>
      </c>
      <c r="J67" s="1" t="s">
        <v>278</v>
      </c>
      <c r="K67" s="1" t="s">
        <v>92</v>
      </c>
      <c r="L67" s="1" t="s">
        <v>70</v>
      </c>
      <c r="M67" s="1" t="s">
        <v>56</v>
      </c>
      <c r="N67" s="1" t="s">
        <v>139</v>
      </c>
      <c r="O67" s="1" t="s">
        <v>143</v>
      </c>
      <c r="P67" s="1" t="s">
        <v>129</v>
      </c>
      <c r="Q67" s="1" t="s">
        <v>72</v>
      </c>
      <c r="R67" s="1" t="s">
        <v>73</v>
      </c>
      <c r="S67" s="1">
        <v>725</v>
      </c>
      <c r="T67" s="2">
        <f>U67*0.98*0.98</f>
        <v>44104.742203389826</v>
      </c>
      <c r="U67" s="13">
        <v>45923.305084745763</v>
      </c>
      <c r="V67" s="13">
        <v>0</v>
      </c>
      <c r="W67" s="13">
        <v>5304.5847457627096</v>
      </c>
      <c r="X67" s="13"/>
      <c r="Y67" s="2">
        <f t="shared" si="17"/>
        <v>49989.999999999993</v>
      </c>
      <c r="Z67" s="1">
        <v>49990</v>
      </c>
      <c r="AA67" s="5"/>
      <c r="AB67" s="5"/>
      <c r="AC67" s="14">
        <v>49990</v>
      </c>
      <c r="AD67" s="5">
        <f t="shared" si="7"/>
        <v>-5.6727805127531806E-12</v>
      </c>
      <c r="AE67" s="5"/>
      <c r="AF67" s="5">
        <f t="shared" si="8"/>
        <v>5304.5847457627096</v>
      </c>
      <c r="AG67" s="5"/>
      <c r="AH67" s="13">
        <v>0</v>
      </c>
      <c r="AI67" s="13">
        <v>5304.5847457627096</v>
      </c>
      <c r="AJ67" s="5"/>
      <c r="AL67" s="5"/>
      <c r="AM67" s="5">
        <v>49989.999999999993</v>
      </c>
      <c r="AN67" s="5">
        <f t="shared" ref="AN67:AN130" si="19">Y67-AM67</f>
        <v>0</v>
      </c>
      <c r="AO67" s="5"/>
      <c r="AP67" s="5">
        <f t="shared" si="15"/>
        <v>45923.305084745763</v>
      </c>
      <c r="AQ67" s="20">
        <v>0</v>
      </c>
      <c r="AR67" s="20">
        <v>5304.5847457627096</v>
      </c>
      <c r="AT67" s="3">
        <v>0</v>
      </c>
      <c r="AV67" s="5">
        <f t="shared" si="9"/>
        <v>0</v>
      </c>
      <c r="AX67" s="38">
        <f t="shared" ref="AX67:AX130" si="20">AV67*W67</f>
        <v>0</v>
      </c>
      <c r="BA67" s="3">
        <v>0</v>
      </c>
      <c r="BB67" s="3">
        <v>0</v>
      </c>
      <c r="BC67" s="3">
        <v>0</v>
      </c>
      <c r="BD67" s="3">
        <f t="shared" si="10"/>
        <v>0</v>
      </c>
      <c r="BE67" s="3">
        <v>0</v>
      </c>
      <c r="BF67" s="3">
        <v>0</v>
      </c>
      <c r="BH67" s="3">
        <f t="shared" si="11"/>
        <v>0</v>
      </c>
      <c r="BJ67" s="38">
        <f t="shared" ref="BJ67:BJ130" si="21">BH67*V67</f>
        <v>0</v>
      </c>
      <c r="BL67" s="3">
        <f t="shared" ref="BL67:BL130" si="22">U67*1.18</f>
        <v>54189.5</v>
      </c>
    </row>
    <row r="68" spans="1:64" x14ac:dyDescent="0.35">
      <c r="A68" s="1" t="s">
        <v>279</v>
      </c>
      <c r="B68" s="1" t="str">
        <f t="shared" si="18"/>
        <v>Mainstream</v>
      </c>
      <c r="C68" s="1" t="s">
        <v>46</v>
      </c>
      <c r="D68" s="1" t="s">
        <v>135</v>
      </c>
      <c r="E68" s="1" t="s">
        <v>48</v>
      </c>
      <c r="F68" s="1" t="s">
        <v>65</v>
      </c>
      <c r="G68" s="1" t="s">
        <v>76</v>
      </c>
      <c r="H68" s="1" t="s">
        <v>123</v>
      </c>
      <c r="I68" s="1" t="s">
        <v>52</v>
      </c>
      <c r="J68" s="1" t="s">
        <v>142</v>
      </c>
      <c r="K68" s="1" t="s">
        <v>92</v>
      </c>
      <c r="L68" s="1" t="s">
        <v>70</v>
      </c>
      <c r="M68" s="1" t="s">
        <v>100</v>
      </c>
      <c r="N68" s="1" t="s">
        <v>139</v>
      </c>
      <c r="O68" s="1" t="s">
        <v>143</v>
      </c>
      <c r="P68" s="1" t="s">
        <v>243</v>
      </c>
      <c r="Q68" s="1" t="s">
        <v>140</v>
      </c>
      <c r="R68" s="1" t="s">
        <v>73</v>
      </c>
      <c r="S68" s="1"/>
      <c r="T68" s="2">
        <f>U68*0.98*0.98</f>
        <v>42485.491525423735</v>
      </c>
      <c r="U68" s="13">
        <v>44237.288135593226</v>
      </c>
      <c r="V68" s="13">
        <v>0</v>
      </c>
      <c r="W68" s="13">
        <v>5156.94915254238</v>
      </c>
      <c r="X68" s="13"/>
      <c r="Y68" s="2">
        <f t="shared" si="17"/>
        <v>48989.999999999993</v>
      </c>
      <c r="Z68" s="1">
        <v>48990</v>
      </c>
      <c r="AA68" s="5"/>
      <c r="AB68" s="5"/>
      <c r="AC68" s="14">
        <v>48990</v>
      </c>
      <c r="AD68" s="5">
        <f t="shared" ref="AD68:AD131" si="23">(Y68-AC68)/1.18*0.92</f>
        <v>-5.6727805127531806E-12</v>
      </c>
      <c r="AE68" s="5"/>
      <c r="AF68" s="5">
        <f t="shared" ref="AF68:AF131" si="24">W68+X68</f>
        <v>5156.94915254238</v>
      </c>
      <c r="AG68" s="5"/>
      <c r="AH68" s="13">
        <v>0</v>
      </c>
      <c r="AI68" s="13">
        <v>5156.94915254238</v>
      </c>
      <c r="AJ68" s="5"/>
      <c r="AL68" s="5"/>
      <c r="AM68" s="5">
        <v>48989.999999999993</v>
      </c>
      <c r="AN68" s="5">
        <f t="shared" si="19"/>
        <v>0</v>
      </c>
      <c r="AO68" s="5"/>
      <c r="AP68" s="5">
        <f t="shared" si="15"/>
        <v>44237.288135593226</v>
      </c>
      <c r="AQ68" s="20">
        <v>0</v>
      </c>
      <c r="AR68" s="20">
        <v>5156.94915254238</v>
      </c>
      <c r="AT68" s="3">
        <v>3</v>
      </c>
      <c r="AV68" s="5">
        <f t="shared" ref="AV68:AV131" si="25">ROUNDUP((AT68/8)*80,0)</f>
        <v>30</v>
      </c>
      <c r="AX68" s="38">
        <f t="shared" si="20"/>
        <v>154708.4745762714</v>
      </c>
      <c r="BA68" s="3">
        <v>-1</v>
      </c>
      <c r="BB68" s="3">
        <v>0</v>
      </c>
      <c r="BC68" s="3">
        <v>0</v>
      </c>
      <c r="BD68" s="3">
        <f t="shared" ref="BD68:BD131" si="26">BC68+BB68+BA68</f>
        <v>-1</v>
      </c>
      <c r="BE68" s="3">
        <v>0</v>
      </c>
      <c r="BF68" s="3">
        <v>0</v>
      </c>
      <c r="BH68" s="3">
        <f t="shared" ref="BH68:BH131" si="27">ROUNDUP(BD68*1.85,0)</f>
        <v>-2</v>
      </c>
      <c r="BJ68" s="38">
        <f t="shared" si="21"/>
        <v>0</v>
      </c>
      <c r="BL68" s="3">
        <f t="shared" si="22"/>
        <v>52200.000000000007</v>
      </c>
    </row>
    <row r="69" spans="1:64" x14ac:dyDescent="0.35">
      <c r="A69" s="1" t="s">
        <v>280</v>
      </c>
      <c r="B69" s="1" t="str">
        <f t="shared" si="18"/>
        <v>Entry</v>
      </c>
      <c r="C69" s="1" t="s">
        <v>79</v>
      </c>
      <c r="D69" s="1" t="s">
        <v>145</v>
      </c>
      <c r="E69" s="1" t="s">
        <v>81</v>
      </c>
      <c r="F69" s="1" t="s">
        <v>146</v>
      </c>
      <c r="G69" s="1" t="s">
        <v>240</v>
      </c>
      <c r="H69" s="1" t="s">
        <v>148</v>
      </c>
      <c r="I69" s="1" t="s">
        <v>281</v>
      </c>
      <c r="J69" s="1" t="s">
        <v>282</v>
      </c>
      <c r="K69" s="1" t="s">
        <v>92</v>
      </c>
      <c r="L69" s="1" t="s">
        <v>70</v>
      </c>
      <c r="M69" s="1" t="s">
        <v>100</v>
      </c>
      <c r="N69" s="1" t="s">
        <v>57</v>
      </c>
      <c r="O69" s="1" t="s">
        <v>87</v>
      </c>
      <c r="P69" s="1" t="s">
        <v>283</v>
      </c>
      <c r="Q69" s="1" t="s">
        <v>165</v>
      </c>
      <c r="R69" s="1" t="s">
        <v>73</v>
      </c>
      <c r="S69" s="1">
        <v>0</v>
      </c>
      <c r="T69" s="2">
        <v>30936</v>
      </c>
      <c r="U69" s="13">
        <v>32211.864406779663</v>
      </c>
      <c r="V69" s="13">
        <v>0</v>
      </c>
      <c r="W69" s="13">
        <v>5066.9491525423728</v>
      </c>
      <c r="X69" s="13"/>
      <c r="Y69" s="2">
        <f t="shared" si="17"/>
        <v>33990</v>
      </c>
      <c r="Z69" s="18">
        <f>AC69</f>
        <v>33990</v>
      </c>
      <c r="AA69" s="5" t="s">
        <v>90</v>
      </c>
      <c r="AB69" s="5"/>
      <c r="AC69" s="14">
        <v>33990</v>
      </c>
      <c r="AD69" s="5">
        <f t="shared" si="23"/>
        <v>0</v>
      </c>
      <c r="AE69" s="5"/>
      <c r="AF69" s="5">
        <f t="shared" si="24"/>
        <v>5066.9491525423728</v>
      </c>
      <c r="AG69" s="5"/>
      <c r="AH69" s="13">
        <v>0</v>
      </c>
      <c r="AI69" s="13">
        <v>5066.9491525423728</v>
      </c>
      <c r="AJ69" s="5"/>
      <c r="AL69" s="5"/>
      <c r="AM69" s="5">
        <v>33990</v>
      </c>
      <c r="AN69" s="5">
        <f t="shared" si="19"/>
        <v>0</v>
      </c>
      <c r="AO69" s="5"/>
      <c r="AP69" s="5">
        <f t="shared" si="15"/>
        <v>32211.864406779663</v>
      </c>
      <c r="AQ69" s="20">
        <v>0</v>
      </c>
      <c r="AR69" s="20">
        <v>5066.9491525423728</v>
      </c>
      <c r="AT69" s="3">
        <v>5</v>
      </c>
      <c r="AV69" s="5">
        <f t="shared" si="25"/>
        <v>50</v>
      </c>
      <c r="AX69" s="38">
        <f t="shared" si="20"/>
        <v>253347.45762711862</v>
      </c>
      <c r="BA69" s="3">
        <v>0</v>
      </c>
      <c r="BB69" s="3">
        <v>331</v>
      </c>
      <c r="BC69" s="3">
        <v>-1</v>
      </c>
      <c r="BD69" s="3">
        <f t="shared" si="26"/>
        <v>330</v>
      </c>
      <c r="BE69" s="3">
        <v>0</v>
      </c>
      <c r="BF69" s="3">
        <v>0</v>
      </c>
      <c r="BH69" s="3">
        <f t="shared" si="27"/>
        <v>611</v>
      </c>
      <c r="BJ69" s="38">
        <f t="shared" si="21"/>
        <v>0</v>
      </c>
      <c r="BL69" s="3">
        <f t="shared" si="22"/>
        <v>38010</v>
      </c>
    </row>
    <row r="70" spans="1:64" x14ac:dyDescent="0.35">
      <c r="A70" s="1" t="s">
        <v>284</v>
      </c>
      <c r="B70" s="1" t="str">
        <f t="shared" si="18"/>
        <v>Entry</v>
      </c>
      <c r="C70" s="1" t="s">
        <v>79</v>
      </c>
      <c r="D70" s="1" t="s">
        <v>145</v>
      </c>
      <c r="E70" s="1" t="s">
        <v>81</v>
      </c>
      <c r="F70" s="1" t="s">
        <v>146</v>
      </c>
      <c r="G70" s="1" t="s">
        <v>240</v>
      </c>
      <c r="H70" s="1" t="s">
        <v>148</v>
      </c>
      <c r="I70" s="1" t="s">
        <v>281</v>
      </c>
      <c r="J70" s="1" t="s">
        <v>282</v>
      </c>
      <c r="K70" s="1" t="s">
        <v>92</v>
      </c>
      <c r="L70" s="1" t="s">
        <v>70</v>
      </c>
      <c r="M70" s="1" t="s">
        <v>100</v>
      </c>
      <c r="N70" s="1" t="s">
        <v>57</v>
      </c>
      <c r="O70" s="1" t="s">
        <v>87</v>
      </c>
      <c r="P70" s="1" t="s">
        <v>283</v>
      </c>
      <c r="Q70" s="1" t="s">
        <v>165</v>
      </c>
      <c r="R70" s="1" t="s">
        <v>73</v>
      </c>
      <c r="S70" s="1">
        <v>0</v>
      </c>
      <c r="T70" s="2">
        <v>30936</v>
      </c>
      <c r="U70" s="13">
        <v>32211.864406779663</v>
      </c>
      <c r="V70" s="13">
        <v>0</v>
      </c>
      <c r="W70" s="13">
        <v>5066.9491525423728</v>
      </c>
      <c r="X70" s="13"/>
      <c r="Y70" s="2">
        <f t="shared" si="17"/>
        <v>33990</v>
      </c>
      <c r="Z70" s="18">
        <f>AC70</f>
        <v>33990</v>
      </c>
      <c r="AA70" s="5" t="s">
        <v>90</v>
      </c>
      <c r="AB70" s="5"/>
      <c r="AC70" s="14">
        <v>33990</v>
      </c>
      <c r="AD70" s="5">
        <f t="shared" si="23"/>
        <v>0</v>
      </c>
      <c r="AE70" s="5"/>
      <c r="AF70" s="5">
        <f t="shared" si="24"/>
        <v>5066.9491525423728</v>
      </c>
      <c r="AG70" s="5"/>
      <c r="AH70" s="13">
        <v>0</v>
      </c>
      <c r="AI70" s="13">
        <v>5066.9491525423728</v>
      </c>
      <c r="AJ70" s="5"/>
      <c r="AL70" s="5"/>
      <c r="AM70" s="5">
        <v>33990</v>
      </c>
      <c r="AN70" s="5">
        <f t="shared" si="19"/>
        <v>0</v>
      </c>
      <c r="AO70" s="5"/>
      <c r="AP70" s="5">
        <f t="shared" si="15"/>
        <v>32211.864406779663</v>
      </c>
      <c r="AQ70" s="20">
        <v>0</v>
      </c>
      <c r="AR70" s="20">
        <v>5066.9491525423728</v>
      </c>
      <c r="AT70" s="3">
        <v>8</v>
      </c>
      <c r="AV70" s="5">
        <f t="shared" si="25"/>
        <v>80</v>
      </c>
      <c r="AX70" s="38">
        <f t="shared" si="20"/>
        <v>405355.93220338982</v>
      </c>
      <c r="BA70" s="3">
        <v>0</v>
      </c>
      <c r="BB70" s="3">
        <v>1836</v>
      </c>
      <c r="BC70" s="3">
        <v>-2</v>
      </c>
      <c r="BD70" s="3">
        <f t="shared" si="26"/>
        <v>1834</v>
      </c>
      <c r="BE70" s="3">
        <v>255</v>
      </c>
      <c r="BF70" s="3">
        <v>1</v>
      </c>
      <c r="BH70" s="3">
        <f t="shared" si="27"/>
        <v>3393</v>
      </c>
      <c r="BJ70" s="38">
        <f t="shared" si="21"/>
        <v>0</v>
      </c>
      <c r="BL70" s="3">
        <f t="shared" si="22"/>
        <v>38010</v>
      </c>
    </row>
    <row r="71" spans="1:64" x14ac:dyDescent="0.35">
      <c r="A71" s="1" t="s">
        <v>285</v>
      </c>
      <c r="B71" s="1" t="str">
        <f t="shared" si="18"/>
        <v>Mainstream</v>
      </c>
      <c r="C71" s="1" t="s">
        <v>46</v>
      </c>
      <c r="D71" s="1" t="s">
        <v>135</v>
      </c>
      <c r="E71" s="1" t="s">
        <v>48</v>
      </c>
      <c r="F71" s="1" t="s">
        <v>65</v>
      </c>
      <c r="G71" s="1" t="s">
        <v>76</v>
      </c>
      <c r="H71" s="1" t="s">
        <v>123</v>
      </c>
      <c r="I71" s="1" t="s">
        <v>52</v>
      </c>
      <c r="J71" s="1" t="s">
        <v>278</v>
      </c>
      <c r="K71" s="1" t="s">
        <v>92</v>
      </c>
      <c r="L71" s="1" t="s">
        <v>70</v>
      </c>
      <c r="M71" s="1" t="s">
        <v>56</v>
      </c>
      <c r="N71" s="1" t="s">
        <v>139</v>
      </c>
      <c r="O71" s="1" t="s">
        <v>143</v>
      </c>
      <c r="P71" s="1" t="s">
        <v>129</v>
      </c>
      <c r="Q71" s="1" t="s">
        <v>72</v>
      </c>
      <c r="R71" s="1" t="s">
        <v>73</v>
      </c>
      <c r="S71" s="1">
        <v>725</v>
      </c>
      <c r="T71" s="2">
        <f>U71*0.98*0.98</f>
        <v>43941.962542372879</v>
      </c>
      <c r="U71" s="13">
        <v>45753.813559322036</v>
      </c>
      <c r="V71" s="13">
        <v>0</v>
      </c>
      <c r="W71" s="13">
        <v>5138.4830508474552</v>
      </c>
      <c r="X71" s="13"/>
      <c r="Y71" s="2">
        <f t="shared" si="17"/>
        <v>49989.999999999993</v>
      </c>
      <c r="Z71" s="1">
        <v>49990</v>
      </c>
      <c r="AA71" s="5"/>
      <c r="AB71" s="5"/>
      <c r="AC71" s="14">
        <v>49990</v>
      </c>
      <c r="AD71" s="5">
        <f t="shared" si="23"/>
        <v>-5.6727805127531806E-12</v>
      </c>
      <c r="AE71" s="5"/>
      <c r="AF71" s="5">
        <f t="shared" si="24"/>
        <v>5138.4830508474552</v>
      </c>
      <c r="AG71" s="5"/>
      <c r="AH71" s="13">
        <v>0</v>
      </c>
      <c r="AI71" s="13">
        <v>5138.4830508474552</v>
      </c>
      <c r="AJ71" s="5"/>
      <c r="AL71" s="5"/>
      <c r="AM71" s="5">
        <v>49989.999999999993</v>
      </c>
      <c r="AN71" s="5">
        <f t="shared" si="19"/>
        <v>0</v>
      </c>
      <c r="AO71" s="5"/>
      <c r="AP71" s="5">
        <f t="shared" si="15"/>
        <v>45753.813559322036</v>
      </c>
      <c r="AQ71" s="20">
        <v>0</v>
      </c>
      <c r="AR71" s="20">
        <v>5138.4830508474552</v>
      </c>
      <c r="AT71" s="3">
        <v>0</v>
      </c>
      <c r="AV71" s="5">
        <f t="shared" si="25"/>
        <v>0</v>
      </c>
      <c r="AX71" s="38">
        <f t="shared" si="20"/>
        <v>0</v>
      </c>
      <c r="BA71" s="3">
        <v>0</v>
      </c>
      <c r="BB71" s="3">
        <v>-1</v>
      </c>
      <c r="BC71" s="3">
        <v>0</v>
      </c>
      <c r="BD71" s="3">
        <f t="shared" si="26"/>
        <v>-1</v>
      </c>
      <c r="BE71" s="3">
        <v>0</v>
      </c>
      <c r="BF71" s="3">
        <v>0</v>
      </c>
      <c r="BH71" s="3">
        <f t="shared" si="27"/>
        <v>-2</v>
      </c>
      <c r="BJ71" s="38">
        <f t="shared" si="21"/>
        <v>0</v>
      </c>
      <c r="BL71" s="3">
        <f t="shared" si="22"/>
        <v>53989.5</v>
      </c>
    </row>
    <row r="72" spans="1:64" x14ac:dyDescent="0.35">
      <c r="A72" s="1" t="s">
        <v>286</v>
      </c>
      <c r="B72" s="1" t="str">
        <f t="shared" si="18"/>
        <v>Premium</v>
      </c>
      <c r="C72" s="1" t="s">
        <v>46</v>
      </c>
      <c r="D72" s="1" t="s">
        <v>287</v>
      </c>
      <c r="E72" s="1" t="s">
        <v>48</v>
      </c>
      <c r="F72" s="1" t="s">
        <v>65</v>
      </c>
      <c r="G72" s="1" t="s">
        <v>107</v>
      </c>
      <c r="H72" s="1" t="s">
        <v>123</v>
      </c>
      <c r="I72" s="1" t="s">
        <v>108</v>
      </c>
      <c r="J72" s="1" t="s">
        <v>288</v>
      </c>
      <c r="K72" s="1" t="s">
        <v>54</v>
      </c>
      <c r="L72" s="1" t="s">
        <v>70</v>
      </c>
      <c r="M72" s="1" t="s">
        <v>100</v>
      </c>
      <c r="N72" s="1" t="s">
        <v>57</v>
      </c>
      <c r="O72" s="1" t="s">
        <v>110</v>
      </c>
      <c r="P72" s="1" t="s">
        <v>111</v>
      </c>
      <c r="Q72" s="1" t="s">
        <v>112</v>
      </c>
      <c r="R72" s="1" t="s">
        <v>73</v>
      </c>
      <c r="S72" s="1">
        <v>0</v>
      </c>
      <c r="T72" s="2">
        <f>U72*0.98*0.98</f>
        <v>54082.728474576274</v>
      </c>
      <c r="U72" s="13">
        <v>56312.711864406781</v>
      </c>
      <c r="V72" s="13">
        <v>0</v>
      </c>
      <c r="W72" s="13">
        <v>2177.3050847457635</v>
      </c>
      <c r="X72" s="13">
        <v>3118.6440677965993</v>
      </c>
      <c r="Y72" s="2">
        <f t="shared" si="17"/>
        <v>63990.000000000007</v>
      </c>
      <c r="Z72" s="1">
        <v>63990</v>
      </c>
      <c r="AA72" s="5"/>
      <c r="AB72" s="5"/>
      <c r="AC72" s="14">
        <v>63990</v>
      </c>
      <c r="AD72" s="5">
        <f t="shared" si="23"/>
        <v>5.6727805127531806E-12</v>
      </c>
      <c r="AE72" s="5"/>
      <c r="AF72" s="5">
        <f t="shared" si="24"/>
        <v>5295.9491525423628</v>
      </c>
      <c r="AG72" s="5"/>
      <c r="AH72" s="13">
        <v>0</v>
      </c>
      <c r="AI72" s="13">
        <v>2177.3050847457635</v>
      </c>
      <c r="AJ72" s="5"/>
      <c r="AL72" s="5"/>
      <c r="AM72" s="5">
        <v>67989.999999999985</v>
      </c>
      <c r="AN72" s="5">
        <f t="shared" si="19"/>
        <v>-3999.9999999999782</v>
      </c>
      <c r="AO72" s="5"/>
      <c r="AP72" s="5">
        <f t="shared" si="15"/>
        <v>56312.711864406781</v>
      </c>
      <c r="AQ72" s="20">
        <v>0</v>
      </c>
      <c r="AR72" s="20">
        <v>2177.3050847457635</v>
      </c>
      <c r="AT72" s="3">
        <v>20</v>
      </c>
      <c r="AV72" s="5">
        <f t="shared" si="25"/>
        <v>200</v>
      </c>
      <c r="AX72" s="38">
        <f t="shared" si="20"/>
        <v>435461.01694915269</v>
      </c>
      <c r="BA72" s="3">
        <v>405</v>
      </c>
      <c r="BB72" s="3">
        <v>-19</v>
      </c>
      <c r="BC72" s="3">
        <v>0</v>
      </c>
      <c r="BD72" s="3">
        <f t="shared" si="26"/>
        <v>386</v>
      </c>
      <c r="BE72" s="3">
        <v>1</v>
      </c>
      <c r="BF72" s="3">
        <v>0</v>
      </c>
      <c r="BH72" s="3">
        <f t="shared" si="27"/>
        <v>715</v>
      </c>
      <c r="BJ72" s="38">
        <f t="shared" si="21"/>
        <v>0</v>
      </c>
      <c r="BL72" s="3">
        <f t="shared" si="22"/>
        <v>66449</v>
      </c>
    </row>
    <row r="73" spans="1:64" x14ac:dyDescent="0.35">
      <c r="A73" s="1" t="s">
        <v>289</v>
      </c>
      <c r="B73" s="1" t="str">
        <f t="shared" si="18"/>
        <v>Mainstream</v>
      </c>
      <c r="C73" s="1" t="s">
        <v>46</v>
      </c>
      <c r="D73" s="1" t="s">
        <v>135</v>
      </c>
      <c r="E73" s="1" t="s">
        <v>48</v>
      </c>
      <c r="F73" s="1" t="s">
        <v>65</v>
      </c>
      <c r="G73" s="1" t="s">
        <v>76</v>
      </c>
      <c r="H73" s="1" t="s">
        <v>123</v>
      </c>
      <c r="I73" s="1" t="s">
        <v>52</v>
      </c>
      <c r="J73" s="1" t="s">
        <v>207</v>
      </c>
      <c r="K73" s="1" t="s">
        <v>92</v>
      </c>
      <c r="L73" s="1" t="s">
        <v>70</v>
      </c>
      <c r="M73" s="1" t="s">
        <v>100</v>
      </c>
      <c r="N73" s="1" t="s">
        <v>139</v>
      </c>
      <c r="O73" s="1" t="s">
        <v>102</v>
      </c>
      <c r="P73" s="1" t="s">
        <v>290</v>
      </c>
      <c r="Q73" s="1" t="s">
        <v>112</v>
      </c>
      <c r="R73" s="1" t="s">
        <v>73</v>
      </c>
      <c r="S73" s="1">
        <v>725</v>
      </c>
      <c r="T73" s="2">
        <f>U73*0.98*0.98</f>
        <v>46339.299999999996</v>
      </c>
      <c r="U73" s="13">
        <v>48250</v>
      </c>
      <c r="V73" s="28">
        <v>10158</v>
      </c>
      <c r="W73" s="28">
        <v>0</v>
      </c>
      <c r="X73" s="28"/>
      <c r="Y73" s="2">
        <f t="shared" si="17"/>
        <v>46689.521739130432</v>
      </c>
      <c r="Z73" s="1">
        <v>47990</v>
      </c>
      <c r="AA73" s="5"/>
      <c r="AB73" s="5"/>
      <c r="AC73" s="14">
        <v>47990</v>
      </c>
      <c r="AD73" s="5">
        <v>0</v>
      </c>
      <c r="AE73" s="5"/>
      <c r="AF73" s="5">
        <f t="shared" si="24"/>
        <v>0</v>
      </c>
      <c r="AG73" s="5"/>
      <c r="AH73" s="13">
        <v>0</v>
      </c>
      <c r="AI73" s="28">
        <v>7584.7457627118638</v>
      </c>
      <c r="AJ73" s="5"/>
      <c r="AL73" s="5"/>
      <c r="AM73" s="5">
        <v>49989.999999999993</v>
      </c>
      <c r="AN73" s="5">
        <f t="shared" si="19"/>
        <v>-3300.4782608695605</v>
      </c>
      <c r="AO73" s="5"/>
      <c r="AP73" s="5">
        <f t="shared" si="15"/>
        <v>48250</v>
      </c>
      <c r="AQ73" s="20">
        <v>0</v>
      </c>
      <c r="AR73" s="20">
        <v>7584.7457627118638</v>
      </c>
      <c r="AT73" s="3">
        <v>35</v>
      </c>
      <c r="AV73" s="5">
        <f t="shared" si="25"/>
        <v>350</v>
      </c>
      <c r="AX73" s="38">
        <f t="shared" si="20"/>
        <v>0</v>
      </c>
      <c r="BA73" s="3">
        <v>944</v>
      </c>
      <c r="BB73" s="3">
        <v>-321</v>
      </c>
      <c r="BC73" s="3">
        <v>203</v>
      </c>
      <c r="BD73" s="3">
        <f t="shared" si="26"/>
        <v>826</v>
      </c>
      <c r="BE73" s="3">
        <v>6141</v>
      </c>
      <c r="BF73" s="3">
        <v>0</v>
      </c>
      <c r="BH73" s="3">
        <f t="shared" si="27"/>
        <v>1529</v>
      </c>
      <c r="BJ73" s="38">
        <f t="shared" si="21"/>
        <v>15531582</v>
      </c>
      <c r="BL73" s="3">
        <f t="shared" si="22"/>
        <v>56935</v>
      </c>
    </row>
    <row r="74" spans="1:64" x14ac:dyDescent="0.35">
      <c r="A74" s="1" t="s">
        <v>291</v>
      </c>
      <c r="B74" s="1" t="str">
        <f t="shared" si="18"/>
        <v>Mainstream</v>
      </c>
      <c r="C74" s="1" t="s">
        <v>46</v>
      </c>
      <c r="D74" s="1" t="s">
        <v>135</v>
      </c>
      <c r="E74" s="1" t="s">
        <v>48</v>
      </c>
      <c r="F74" s="1" t="s">
        <v>65</v>
      </c>
      <c r="G74" s="1" t="s">
        <v>76</v>
      </c>
      <c r="H74" s="1" t="s">
        <v>123</v>
      </c>
      <c r="I74" s="1" t="s">
        <v>52</v>
      </c>
      <c r="J74" s="1" t="s">
        <v>207</v>
      </c>
      <c r="K74" s="1" t="s">
        <v>92</v>
      </c>
      <c r="L74" s="1" t="s">
        <v>70</v>
      </c>
      <c r="M74" s="1" t="s">
        <v>100</v>
      </c>
      <c r="N74" s="1" t="s">
        <v>139</v>
      </c>
      <c r="O74" s="1" t="s">
        <v>102</v>
      </c>
      <c r="P74" s="1" t="s">
        <v>292</v>
      </c>
      <c r="Q74" s="1" t="s">
        <v>112</v>
      </c>
      <c r="R74" s="1" t="s">
        <v>73</v>
      </c>
      <c r="S74" s="1">
        <v>725</v>
      </c>
      <c r="T74" s="2">
        <f>U74*0.98*0.98</f>
        <v>44801.032203389826</v>
      </c>
      <c r="U74" s="13">
        <v>46648.305084745763</v>
      </c>
      <c r="V74" s="13">
        <v>0</v>
      </c>
      <c r="W74" s="13">
        <v>0</v>
      </c>
      <c r="X74" s="13">
        <v>9133.7288135593171</v>
      </c>
      <c r="Y74" s="2">
        <f t="shared" si="17"/>
        <v>45990</v>
      </c>
      <c r="Z74" s="1">
        <v>45990</v>
      </c>
      <c r="AA74" s="5"/>
      <c r="AB74" s="5"/>
      <c r="AC74" s="14">
        <v>45990</v>
      </c>
      <c r="AD74" s="5">
        <f t="shared" si="23"/>
        <v>0</v>
      </c>
      <c r="AE74" s="5"/>
      <c r="AF74" s="5">
        <f t="shared" si="24"/>
        <v>9133.7288135593171</v>
      </c>
      <c r="AG74" s="5"/>
      <c r="AH74" s="13">
        <v>0</v>
      </c>
      <c r="AI74" s="28">
        <v>7574.4067796610107</v>
      </c>
      <c r="AJ74" s="5"/>
      <c r="AL74" s="5"/>
      <c r="AM74" s="5">
        <v>47990</v>
      </c>
      <c r="AN74" s="5">
        <f t="shared" si="19"/>
        <v>-2000</v>
      </c>
      <c r="AO74" s="5"/>
      <c r="AP74" s="5">
        <f t="shared" si="15"/>
        <v>46648.305084745763</v>
      </c>
      <c r="AQ74" s="20">
        <v>0</v>
      </c>
      <c r="AR74" s="20">
        <v>7574.4067796610107</v>
      </c>
      <c r="AT74" s="3">
        <v>29</v>
      </c>
      <c r="AV74" s="5">
        <f t="shared" si="25"/>
        <v>290</v>
      </c>
      <c r="AX74" s="38">
        <f t="shared" si="20"/>
        <v>0</v>
      </c>
      <c r="BA74" s="3">
        <v>415</v>
      </c>
      <c r="BB74" s="3">
        <v>-30</v>
      </c>
      <c r="BC74" s="3">
        <v>13</v>
      </c>
      <c r="BD74" s="3">
        <f t="shared" si="26"/>
        <v>398</v>
      </c>
      <c r="BE74" s="3">
        <v>29</v>
      </c>
      <c r="BF74" s="3">
        <v>0</v>
      </c>
      <c r="BH74" s="3">
        <f t="shared" si="27"/>
        <v>737</v>
      </c>
      <c r="BJ74" s="38">
        <f t="shared" si="21"/>
        <v>0</v>
      </c>
      <c r="BL74" s="3">
        <f t="shared" si="22"/>
        <v>55045</v>
      </c>
    </row>
    <row r="75" spans="1:64" x14ac:dyDescent="0.35">
      <c r="A75" s="1" t="s">
        <v>293</v>
      </c>
      <c r="B75" s="1" t="str">
        <f t="shared" si="18"/>
        <v>Entry</v>
      </c>
      <c r="C75" s="1" t="s">
        <v>253</v>
      </c>
      <c r="D75" s="1" t="s">
        <v>258</v>
      </c>
      <c r="E75" s="1" t="s">
        <v>81</v>
      </c>
      <c r="F75" s="1" t="s">
        <v>82</v>
      </c>
      <c r="G75" s="1" t="s">
        <v>294</v>
      </c>
      <c r="H75" s="1" t="s">
        <v>260</v>
      </c>
      <c r="I75" s="1" t="s">
        <v>261</v>
      </c>
      <c r="J75" s="1" t="s">
        <v>262</v>
      </c>
      <c r="K75" s="1" t="s">
        <v>92</v>
      </c>
      <c r="L75" s="1" t="s">
        <v>263</v>
      </c>
      <c r="M75" s="1" t="s">
        <v>100</v>
      </c>
      <c r="N75" s="1" t="s">
        <v>57</v>
      </c>
      <c r="O75" s="1" t="s">
        <v>87</v>
      </c>
      <c r="P75" s="1" t="s">
        <v>241</v>
      </c>
      <c r="Q75" s="1" t="s">
        <v>89</v>
      </c>
      <c r="R75" s="1" t="s">
        <v>73</v>
      </c>
      <c r="S75" s="1">
        <v>725</v>
      </c>
      <c r="T75" s="2">
        <v>22781.746067796612</v>
      </c>
      <c r="U75" s="13">
        <v>23721.101694915258</v>
      </c>
      <c r="V75" s="13">
        <v>309</v>
      </c>
      <c r="W75" s="13">
        <v>1559</v>
      </c>
      <c r="X75" s="13"/>
      <c r="Y75" s="2">
        <f t="shared" si="17"/>
        <v>26490.589130434782</v>
      </c>
      <c r="Z75" s="18">
        <f>AC75</f>
        <v>26490</v>
      </c>
      <c r="AA75" s="5" t="s">
        <v>90</v>
      </c>
      <c r="AB75" s="5"/>
      <c r="AC75" s="14">
        <v>26490</v>
      </c>
      <c r="AD75" s="5">
        <f t="shared" si="23"/>
        <v>0.45932203389815718</v>
      </c>
      <c r="AE75" s="5"/>
      <c r="AF75" s="5">
        <f t="shared" si="24"/>
        <v>1559</v>
      </c>
      <c r="AG75" s="5"/>
      <c r="AH75" s="13">
        <v>309</v>
      </c>
      <c r="AI75" s="13">
        <v>1559</v>
      </c>
      <c r="AJ75" s="5"/>
      <c r="AL75" s="5"/>
      <c r="AM75" s="5">
        <v>26489.999999999996</v>
      </c>
      <c r="AN75" s="5">
        <f t="shared" si="19"/>
        <v>0.58913043478605687</v>
      </c>
      <c r="AO75" s="5"/>
      <c r="AP75" s="5">
        <f t="shared" si="15"/>
        <v>23721.101694915258</v>
      </c>
      <c r="AQ75" s="20">
        <v>309</v>
      </c>
      <c r="AR75" s="20">
        <v>1559.4593220339011</v>
      </c>
      <c r="AT75" s="3">
        <v>0</v>
      </c>
      <c r="AV75" s="5">
        <f t="shared" si="25"/>
        <v>0</v>
      </c>
      <c r="AX75" s="38">
        <f t="shared" si="20"/>
        <v>0</v>
      </c>
      <c r="BA75" s="3">
        <v>0</v>
      </c>
      <c r="BB75" s="3">
        <v>-2</v>
      </c>
      <c r="BC75" s="3">
        <v>0</v>
      </c>
      <c r="BD75" s="3">
        <f t="shared" si="26"/>
        <v>-2</v>
      </c>
      <c r="BE75" s="3">
        <v>4</v>
      </c>
      <c r="BF75" s="3">
        <v>1</v>
      </c>
      <c r="BH75" s="3">
        <f t="shared" si="27"/>
        <v>-4</v>
      </c>
      <c r="BJ75" s="38">
        <f t="shared" si="21"/>
        <v>-1236</v>
      </c>
      <c r="BL75" s="3">
        <f t="shared" si="22"/>
        <v>27990.9</v>
      </c>
    </row>
    <row r="76" spans="1:64" x14ac:dyDescent="0.35">
      <c r="A76" s="1" t="s">
        <v>295</v>
      </c>
      <c r="B76" s="1" t="str">
        <f t="shared" si="18"/>
        <v>Entry</v>
      </c>
      <c r="C76" s="1" t="s">
        <v>253</v>
      </c>
      <c r="D76" s="1" t="s">
        <v>258</v>
      </c>
      <c r="E76" s="1" t="s">
        <v>81</v>
      </c>
      <c r="F76" s="1" t="s">
        <v>82</v>
      </c>
      <c r="G76" s="1" t="s">
        <v>294</v>
      </c>
      <c r="H76" s="1" t="s">
        <v>260</v>
      </c>
      <c r="I76" s="1" t="s">
        <v>261</v>
      </c>
      <c r="J76" s="1" t="s">
        <v>262</v>
      </c>
      <c r="K76" s="1" t="s">
        <v>92</v>
      </c>
      <c r="L76" s="1" t="s">
        <v>263</v>
      </c>
      <c r="M76" s="1" t="s">
        <v>100</v>
      </c>
      <c r="N76" s="1" t="s">
        <v>57</v>
      </c>
      <c r="O76" s="1" t="s">
        <v>87</v>
      </c>
      <c r="P76" s="1" t="s">
        <v>241</v>
      </c>
      <c r="Q76" s="1" t="s">
        <v>89</v>
      </c>
      <c r="R76" s="1" t="s">
        <v>73</v>
      </c>
      <c r="S76" s="1">
        <v>725</v>
      </c>
      <c r="T76" s="2">
        <v>22782.104183050847</v>
      </c>
      <c r="U76" s="13">
        <v>23721.474576271186</v>
      </c>
      <c r="V76" s="13">
        <v>309.50271186440295</v>
      </c>
      <c r="W76" s="13">
        <v>1559</v>
      </c>
      <c r="X76" s="13"/>
      <c r="Y76" s="2">
        <f t="shared" si="17"/>
        <v>26490.41304347826</v>
      </c>
      <c r="Z76" s="18">
        <f>AC76</f>
        <v>26490</v>
      </c>
      <c r="AA76" s="5" t="s">
        <v>90</v>
      </c>
      <c r="AB76" s="5"/>
      <c r="AC76" s="14">
        <v>26490</v>
      </c>
      <c r="AD76" s="5">
        <f t="shared" si="23"/>
        <v>0.32203389830446816</v>
      </c>
      <c r="AE76" s="5"/>
      <c r="AF76" s="5">
        <f t="shared" si="24"/>
        <v>1559</v>
      </c>
      <c r="AG76" s="5"/>
      <c r="AH76" s="13">
        <v>309.50271186440295</v>
      </c>
      <c r="AI76" s="13">
        <v>1559</v>
      </c>
      <c r="AJ76" s="5"/>
      <c r="AL76" s="5"/>
      <c r="AM76" s="5">
        <v>26489.999999999996</v>
      </c>
      <c r="AN76" s="5">
        <f t="shared" si="19"/>
        <v>0.41304347826371668</v>
      </c>
      <c r="AO76" s="5"/>
      <c r="AP76" s="5">
        <f t="shared" si="15"/>
        <v>23721.474576271186</v>
      </c>
      <c r="AQ76" s="20">
        <v>309.50271186440295</v>
      </c>
      <c r="AR76" s="20">
        <v>1559.3220338983083</v>
      </c>
      <c r="AT76" s="3">
        <v>1</v>
      </c>
      <c r="AV76" s="5">
        <f t="shared" si="25"/>
        <v>10</v>
      </c>
      <c r="AX76" s="38">
        <f t="shared" si="20"/>
        <v>15590</v>
      </c>
      <c r="BA76" s="3">
        <v>0</v>
      </c>
      <c r="BB76" s="3">
        <v>0</v>
      </c>
      <c r="BC76" s="3">
        <v>0</v>
      </c>
      <c r="BD76" s="3">
        <f t="shared" si="26"/>
        <v>0</v>
      </c>
      <c r="BE76" s="3">
        <v>2</v>
      </c>
      <c r="BF76" s="3">
        <v>0</v>
      </c>
      <c r="BH76" s="3">
        <f t="shared" si="27"/>
        <v>0</v>
      </c>
      <c r="BJ76" s="38">
        <f t="shared" si="21"/>
        <v>0</v>
      </c>
      <c r="BL76" s="3">
        <f t="shared" si="22"/>
        <v>27991.34</v>
      </c>
    </row>
    <row r="77" spans="1:64" x14ac:dyDescent="0.35">
      <c r="A77" s="1" t="s">
        <v>296</v>
      </c>
      <c r="B77" s="1" t="str">
        <f t="shared" si="18"/>
        <v>Mainstream</v>
      </c>
      <c r="C77" s="1" t="s">
        <v>46</v>
      </c>
      <c r="D77" s="1" t="s">
        <v>233</v>
      </c>
      <c r="E77" s="1" t="s">
        <v>48</v>
      </c>
      <c r="F77" s="1" t="s">
        <v>65</v>
      </c>
      <c r="G77" s="1" t="s">
        <v>234</v>
      </c>
      <c r="H77" s="1" t="s">
        <v>84</v>
      </c>
      <c r="I77" s="1" t="s">
        <v>85</v>
      </c>
      <c r="J77" s="1" t="s">
        <v>297</v>
      </c>
      <c r="K77" s="1" t="s">
        <v>92</v>
      </c>
      <c r="L77" s="1" t="s">
        <v>70</v>
      </c>
      <c r="M77" s="1" t="s">
        <v>100</v>
      </c>
      <c r="N77" s="1" t="s">
        <v>139</v>
      </c>
      <c r="O77" s="1" t="s">
        <v>102</v>
      </c>
      <c r="P77" s="1" t="s">
        <v>290</v>
      </c>
      <c r="Q77" s="1" t="s">
        <v>112</v>
      </c>
      <c r="R77" s="1" t="s">
        <v>73</v>
      </c>
      <c r="S77" s="1">
        <v>0</v>
      </c>
      <c r="T77" s="2">
        <f>U77*0.98*0.98</f>
        <v>46294.535593220338</v>
      </c>
      <c r="U77" s="13">
        <v>48203.38983050848</v>
      </c>
      <c r="V77" s="13">
        <v>0</v>
      </c>
      <c r="W77" s="13">
        <v>5925.0847457627169</v>
      </c>
      <c r="X77" s="13">
        <v>2338.983050847452</v>
      </c>
      <c r="Y77" s="2">
        <f t="shared" si="17"/>
        <v>49989.999999999993</v>
      </c>
      <c r="Z77" s="1">
        <v>49990</v>
      </c>
      <c r="AA77" s="5"/>
      <c r="AB77" s="5"/>
      <c r="AC77" s="14">
        <v>49990</v>
      </c>
      <c r="AD77" s="5">
        <f t="shared" si="23"/>
        <v>-5.6727805127531806E-12</v>
      </c>
      <c r="AE77" s="5"/>
      <c r="AF77" s="5">
        <f t="shared" si="24"/>
        <v>8264.0677966101684</v>
      </c>
      <c r="AG77" s="5"/>
      <c r="AH77" s="13">
        <v>0</v>
      </c>
      <c r="AI77" s="13">
        <v>5925.0847457627169</v>
      </c>
      <c r="AJ77" s="5"/>
      <c r="AL77" s="5"/>
      <c r="AM77" s="5">
        <v>52989.999999999993</v>
      </c>
      <c r="AN77" s="5">
        <f t="shared" si="19"/>
        <v>-3000</v>
      </c>
      <c r="AO77" s="5"/>
      <c r="AP77" s="5">
        <f t="shared" si="15"/>
        <v>48203.38983050848</v>
      </c>
      <c r="AQ77" s="20">
        <v>0</v>
      </c>
      <c r="AR77" s="20">
        <v>5925.0847457627169</v>
      </c>
      <c r="AT77" s="3">
        <v>13</v>
      </c>
      <c r="AV77" s="5">
        <f t="shared" si="25"/>
        <v>130</v>
      </c>
      <c r="AX77" s="38">
        <f t="shared" si="20"/>
        <v>770261.01694915316</v>
      </c>
      <c r="BA77" s="3">
        <v>0</v>
      </c>
      <c r="BB77" s="3">
        <v>0</v>
      </c>
      <c r="BC77" s="3">
        <v>0</v>
      </c>
      <c r="BD77" s="3">
        <f t="shared" si="26"/>
        <v>0</v>
      </c>
      <c r="BE77" s="3">
        <v>14</v>
      </c>
      <c r="BF77" s="3">
        <v>4</v>
      </c>
      <c r="BH77" s="3">
        <f t="shared" si="27"/>
        <v>0</v>
      </c>
      <c r="BJ77" s="38">
        <f t="shared" si="21"/>
        <v>0</v>
      </c>
      <c r="BL77" s="3">
        <f t="shared" si="22"/>
        <v>56880.000000000007</v>
      </c>
    </row>
    <row r="78" spans="1:64" x14ac:dyDescent="0.35">
      <c r="A78" s="1" t="s">
        <v>298</v>
      </c>
      <c r="B78" s="1" t="str">
        <f t="shared" si="18"/>
        <v>Mainstream</v>
      </c>
      <c r="C78" s="1" t="s">
        <v>46</v>
      </c>
      <c r="D78" s="1" t="s">
        <v>233</v>
      </c>
      <c r="E78" s="1" t="s">
        <v>48</v>
      </c>
      <c r="F78" s="1" t="s">
        <v>65</v>
      </c>
      <c r="G78" s="1" t="s">
        <v>234</v>
      </c>
      <c r="H78" s="1" t="s">
        <v>84</v>
      </c>
      <c r="I78" s="1" t="s">
        <v>85</v>
      </c>
      <c r="J78" s="1" t="s">
        <v>297</v>
      </c>
      <c r="K78" s="1" t="s">
        <v>92</v>
      </c>
      <c r="L78" s="1" t="s">
        <v>70</v>
      </c>
      <c r="M78" s="1"/>
      <c r="N78" s="1"/>
      <c r="O78" s="1" t="s">
        <v>102</v>
      </c>
      <c r="P78" s="1" t="s">
        <v>243</v>
      </c>
      <c r="Q78" s="1" t="s">
        <v>112</v>
      </c>
      <c r="R78" s="1" t="s">
        <v>73</v>
      </c>
      <c r="S78" s="1">
        <v>0</v>
      </c>
      <c r="T78" s="2">
        <f>U78*0.98*0.98</f>
        <v>44756.267796610169</v>
      </c>
      <c r="U78" s="13">
        <v>46601.694915254237</v>
      </c>
      <c r="V78" s="13">
        <v>0</v>
      </c>
      <c r="W78" s="13">
        <v>5914.7457627118638</v>
      </c>
      <c r="X78" s="13">
        <v>2338.9830508474579</v>
      </c>
      <c r="Y78" s="2">
        <f t="shared" si="17"/>
        <v>47990</v>
      </c>
      <c r="Z78" s="1">
        <v>47990</v>
      </c>
      <c r="AA78" s="5"/>
      <c r="AB78" s="5"/>
      <c r="AC78" s="14">
        <v>47990</v>
      </c>
      <c r="AD78" s="5">
        <f t="shared" si="23"/>
        <v>0</v>
      </c>
      <c r="AE78" s="5"/>
      <c r="AF78" s="5">
        <f t="shared" si="24"/>
        <v>8253.7288135593226</v>
      </c>
      <c r="AG78" s="5"/>
      <c r="AH78" s="13">
        <v>0</v>
      </c>
      <c r="AI78" s="13">
        <v>5914.7457627118638</v>
      </c>
      <c r="AJ78" s="5"/>
      <c r="AL78" s="5"/>
      <c r="AM78" s="5">
        <v>50990</v>
      </c>
      <c r="AN78" s="5">
        <f t="shared" si="19"/>
        <v>-3000</v>
      </c>
      <c r="AO78" s="5"/>
      <c r="AP78" s="5">
        <f t="shared" si="15"/>
        <v>46601.694915254237</v>
      </c>
      <c r="AQ78" s="20">
        <v>0</v>
      </c>
      <c r="AR78" s="20">
        <v>5914.7457627118638</v>
      </c>
      <c r="AT78" s="3">
        <v>47</v>
      </c>
      <c r="AV78" s="5">
        <f t="shared" si="25"/>
        <v>470</v>
      </c>
      <c r="AX78" s="38">
        <f t="shared" si="20"/>
        <v>2779930.5084745758</v>
      </c>
      <c r="BA78" s="3">
        <v>0</v>
      </c>
      <c r="BB78" s="3">
        <v>0</v>
      </c>
      <c r="BC78" s="3">
        <v>0</v>
      </c>
      <c r="BD78" s="3">
        <f t="shared" si="26"/>
        <v>0</v>
      </c>
      <c r="BE78" s="3">
        <v>32</v>
      </c>
      <c r="BF78" s="3">
        <v>0</v>
      </c>
      <c r="BH78" s="3">
        <f t="shared" si="27"/>
        <v>0</v>
      </c>
      <c r="BJ78" s="38">
        <f t="shared" si="21"/>
        <v>0</v>
      </c>
      <c r="BL78" s="3">
        <f t="shared" si="22"/>
        <v>54989.999999999993</v>
      </c>
    </row>
    <row r="79" spans="1:64" x14ac:dyDescent="0.35">
      <c r="A79" s="1" t="s">
        <v>299</v>
      </c>
      <c r="B79" s="1" t="str">
        <f t="shared" si="18"/>
        <v>Entry</v>
      </c>
      <c r="C79" s="1" t="s">
        <v>79</v>
      </c>
      <c r="D79" s="1" t="s">
        <v>145</v>
      </c>
      <c r="E79" s="1" t="s">
        <v>81</v>
      </c>
      <c r="F79" s="1" t="s">
        <v>146</v>
      </c>
      <c r="G79" s="1" t="s">
        <v>300</v>
      </c>
      <c r="H79" s="1" t="s">
        <v>148</v>
      </c>
      <c r="I79" s="1" t="s">
        <v>124</v>
      </c>
      <c r="J79" s="1" t="s">
        <v>282</v>
      </c>
      <c r="K79" s="1" t="s">
        <v>92</v>
      </c>
      <c r="L79" s="1" t="s">
        <v>70</v>
      </c>
      <c r="M79" s="1" t="s">
        <v>100</v>
      </c>
      <c r="N79" s="1" t="s">
        <v>57</v>
      </c>
      <c r="O79" s="1" t="s">
        <v>87</v>
      </c>
      <c r="P79" s="1" t="s">
        <v>283</v>
      </c>
      <c r="Q79" s="1" t="s">
        <v>89</v>
      </c>
      <c r="R79" s="1" t="s">
        <v>73</v>
      </c>
      <c r="S79" s="1">
        <v>725</v>
      </c>
      <c r="T79" s="2">
        <v>32140.7464</v>
      </c>
      <c r="U79" s="13">
        <v>33466</v>
      </c>
      <c r="V79" s="13">
        <v>893.03593220338735</v>
      </c>
      <c r="W79" s="13">
        <v>4677.9661016949176</v>
      </c>
      <c r="X79" s="13"/>
      <c r="Y79" s="2">
        <f t="shared" si="17"/>
        <v>33990</v>
      </c>
      <c r="Z79" s="18">
        <f>AC79</f>
        <v>33990</v>
      </c>
      <c r="AA79" s="5" t="s">
        <v>90</v>
      </c>
      <c r="AB79" s="5"/>
      <c r="AC79" s="14">
        <v>33990</v>
      </c>
      <c r="AD79" s="5">
        <f t="shared" si="23"/>
        <v>0</v>
      </c>
      <c r="AE79" s="5"/>
      <c r="AF79" s="5">
        <f t="shared" si="24"/>
        <v>4677.9661016949176</v>
      </c>
      <c r="AG79" s="5"/>
      <c r="AH79" s="13">
        <v>893.03593220338735</v>
      </c>
      <c r="AI79" s="13">
        <v>4677.9661016949176</v>
      </c>
      <c r="AJ79" s="5"/>
      <c r="AL79" s="5"/>
      <c r="AM79" s="5">
        <v>33990</v>
      </c>
      <c r="AN79" s="5">
        <f t="shared" si="19"/>
        <v>0</v>
      </c>
      <c r="AO79" s="5"/>
      <c r="AP79" s="5">
        <f t="shared" si="15"/>
        <v>33466</v>
      </c>
      <c r="AQ79" s="20">
        <v>893.03593220338735</v>
      </c>
      <c r="AR79" s="20">
        <v>4677.9661016949176</v>
      </c>
      <c r="AT79" s="3">
        <v>2</v>
      </c>
      <c r="AV79" s="5">
        <f t="shared" si="25"/>
        <v>20</v>
      </c>
      <c r="AX79" s="38">
        <f t="shared" si="20"/>
        <v>93559.322033898352</v>
      </c>
      <c r="BA79" s="3">
        <v>3</v>
      </c>
      <c r="BB79" s="3">
        <v>0</v>
      </c>
      <c r="BC79" s="3">
        <v>0</v>
      </c>
      <c r="BD79" s="3">
        <f t="shared" si="26"/>
        <v>3</v>
      </c>
      <c r="BE79" s="3">
        <v>0</v>
      </c>
      <c r="BF79" s="3">
        <v>0</v>
      </c>
      <c r="BH79" s="3">
        <f t="shared" si="27"/>
        <v>6</v>
      </c>
      <c r="BJ79" s="38">
        <f t="shared" si="21"/>
        <v>5358.2155932203241</v>
      </c>
      <c r="BL79" s="3">
        <f t="shared" si="22"/>
        <v>39489.879999999997</v>
      </c>
    </row>
    <row r="80" spans="1:64" x14ac:dyDescent="0.35">
      <c r="A80" s="1" t="s">
        <v>301</v>
      </c>
      <c r="B80" s="1" t="str">
        <f t="shared" si="18"/>
        <v>Entry</v>
      </c>
      <c r="C80" s="1" t="s">
        <v>79</v>
      </c>
      <c r="D80" s="1" t="s">
        <v>210</v>
      </c>
      <c r="E80" s="1" t="s">
        <v>81</v>
      </c>
      <c r="F80" s="1" t="s">
        <v>82</v>
      </c>
      <c r="G80" s="1" t="s">
        <v>302</v>
      </c>
      <c r="H80" s="1" t="s">
        <v>212</v>
      </c>
      <c r="I80" s="1" t="s">
        <v>68</v>
      </c>
      <c r="J80" s="1" t="s">
        <v>213</v>
      </c>
      <c r="K80" s="1" t="s">
        <v>92</v>
      </c>
      <c r="L80" s="1" t="s">
        <v>263</v>
      </c>
      <c r="M80" s="1" t="s">
        <v>100</v>
      </c>
      <c r="N80" s="1" t="s">
        <v>57</v>
      </c>
      <c r="O80" s="1" t="s">
        <v>87</v>
      </c>
      <c r="P80" s="1" t="s">
        <v>250</v>
      </c>
      <c r="Q80" s="1" t="s">
        <v>165</v>
      </c>
      <c r="R80" s="1" t="s">
        <v>73</v>
      </c>
      <c r="S80" s="1">
        <v>0</v>
      </c>
      <c r="T80" s="2">
        <v>29422</v>
      </c>
      <c r="U80" s="13">
        <v>30635.593220338986</v>
      </c>
      <c r="V80" s="13">
        <v>0</v>
      </c>
      <c r="W80" s="13">
        <v>2743</v>
      </c>
      <c r="X80" s="13"/>
      <c r="Y80" s="2">
        <f t="shared" si="17"/>
        <v>34989.413043478256</v>
      </c>
      <c r="Z80" s="18">
        <f>AC80</f>
        <v>34990</v>
      </c>
      <c r="AA80" s="5" t="s">
        <v>90</v>
      </c>
      <c r="AB80" s="5"/>
      <c r="AC80" s="14">
        <v>34990</v>
      </c>
      <c r="AD80" s="5">
        <f t="shared" si="23"/>
        <v>-0.45762711864752087</v>
      </c>
      <c r="AE80" s="5"/>
      <c r="AF80" s="5">
        <f t="shared" si="24"/>
        <v>2743</v>
      </c>
      <c r="AG80" s="5"/>
      <c r="AH80" s="13">
        <v>0</v>
      </c>
      <c r="AI80" s="13">
        <v>2743</v>
      </c>
      <c r="AJ80" s="5"/>
      <c r="AL80" s="5"/>
      <c r="AM80" s="5">
        <v>33990.260869565216</v>
      </c>
      <c r="AN80" s="5">
        <f t="shared" si="19"/>
        <v>999.15217391304031</v>
      </c>
      <c r="AO80" s="5"/>
      <c r="AP80" s="5">
        <f t="shared" si="15"/>
        <v>30635.593220338986</v>
      </c>
      <c r="AQ80" s="20">
        <v>0</v>
      </c>
      <c r="AR80" s="20">
        <v>2742.5423728813548</v>
      </c>
      <c r="AT80" s="3">
        <v>58</v>
      </c>
      <c r="AV80" s="5">
        <f t="shared" si="25"/>
        <v>580</v>
      </c>
      <c r="AX80" s="38">
        <f t="shared" si="20"/>
        <v>1590940</v>
      </c>
      <c r="BA80" s="3">
        <v>11</v>
      </c>
      <c r="BB80" s="3">
        <v>0</v>
      </c>
      <c r="BC80" s="3">
        <v>0</v>
      </c>
      <c r="BD80" s="3">
        <f t="shared" si="26"/>
        <v>11</v>
      </c>
      <c r="BE80" s="3">
        <v>1</v>
      </c>
      <c r="BF80" s="3">
        <v>3</v>
      </c>
      <c r="BH80" s="3">
        <f t="shared" si="27"/>
        <v>21</v>
      </c>
      <c r="BJ80" s="38">
        <f t="shared" si="21"/>
        <v>0</v>
      </c>
      <c r="BL80" s="3">
        <f t="shared" si="22"/>
        <v>36150</v>
      </c>
    </row>
    <row r="81" spans="1:64" x14ac:dyDescent="0.35">
      <c r="A81" s="1" t="s">
        <v>303</v>
      </c>
      <c r="B81" s="1" t="str">
        <f t="shared" si="18"/>
        <v>Mainstream</v>
      </c>
      <c r="C81" s="1" t="s">
        <v>79</v>
      </c>
      <c r="D81" s="1" t="s">
        <v>210</v>
      </c>
      <c r="E81" s="1" t="s">
        <v>81</v>
      </c>
      <c r="F81" s="1" t="s">
        <v>82</v>
      </c>
      <c r="G81" s="1" t="s">
        <v>302</v>
      </c>
      <c r="H81" s="1" t="s">
        <v>212</v>
      </c>
      <c r="I81" s="1" t="s">
        <v>68</v>
      </c>
      <c r="J81" s="1" t="s">
        <v>213</v>
      </c>
      <c r="K81" s="1" t="s">
        <v>92</v>
      </c>
      <c r="L81" s="1" t="s">
        <v>70</v>
      </c>
      <c r="M81" s="1" t="s">
        <v>100</v>
      </c>
      <c r="N81" s="1" t="s">
        <v>57</v>
      </c>
      <c r="O81" s="1" t="s">
        <v>87</v>
      </c>
      <c r="P81" s="1" t="s">
        <v>250</v>
      </c>
      <c r="Q81" s="1" t="s">
        <v>165</v>
      </c>
      <c r="R81" s="1" t="s">
        <v>61</v>
      </c>
      <c r="S81" s="1">
        <v>0</v>
      </c>
      <c r="T81" s="2">
        <v>35666.997127071823</v>
      </c>
      <c r="U81" s="13">
        <v>37714.917127071829</v>
      </c>
      <c r="V81" s="13">
        <v>0</v>
      </c>
      <c r="W81" s="13">
        <v>2777</v>
      </c>
      <c r="X81" s="13"/>
      <c r="Y81" s="2">
        <f>(U81*0.89-S81-V81-W81-X81)*1.18/0.92</f>
        <v>39490.593442229161</v>
      </c>
      <c r="Z81" s="18">
        <f>AC81</f>
        <v>39490</v>
      </c>
      <c r="AA81" s="5" t="s">
        <v>90</v>
      </c>
      <c r="AB81" s="5"/>
      <c r="AC81" s="14">
        <v>39490</v>
      </c>
      <c r="AD81" s="5">
        <f t="shared" si="23"/>
        <v>0.46268377188835852</v>
      </c>
      <c r="AE81" s="5"/>
      <c r="AF81" s="5">
        <f t="shared" si="24"/>
        <v>2777</v>
      </c>
      <c r="AG81" s="5"/>
      <c r="AH81" s="13">
        <v>0</v>
      </c>
      <c r="AI81" s="13">
        <v>2777</v>
      </c>
      <c r="AJ81" s="5"/>
      <c r="AL81" s="5"/>
      <c r="AM81" s="5">
        <v>35990.065217391304</v>
      </c>
      <c r="AN81" s="5">
        <f t="shared" si="19"/>
        <v>3500.5282248378571</v>
      </c>
      <c r="AO81" s="5"/>
      <c r="AP81" s="5">
        <f t="shared" si="15"/>
        <v>37714.917127071829</v>
      </c>
      <c r="AQ81" s="20">
        <v>0</v>
      </c>
      <c r="AR81" s="20">
        <v>2696.7288135593262</v>
      </c>
      <c r="AT81" s="3">
        <v>271</v>
      </c>
      <c r="AV81" s="5">
        <f t="shared" si="25"/>
        <v>2710</v>
      </c>
      <c r="AX81" s="38">
        <f t="shared" si="20"/>
        <v>7525670</v>
      </c>
      <c r="BA81" s="3">
        <v>-204</v>
      </c>
      <c r="BB81" s="3">
        <v>597</v>
      </c>
      <c r="BC81" s="3">
        <v>2308</v>
      </c>
      <c r="BD81" s="3">
        <f t="shared" si="26"/>
        <v>2701</v>
      </c>
      <c r="BE81" s="3">
        <v>11053</v>
      </c>
      <c r="BF81" s="3">
        <v>0</v>
      </c>
      <c r="BH81" s="3">
        <f t="shared" si="27"/>
        <v>4997</v>
      </c>
      <c r="BJ81" s="38">
        <f t="shared" si="21"/>
        <v>0</v>
      </c>
      <c r="BL81" s="3">
        <f t="shared" si="22"/>
        <v>44503.602209944758</v>
      </c>
    </row>
    <row r="82" spans="1:64" x14ac:dyDescent="0.35">
      <c r="A82" s="1" t="s">
        <v>304</v>
      </c>
      <c r="B82" s="1" t="str">
        <f t="shared" si="18"/>
        <v>Mainstream</v>
      </c>
      <c r="C82" s="1" t="s">
        <v>46</v>
      </c>
      <c r="D82" s="1" t="s">
        <v>233</v>
      </c>
      <c r="E82" s="1" t="s">
        <v>48</v>
      </c>
      <c r="F82" s="1" t="s">
        <v>65</v>
      </c>
      <c r="G82" s="1" t="s">
        <v>234</v>
      </c>
      <c r="H82" s="1" t="s">
        <v>84</v>
      </c>
      <c r="I82" s="1" t="s">
        <v>85</v>
      </c>
      <c r="J82" s="1" t="s">
        <v>235</v>
      </c>
      <c r="K82" s="1" t="s">
        <v>92</v>
      </c>
      <c r="L82" s="1" t="s">
        <v>70</v>
      </c>
      <c r="M82" s="1" t="s">
        <v>56</v>
      </c>
      <c r="N82" s="1" t="s">
        <v>139</v>
      </c>
      <c r="O82" s="1" t="s">
        <v>143</v>
      </c>
      <c r="P82" s="1" t="s">
        <v>129</v>
      </c>
      <c r="Q82" s="1" t="s">
        <v>72</v>
      </c>
      <c r="R82" s="1" t="s">
        <v>73</v>
      </c>
      <c r="S82" s="1"/>
      <c r="T82" s="2">
        <f>U82*0.98*0.98</f>
        <v>44350.246488135592</v>
      </c>
      <c r="U82" s="13">
        <v>46178.932203389835</v>
      </c>
      <c r="V82" s="13">
        <v>1446.2010169491477</v>
      </c>
      <c r="W82" s="13">
        <v>4833.8983050847528</v>
      </c>
      <c r="X82" s="13"/>
      <c r="Y82" s="2">
        <f>(U82*0.98-S82-V82-W82-X82)*1.18/0.92</f>
        <v>49989.999999999993</v>
      </c>
      <c r="Z82" s="1">
        <v>49990</v>
      </c>
      <c r="AA82" s="5"/>
      <c r="AB82" s="5"/>
      <c r="AC82" s="14">
        <v>49990</v>
      </c>
      <c r="AD82" s="5">
        <f t="shared" si="23"/>
        <v>-5.6727805127531806E-12</v>
      </c>
      <c r="AE82" s="5"/>
      <c r="AF82" s="5">
        <f t="shared" si="24"/>
        <v>4833.8983050847528</v>
      </c>
      <c r="AG82" s="5"/>
      <c r="AH82" s="13">
        <v>1446.2010169491477</v>
      </c>
      <c r="AI82" s="13">
        <v>4833.8983050847528</v>
      </c>
      <c r="AJ82" s="5"/>
      <c r="AL82" s="5"/>
      <c r="AM82" s="5">
        <v>49989.999999999993</v>
      </c>
      <c r="AN82" s="5">
        <f t="shared" si="19"/>
        <v>0</v>
      </c>
      <c r="AO82" s="5"/>
      <c r="AP82" s="5">
        <f t="shared" si="15"/>
        <v>46178.932203389835</v>
      </c>
      <c r="AQ82" s="20">
        <v>1446.2010169491477</v>
      </c>
      <c r="AR82" s="20">
        <v>4833.8983050847528</v>
      </c>
      <c r="AT82" s="3">
        <v>0</v>
      </c>
      <c r="AV82" s="5">
        <f t="shared" si="25"/>
        <v>0</v>
      </c>
      <c r="AX82" s="38">
        <f t="shared" si="20"/>
        <v>0</v>
      </c>
      <c r="BA82" s="3">
        <v>0</v>
      </c>
      <c r="BB82" s="3">
        <v>0</v>
      </c>
      <c r="BC82" s="3">
        <v>0</v>
      </c>
      <c r="BD82" s="3">
        <f t="shared" si="26"/>
        <v>0</v>
      </c>
      <c r="BE82" s="3">
        <v>0</v>
      </c>
      <c r="BF82" s="3">
        <v>0</v>
      </c>
      <c r="BH82" s="3">
        <f t="shared" si="27"/>
        <v>0</v>
      </c>
      <c r="BJ82" s="38">
        <f t="shared" si="21"/>
        <v>0</v>
      </c>
      <c r="BL82" s="3">
        <f t="shared" si="22"/>
        <v>54491.14</v>
      </c>
    </row>
    <row r="83" spans="1:64" x14ac:dyDescent="0.35">
      <c r="A83" s="1" t="s">
        <v>305</v>
      </c>
      <c r="B83" s="1" t="str">
        <f t="shared" si="18"/>
        <v>Entry</v>
      </c>
      <c r="C83" s="1" t="s">
        <v>79</v>
      </c>
      <c r="D83" s="1" t="s">
        <v>145</v>
      </c>
      <c r="E83" s="1" t="s">
        <v>81</v>
      </c>
      <c r="F83" s="1" t="s">
        <v>82</v>
      </c>
      <c r="G83" s="1" t="s">
        <v>216</v>
      </c>
      <c r="H83" s="1" t="s">
        <v>148</v>
      </c>
      <c r="I83" s="1" t="s">
        <v>281</v>
      </c>
      <c r="J83" s="1" t="s">
        <v>282</v>
      </c>
      <c r="K83" s="1" t="s">
        <v>92</v>
      </c>
      <c r="L83" s="1" t="s">
        <v>70</v>
      </c>
      <c r="M83" s="1" t="s">
        <v>100</v>
      </c>
      <c r="N83" s="1" t="s">
        <v>57</v>
      </c>
      <c r="O83" s="1" t="s">
        <v>87</v>
      </c>
      <c r="P83" s="1" t="s">
        <v>88</v>
      </c>
      <c r="Q83" s="1" t="s">
        <v>165</v>
      </c>
      <c r="R83" s="1" t="s">
        <v>73</v>
      </c>
      <c r="S83" s="1">
        <v>0</v>
      </c>
      <c r="T83" s="2">
        <v>31669</v>
      </c>
      <c r="U83" s="13">
        <v>32974.576271186445</v>
      </c>
      <c r="V83" s="13">
        <v>0</v>
      </c>
      <c r="W83" s="13">
        <v>5034.7457627118638</v>
      </c>
      <c r="X83" s="13"/>
      <c r="Y83" s="2">
        <f>(U83*0.98-S83-V83-W83-X83)*1.18/0.92</f>
        <v>34990</v>
      </c>
      <c r="Z83" s="18">
        <f>AC83</f>
        <v>34990</v>
      </c>
      <c r="AA83" s="5" t="s">
        <v>90</v>
      </c>
      <c r="AB83" s="5"/>
      <c r="AC83" s="14">
        <v>34990</v>
      </c>
      <c r="AD83" s="5">
        <f t="shared" si="23"/>
        <v>0</v>
      </c>
      <c r="AE83" s="5"/>
      <c r="AF83" s="5">
        <f t="shared" si="24"/>
        <v>5034.7457627118638</v>
      </c>
      <c r="AG83" s="5"/>
      <c r="AH83" s="13">
        <v>0</v>
      </c>
      <c r="AI83" s="13">
        <v>5034.7457627118638</v>
      </c>
      <c r="AJ83" s="5"/>
      <c r="AL83" s="5"/>
      <c r="AM83" s="5">
        <v>34990</v>
      </c>
      <c r="AN83" s="5">
        <f t="shared" si="19"/>
        <v>0</v>
      </c>
      <c r="AO83" s="5"/>
      <c r="AP83" s="5">
        <f t="shared" si="15"/>
        <v>32974.576271186445</v>
      </c>
      <c r="AQ83" s="20">
        <v>0</v>
      </c>
      <c r="AR83" s="20">
        <v>5034.7457627118638</v>
      </c>
      <c r="AT83" s="3">
        <v>26</v>
      </c>
      <c r="AV83" s="5">
        <f t="shared" si="25"/>
        <v>260</v>
      </c>
      <c r="AX83" s="38">
        <f t="shared" si="20"/>
        <v>1309033.8983050846</v>
      </c>
      <c r="BA83" s="3">
        <v>0</v>
      </c>
      <c r="BB83" s="3">
        <v>17</v>
      </c>
      <c r="BC83" s="3">
        <v>-20</v>
      </c>
      <c r="BD83" s="3">
        <f t="shared" si="26"/>
        <v>-3</v>
      </c>
      <c r="BE83" s="3">
        <v>618</v>
      </c>
      <c r="BF83" s="3">
        <v>0</v>
      </c>
      <c r="BH83" s="3">
        <f t="shared" si="27"/>
        <v>-6</v>
      </c>
      <c r="BJ83" s="38">
        <f t="shared" si="21"/>
        <v>0</v>
      </c>
      <c r="BL83" s="3">
        <f t="shared" si="22"/>
        <v>38910</v>
      </c>
    </row>
    <row r="84" spans="1:64" x14ac:dyDescent="0.35">
      <c r="A84" s="1" t="s">
        <v>306</v>
      </c>
      <c r="B84" s="1" t="str">
        <f t="shared" si="18"/>
        <v>Entry</v>
      </c>
      <c r="C84" s="1" t="s">
        <v>79</v>
      </c>
      <c r="D84" s="1" t="s">
        <v>307</v>
      </c>
      <c r="E84" s="1" t="s">
        <v>81</v>
      </c>
      <c r="F84" s="1" t="s">
        <v>82</v>
      </c>
      <c r="G84" s="1" t="s">
        <v>302</v>
      </c>
      <c r="H84" s="1" t="s">
        <v>212</v>
      </c>
      <c r="I84" s="1" t="s">
        <v>68</v>
      </c>
      <c r="J84" s="1" t="s">
        <v>213</v>
      </c>
      <c r="K84" s="1" t="s">
        <v>92</v>
      </c>
      <c r="L84" s="1" t="s">
        <v>263</v>
      </c>
      <c r="M84" s="1" t="s">
        <v>100</v>
      </c>
      <c r="N84" s="1" t="s">
        <v>308</v>
      </c>
      <c r="O84" s="1" t="s">
        <v>87</v>
      </c>
      <c r="P84" s="1" t="s">
        <v>88</v>
      </c>
      <c r="Q84" s="1" t="s">
        <v>165</v>
      </c>
      <c r="R84" s="1" t="s">
        <v>73</v>
      </c>
      <c r="S84" s="1">
        <v>0</v>
      </c>
      <c r="T84" s="2">
        <v>27795</v>
      </c>
      <c r="U84" s="13">
        <v>28940.677966101695</v>
      </c>
      <c r="V84" s="13">
        <v>0</v>
      </c>
      <c r="W84" s="13">
        <v>2641</v>
      </c>
      <c r="X84" s="13"/>
      <c r="Y84" s="2">
        <f>(U84*0.98-S84-V84-W84-X84)*1.18/0.92</f>
        <v>32989.804347826081</v>
      </c>
      <c r="Z84" s="18">
        <f>AC84</f>
        <v>32990</v>
      </c>
      <c r="AA84" s="5" t="s">
        <v>90</v>
      </c>
      <c r="AB84" s="5"/>
      <c r="AC84" s="14">
        <v>32990</v>
      </c>
      <c r="AD84" s="5">
        <f t="shared" si="23"/>
        <v>-0.1525423728862888</v>
      </c>
      <c r="AE84" s="5"/>
      <c r="AF84" s="5">
        <f t="shared" si="24"/>
        <v>2641</v>
      </c>
      <c r="AG84" s="5"/>
      <c r="AH84" s="13">
        <v>0</v>
      </c>
      <c r="AI84" s="13">
        <v>2641</v>
      </c>
      <c r="AJ84" s="5"/>
      <c r="AL84" s="5"/>
      <c r="AM84" s="5">
        <v>31989.369565217388</v>
      </c>
      <c r="AN84" s="5">
        <f t="shared" si="19"/>
        <v>1000.4347826086923</v>
      </c>
      <c r="AO84" s="5"/>
      <c r="AP84" s="5">
        <f t="shared" si="15"/>
        <v>28940.677966101695</v>
      </c>
      <c r="AQ84" s="20">
        <v>0</v>
      </c>
      <c r="AR84" s="20">
        <v>2640.8474576271146</v>
      </c>
      <c r="AT84" s="3">
        <v>53</v>
      </c>
      <c r="AV84" s="5">
        <f t="shared" si="25"/>
        <v>530</v>
      </c>
      <c r="AX84" s="38">
        <f t="shared" si="20"/>
        <v>1399730</v>
      </c>
      <c r="BA84" s="3">
        <v>0</v>
      </c>
      <c r="BB84" s="3">
        <v>99</v>
      </c>
      <c r="BC84" s="3">
        <v>10</v>
      </c>
      <c r="BD84" s="3">
        <f t="shared" si="26"/>
        <v>109</v>
      </c>
      <c r="BE84" s="3">
        <v>56</v>
      </c>
      <c r="BF84" s="3">
        <v>0</v>
      </c>
      <c r="BH84" s="3">
        <f t="shared" si="27"/>
        <v>202</v>
      </c>
      <c r="BJ84" s="38">
        <f t="shared" si="21"/>
        <v>0</v>
      </c>
      <c r="BL84" s="3">
        <f t="shared" si="22"/>
        <v>34150</v>
      </c>
    </row>
    <row r="85" spans="1:64" x14ac:dyDescent="0.35">
      <c r="A85" s="1" t="s">
        <v>309</v>
      </c>
      <c r="B85" s="1" t="str">
        <f t="shared" si="18"/>
        <v>Mainstream</v>
      </c>
      <c r="C85" s="1" t="s">
        <v>79</v>
      </c>
      <c r="D85" s="1" t="s">
        <v>210</v>
      </c>
      <c r="E85" s="1" t="s">
        <v>81</v>
      </c>
      <c r="F85" s="1" t="s">
        <v>82</v>
      </c>
      <c r="G85" s="1" t="s">
        <v>83</v>
      </c>
      <c r="H85" s="1" t="s">
        <v>212</v>
      </c>
      <c r="I85" s="1" t="s">
        <v>85</v>
      </c>
      <c r="J85" s="1" t="s">
        <v>310</v>
      </c>
      <c r="K85" s="1" t="s">
        <v>92</v>
      </c>
      <c r="L85" s="1" t="s">
        <v>70</v>
      </c>
      <c r="M85" s="1" t="s">
        <v>100</v>
      </c>
      <c r="N85" s="1" t="s">
        <v>57</v>
      </c>
      <c r="O85" s="1" t="s">
        <v>87</v>
      </c>
      <c r="P85" s="1" t="s">
        <v>88</v>
      </c>
      <c r="Q85" s="1" t="s">
        <v>165</v>
      </c>
      <c r="R85" s="1" t="s">
        <v>61</v>
      </c>
      <c r="S85" s="1">
        <v>0</v>
      </c>
      <c r="T85" s="2">
        <v>33018</v>
      </c>
      <c r="U85" s="13">
        <v>34913.5593220339</v>
      </c>
      <c r="V85" s="13">
        <v>0</v>
      </c>
      <c r="W85" s="13">
        <v>3793</v>
      </c>
      <c r="X85" s="13"/>
      <c r="Y85" s="2">
        <f>(U85*0.89-S85-V85-W85-X85)*1.18/0.92</f>
        <v>34989.65217391304</v>
      </c>
      <c r="Z85" s="18">
        <f>AC85</f>
        <v>34990</v>
      </c>
      <c r="AA85" s="5" t="s">
        <v>90</v>
      </c>
      <c r="AB85" s="5"/>
      <c r="AC85" s="14">
        <v>34990</v>
      </c>
      <c r="AD85" s="5">
        <f t="shared" si="23"/>
        <v>-0.27118644068043257</v>
      </c>
      <c r="AE85" s="5"/>
      <c r="AF85" s="5">
        <f t="shared" si="24"/>
        <v>3793</v>
      </c>
      <c r="AG85" s="5"/>
      <c r="AH85" s="13">
        <v>0</v>
      </c>
      <c r="AI85" s="13">
        <v>4572</v>
      </c>
      <c r="AJ85" s="5"/>
      <c r="AL85" s="5"/>
      <c r="AM85" s="5">
        <v>33990</v>
      </c>
      <c r="AN85" s="5">
        <f t="shared" si="19"/>
        <v>999.65217391304031</v>
      </c>
      <c r="AO85" s="5"/>
      <c r="AP85" s="5">
        <f t="shared" si="15"/>
        <v>34913.5593220339</v>
      </c>
      <c r="AQ85" s="20">
        <v>0</v>
      </c>
      <c r="AR85" s="20">
        <v>4572.3898305084767</v>
      </c>
      <c r="AT85" s="3">
        <v>62</v>
      </c>
      <c r="AV85" s="5">
        <f t="shared" si="25"/>
        <v>620</v>
      </c>
      <c r="AX85" s="38">
        <f t="shared" si="20"/>
        <v>2351660</v>
      </c>
      <c r="BA85" s="3">
        <v>10</v>
      </c>
      <c r="BB85" s="3">
        <v>0</v>
      </c>
      <c r="BC85" s="3">
        <v>11</v>
      </c>
      <c r="BD85" s="3">
        <f t="shared" si="26"/>
        <v>21</v>
      </c>
      <c r="BE85" s="3">
        <v>1</v>
      </c>
      <c r="BF85" s="3">
        <v>0</v>
      </c>
      <c r="BH85" s="3">
        <f t="shared" si="27"/>
        <v>39</v>
      </c>
      <c r="BJ85" s="38">
        <f t="shared" si="21"/>
        <v>0</v>
      </c>
      <c r="BL85" s="3">
        <f t="shared" si="22"/>
        <v>41198</v>
      </c>
    </row>
    <row r="86" spans="1:64" x14ac:dyDescent="0.35">
      <c r="A86" s="1" t="s">
        <v>311</v>
      </c>
      <c r="B86" s="1" t="str">
        <f t="shared" si="18"/>
        <v>Premium</v>
      </c>
      <c r="C86" s="1" t="s">
        <v>46</v>
      </c>
      <c r="D86" s="1" t="s">
        <v>96</v>
      </c>
      <c r="E86" s="1" t="s">
        <v>48</v>
      </c>
      <c r="F86" s="1" t="s">
        <v>65</v>
      </c>
      <c r="G86" s="1" t="s">
        <v>234</v>
      </c>
      <c r="H86" s="1" t="s">
        <v>84</v>
      </c>
      <c r="I86" s="1" t="s">
        <v>85</v>
      </c>
      <c r="J86" s="1" t="s">
        <v>235</v>
      </c>
      <c r="K86" s="1" t="s">
        <v>54</v>
      </c>
      <c r="L86" s="1" t="s">
        <v>70</v>
      </c>
      <c r="M86" s="1" t="s">
        <v>100</v>
      </c>
      <c r="N86" s="1" t="s">
        <v>57</v>
      </c>
      <c r="O86" s="1" t="s">
        <v>110</v>
      </c>
      <c r="P86" s="1" t="s">
        <v>129</v>
      </c>
      <c r="Q86" s="1" t="s">
        <v>72</v>
      </c>
      <c r="R86" s="1" t="s">
        <v>73</v>
      </c>
      <c r="S86" s="1">
        <v>725</v>
      </c>
      <c r="T86" s="2">
        <f t="shared" ref="T86:T92" si="28">U86*0.98*0.98</f>
        <v>54034.70847457627</v>
      </c>
      <c r="U86" s="13">
        <v>56262.711864406781</v>
      </c>
      <c r="V86" s="13">
        <v>2016.7149152542434</v>
      </c>
      <c r="W86" s="13">
        <v>1570</v>
      </c>
      <c r="X86" s="13"/>
      <c r="Y86" s="2">
        <f t="shared" ref="Y86:Y92" si="29">(U86*0.98-S86-V86-W86-X86)*1.18/0.92</f>
        <v>65189.539565217383</v>
      </c>
      <c r="Z86" s="18">
        <v>65190</v>
      </c>
      <c r="AA86" s="5"/>
      <c r="AB86" s="5"/>
      <c r="AC86" s="14">
        <v>0</v>
      </c>
      <c r="AD86" s="5">
        <v>0</v>
      </c>
      <c r="AE86" s="5"/>
      <c r="AF86" s="5">
        <f t="shared" si="24"/>
        <v>1570</v>
      </c>
      <c r="AG86" s="5"/>
      <c r="AH86" s="13">
        <v>2016.7149152542434</v>
      </c>
      <c r="AI86" s="13">
        <v>1570</v>
      </c>
      <c r="AJ86" s="5"/>
      <c r="AL86" s="5"/>
      <c r="AM86" s="5">
        <v>65189.539565217383</v>
      </c>
      <c r="AN86" s="5">
        <f t="shared" si="19"/>
        <v>0</v>
      </c>
      <c r="AO86" s="5"/>
      <c r="AP86" s="5">
        <f t="shared" si="15"/>
        <v>56262.711864406781</v>
      </c>
      <c r="AQ86" s="20">
        <v>2016.7149152542434</v>
      </c>
      <c r="AR86" s="20">
        <v>1570</v>
      </c>
      <c r="AT86" s="3">
        <v>0</v>
      </c>
      <c r="AV86" s="5">
        <f t="shared" si="25"/>
        <v>0</v>
      </c>
      <c r="AX86" s="38">
        <f t="shared" si="20"/>
        <v>0</v>
      </c>
      <c r="BA86" s="3">
        <v>0</v>
      </c>
      <c r="BB86" s="3">
        <v>-1</v>
      </c>
      <c r="BC86" s="3">
        <v>0</v>
      </c>
      <c r="BD86" s="3">
        <f t="shared" si="26"/>
        <v>-1</v>
      </c>
      <c r="BE86" s="3">
        <v>82</v>
      </c>
      <c r="BF86" s="3">
        <v>53</v>
      </c>
      <c r="BH86" s="3">
        <f t="shared" si="27"/>
        <v>-2</v>
      </c>
      <c r="BJ86" s="38">
        <f t="shared" si="21"/>
        <v>-4033.4298305084867</v>
      </c>
      <c r="BL86" s="3">
        <f t="shared" si="22"/>
        <v>66390</v>
      </c>
    </row>
    <row r="87" spans="1:64" x14ac:dyDescent="0.35">
      <c r="A87" s="1" t="s">
        <v>312</v>
      </c>
      <c r="B87" s="1" t="str">
        <f t="shared" si="18"/>
        <v>Mainstream</v>
      </c>
      <c r="C87" s="1" t="s">
        <v>46</v>
      </c>
      <c r="D87" s="1" t="s">
        <v>233</v>
      </c>
      <c r="E87" s="1" t="s">
        <v>48</v>
      </c>
      <c r="F87" s="1" t="s">
        <v>65</v>
      </c>
      <c r="G87" s="1" t="s">
        <v>234</v>
      </c>
      <c r="H87" s="1" t="s">
        <v>84</v>
      </c>
      <c r="I87" s="1" t="s">
        <v>85</v>
      </c>
      <c r="J87" s="1" t="s">
        <v>272</v>
      </c>
      <c r="K87" s="1" t="s">
        <v>54</v>
      </c>
      <c r="L87" s="1" t="s">
        <v>70</v>
      </c>
      <c r="M87" s="1" t="s">
        <v>100</v>
      </c>
      <c r="N87" s="1" t="s">
        <v>139</v>
      </c>
      <c r="O87" s="1" t="s">
        <v>143</v>
      </c>
      <c r="P87" s="1" t="s">
        <v>243</v>
      </c>
      <c r="Q87" s="1" t="s">
        <v>140</v>
      </c>
      <c r="R87" s="1" t="s">
        <v>73</v>
      </c>
      <c r="S87" s="1"/>
      <c r="T87" s="2">
        <f t="shared" si="28"/>
        <v>44276.067796610172</v>
      </c>
      <c r="U87" s="13">
        <v>46101.694915254237</v>
      </c>
      <c r="V87" s="13">
        <v>0</v>
      </c>
      <c r="W87" s="13">
        <v>4645.0847457627096</v>
      </c>
      <c r="X87" s="13"/>
      <c r="Y87" s="2">
        <f t="shared" si="29"/>
        <v>51990</v>
      </c>
      <c r="Z87" s="1">
        <v>51990</v>
      </c>
      <c r="AA87" s="5"/>
      <c r="AB87" s="5"/>
      <c r="AC87" s="14">
        <v>51990</v>
      </c>
      <c r="AD87" s="5">
        <f t="shared" si="23"/>
        <v>0</v>
      </c>
      <c r="AE87" s="5"/>
      <c r="AF87" s="5">
        <f t="shared" si="24"/>
        <v>4645.0847457627096</v>
      </c>
      <c r="AG87" s="5"/>
      <c r="AH87" s="13">
        <v>0</v>
      </c>
      <c r="AI87" s="13">
        <v>4645.0847457627096</v>
      </c>
      <c r="AJ87" s="5"/>
      <c r="AL87" s="5"/>
      <c r="AM87" s="5">
        <v>51990</v>
      </c>
      <c r="AN87" s="5">
        <f t="shared" si="19"/>
        <v>0</v>
      </c>
      <c r="AO87" s="5"/>
      <c r="AP87" s="5">
        <f t="shared" si="15"/>
        <v>46101.694915254237</v>
      </c>
      <c r="AQ87" s="20">
        <v>0</v>
      </c>
      <c r="AR87" s="20">
        <v>4645.0847457627096</v>
      </c>
      <c r="AT87" s="3">
        <v>0</v>
      </c>
      <c r="AV87" s="5">
        <f t="shared" si="25"/>
        <v>0</v>
      </c>
      <c r="AX87" s="38">
        <f t="shared" si="20"/>
        <v>0</v>
      </c>
      <c r="BA87" s="3">
        <v>-1</v>
      </c>
      <c r="BB87" s="3">
        <v>0</v>
      </c>
      <c r="BC87" s="3">
        <v>0</v>
      </c>
      <c r="BD87" s="3">
        <f t="shared" si="26"/>
        <v>-1</v>
      </c>
      <c r="BE87" s="3">
        <v>2</v>
      </c>
      <c r="BF87" s="3">
        <v>3</v>
      </c>
      <c r="BH87" s="3">
        <f t="shared" si="27"/>
        <v>-2</v>
      </c>
      <c r="BJ87" s="38">
        <f t="shared" si="21"/>
        <v>0</v>
      </c>
      <c r="BL87" s="3">
        <f t="shared" si="22"/>
        <v>54399.999999999993</v>
      </c>
    </row>
    <row r="88" spans="1:64" x14ac:dyDescent="0.35">
      <c r="A88" s="1" t="s">
        <v>313</v>
      </c>
      <c r="B88" s="1" t="str">
        <f t="shared" si="18"/>
        <v>Premium</v>
      </c>
      <c r="C88" s="1" t="s">
        <v>46</v>
      </c>
      <c r="D88" s="1" t="s">
        <v>96</v>
      </c>
      <c r="E88" s="1" t="s">
        <v>48</v>
      </c>
      <c r="F88" s="1" t="s">
        <v>49</v>
      </c>
      <c r="G88" s="1" t="s">
        <v>314</v>
      </c>
      <c r="H88" s="1" t="s">
        <v>84</v>
      </c>
      <c r="I88" s="1" t="s">
        <v>85</v>
      </c>
      <c r="J88" s="1" t="s">
        <v>315</v>
      </c>
      <c r="K88" s="1" t="s">
        <v>54</v>
      </c>
      <c r="L88" s="1" t="s">
        <v>70</v>
      </c>
      <c r="M88" s="1" t="s">
        <v>56</v>
      </c>
      <c r="N88" s="1" t="s">
        <v>57</v>
      </c>
      <c r="O88" s="1" t="s">
        <v>110</v>
      </c>
      <c r="P88" s="1" t="s">
        <v>129</v>
      </c>
      <c r="Q88" s="1" t="s">
        <v>60</v>
      </c>
      <c r="R88" s="1" t="s">
        <v>73</v>
      </c>
      <c r="S88" s="1">
        <v>2457</v>
      </c>
      <c r="T88" s="2">
        <f t="shared" si="28"/>
        <v>71614.911864406764</v>
      </c>
      <c r="U88" s="13">
        <v>74567.796610169491</v>
      </c>
      <c r="V88" s="13">
        <v>0</v>
      </c>
      <c r="W88" s="13">
        <v>0</v>
      </c>
      <c r="X88" s="13"/>
      <c r="Y88" s="2">
        <f t="shared" si="29"/>
        <v>90577.108695652161</v>
      </c>
      <c r="Z88" s="1">
        <v>90490</v>
      </c>
      <c r="AA88" s="5"/>
      <c r="AB88" s="5"/>
      <c r="AC88" s="14">
        <v>0</v>
      </c>
      <c r="AD88" s="5">
        <v>0</v>
      </c>
      <c r="AE88" s="5"/>
      <c r="AF88" s="5">
        <f t="shared" si="24"/>
        <v>0</v>
      </c>
      <c r="AG88" s="5"/>
      <c r="AH88" s="13">
        <v>0</v>
      </c>
      <c r="AI88" s="13"/>
      <c r="AJ88" s="5"/>
      <c r="AL88" s="5"/>
      <c r="AM88" s="5">
        <v>90577.108695652161</v>
      </c>
      <c r="AN88" s="5">
        <f t="shared" si="19"/>
        <v>0</v>
      </c>
      <c r="AO88" s="5"/>
      <c r="AP88" s="5">
        <f t="shared" si="15"/>
        <v>74567.796610169491</v>
      </c>
      <c r="AQ88" s="20">
        <v>0</v>
      </c>
      <c r="AR88" s="20"/>
      <c r="AT88" s="3">
        <v>0</v>
      </c>
      <c r="AV88" s="5">
        <f t="shared" si="25"/>
        <v>0</v>
      </c>
      <c r="AX88" s="38">
        <f t="shared" si="20"/>
        <v>0</v>
      </c>
      <c r="BA88" s="3">
        <v>0</v>
      </c>
      <c r="BB88" s="3">
        <v>0</v>
      </c>
      <c r="BC88" s="3">
        <v>0</v>
      </c>
      <c r="BD88" s="3">
        <f t="shared" si="26"/>
        <v>0</v>
      </c>
      <c r="BE88" s="3">
        <v>0</v>
      </c>
      <c r="BF88" s="3">
        <v>0</v>
      </c>
      <c r="BH88" s="3">
        <f t="shared" si="27"/>
        <v>0</v>
      </c>
      <c r="BJ88" s="38">
        <f t="shared" si="21"/>
        <v>0</v>
      </c>
      <c r="BL88" s="3">
        <f t="shared" si="22"/>
        <v>87990</v>
      </c>
    </row>
    <row r="89" spans="1:64" x14ac:dyDescent="0.35">
      <c r="A89" s="1" t="s">
        <v>316</v>
      </c>
      <c r="B89" s="1" t="str">
        <f t="shared" si="18"/>
        <v>Mainstream</v>
      </c>
      <c r="C89" s="1" t="s">
        <v>46</v>
      </c>
      <c r="D89" s="1" t="s">
        <v>96</v>
      </c>
      <c r="E89" s="1" t="s">
        <v>48</v>
      </c>
      <c r="F89" s="1" t="s">
        <v>65</v>
      </c>
      <c r="G89" s="1" t="s">
        <v>234</v>
      </c>
      <c r="H89" s="1" t="s">
        <v>84</v>
      </c>
      <c r="I89" s="1" t="s">
        <v>85</v>
      </c>
      <c r="J89" s="1" t="s">
        <v>235</v>
      </c>
      <c r="K89" s="1" t="s">
        <v>92</v>
      </c>
      <c r="L89" s="1" t="s">
        <v>70</v>
      </c>
      <c r="M89" s="1" t="s">
        <v>56</v>
      </c>
      <c r="N89" s="1" t="s">
        <v>57</v>
      </c>
      <c r="O89" s="1" t="s">
        <v>110</v>
      </c>
      <c r="P89" s="1" t="s">
        <v>129</v>
      </c>
      <c r="Q89" s="1" t="s">
        <v>72</v>
      </c>
      <c r="R89" s="1" t="s">
        <v>73</v>
      </c>
      <c r="S89" s="1">
        <v>725</v>
      </c>
      <c r="T89" s="2">
        <f t="shared" si="28"/>
        <v>50778.968752542387</v>
      </c>
      <c r="U89" s="13">
        <v>52872.728813559334</v>
      </c>
      <c r="V89" s="13">
        <v>1979.4267796610243</v>
      </c>
      <c r="W89" s="13">
        <v>0</v>
      </c>
      <c r="X89" s="13"/>
      <c r="Y89" s="2">
        <f t="shared" si="29"/>
        <v>62990</v>
      </c>
      <c r="Z89" s="1">
        <v>62990</v>
      </c>
      <c r="AA89" s="5"/>
      <c r="AB89" s="5"/>
      <c r="AC89" s="14">
        <v>0</v>
      </c>
      <c r="AD89" s="5">
        <v>0</v>
      </c>
      <c r="AE89" s="5"/>
      <c r="AF89" s="5">
        <f t="shared" si="24"/>
        <v>0</v>
      </c>
      <c r="AG89" s="5"/>
      <c r="AH89" s="13">
        <v>1979.4267796610243</v>
      </c>
      <c r="AI89" s="13"/>
      <c r="AJ89" s="5"/>
      <c r="AL89" s="5"/>
      <c r="AM89" s="5">
        <v>62990</v>
      </c>
      <c r="AN89" s="5">
        <f t="shared" si="19"/>
        <v>0</v>
      </c>
      <c r="AO89" s="5"/>
      <c r="AP89" s="5">
        <f t="shared" si="15"/>
        <v>52872.728813559334</v>
      </c>
      <c r="AQ89" s="20">
        <v>1979.4267796610243</v>
      </c>
      <c r="AR89" s="20"/>
      <c r="AT89" s="3">
        <v>0</v>
      </c>
      <c r="AV89" s="5">
        <f t="shared" si="25"/>
        <v>0</v>
      </c>
      <c r="AX89" s="38">
        <f t="shared" si="20"/>
        <v>0</v>
      </c>
      <c r="BA89" s="3">
        <v>0</v>
      </c>
      <c r="BB89" s="3">
        <v>0</v>
      </c>
      <c r="BC89" s="3">
        <v>0</v>
      </c>
      <c r="BD89" s="3">
        <f t="shared" si="26"/>
        <v>0</v>
      </c>
      <c r="BE89" s="3">
        <v>0</v>
      </c>
      <c r="BF89" s="3">
        <v>0</v>
      </c>
      <c r="BH89" s="3">
        <f t="shared" si="27"/>
        <v>0</v>
      </c>
      <c r="BJ89" s="38">
        <f t="shared" si="21"/>
        <v>0</v>
      </c>
      <c r="BL89" s="3">
        <f t="shared" si="22"/>
        <v>62389.820000000007</v>
      </c>
    </row>
    <row r="90" spans="1:64" x14ac:dyDescent="0.35">
      <c r="A90" s="1" t="s">
        <v>317</v>
      </c>
      <c r="B90" s="1" t="str">
        <f t="shared" si="18"/>
        <v>Premium</v>
      </c>
      <c r="C90" s="1" t="s">
        <v>46</v>
      </c>
      <c r="D90" s="1" t="s">
        <v>96</v>
      </c>
      <c r="E90" s="1" t="s">
        <v>48</v>
      </c>
      <c r="F90" s="1" t="s">
        <v>65</v>
      </c>
      <c r="G90" s="1" t="s">
        <v>234</v>
      </c>
      <c r="H90" s="1" t="s">
        <v>84</v>
      </c>
      <c r="I90" s="1" t="s">
        <v>85</v>
      </c>
      <c r="J90" s="1" t="s">
        <v>235</v>
      </c>
      <c r="K90" s="1" t="s">
        <v>92</v>
      </c>
      <c r="L90" s="1" t="s">
        <v>318</v>
      </c>
      <c r="M90" s="1" t="s">
        <v>56</v>
      </c>
      <c r="N90" s="1" t="s">
        <v>57</v>
      </c>
      <c r="O90" s="1" t="s">
        <v>110</v>
      </c>
      <c r="P90" s="1" t="s">
        <v>129</v>
      </c>
      <c r="Q90" s="1" t="s">
        <v>72</v>
      </c>
      <c r="R90" s="1" t="s">
        <v>73</v>
      </c>
      <c r="S90" s="1"/>
      <c r="T90" s="2">
        <f t="shared" si="28"/>
        <v>54848.916061016957</v>
      </c>
      <c r="U90" s="13">
        <v>57110.491525423735</v>
      </c>
      <c r="V90" s="13">
        <v>6077.7732203389905</v>
      </c>
      <c r="W90" s="13">
        <v>0</v>
      </c>
      <c r="X90" s="13"/>
      <c r="Y90" s="2">
        <f t="shared" si="29"/>
        <v>63989.999999999993</v>
      </c>
      <c r="Z90" s="1">
        <v>63990</v>
      </c>
      <c r="AA90" s="5"/>
      <c r="AB90" s="5"/>
      <c r="AC90" s="14">
        <v>0</v>
      </c>
      <c r="AD90" s="5">
        <v>0</v>
      </c>
      <c r="AE90" s="5"/>
      <c r="AF90" s="5">
        <f t="shared" si="24"/>
        <v>0</v>
      </c>
      <c r="AG90" s="5"/>
      <c r="AH90" s="13">
        <v>6077.7732203389905</v>
      </c>
      <c r="AI90" s="13"/>
      <c r="AJ90" s="5"/>
      <c r="AL90" s="5"/>
      <c r="AM90" s="5">
        <v>63989.999999999993</v>
      </c>
      <c r="AN90" s="5">
        <f t="shared" si="19"/>
        <v>0</v>
      </c>
      <c r="AO90" s="5"/>
      <c r="AP90" s="5">
        <f t="shared" si="15"/>
        <v>57110.491525423735</v>
      </c>
      <c r="AQ90" s="20">
        <v>6077.7732203389905</v>
      </c>
      <c r="AR90" s="20"/>
      <c r="AT90" s="3">
        <v>0</v>
      </c>
      <c r="AV90" s="5">
        <f t="shared" si="25"/>
        <v>0</v>
      </c>
      <c r="AX90" s="38">
        <f t="shared" si="20"/>
        <v>0</v>
      </c>
      <c r="BA90" s="3">
        <v>0</v>
      </c>
      <c r="BB90" s="3">
        <v>0</v>
      </c>
      <c r="BC90" s="3">
        <v>0</v>
      </c>
      <c r="BD90" s="3">
        <f t="shared" si="26"/>
        <v>0</v>
      </c>
      <c r="BE90" s="3">
        <v>1</v>
      </c>
      <c r="BF90" s="3">
        <v>0</v>
      </c>
      <c r="BH90" s="3">
        <f t="shared" si="27"/>
        <v>0</v>
      </c>
      <c r="BJ90" s="38">
        <f t="shared" si="21"/>
        <v>0</v>
      </c>
      <c r="BL90" s="3">
        <f t="shared" si="22"/>
        <v>67390.38</v>
      </c>
    </row>
    <row r="91" spans="1:64" s="21" customFormat="1" x14ac:dyDescent="0.35">
      <c r="A91" s="1" t="s">
        <v>319</v>
      </c>
      <c r="B91" s="1" t="str">
        <f t="shared" si="18"/>
        <v>Mainstream</v>
      </c>
      <c r="C91" s="1" t="s">
        <v>46</v>
      </c>
      <c r="D91" s="1" t="s">
        <v>233</v>
      </c>
      <c r="E91" s="1" t="s">
        <v>48</v>
      </c>
      <c r="F91" s="1" t="s">
        <v>65</v>
      </c>
      <c r="G91" s="1" t="s">
        <v>234</v>
      </c>
      <c r="H91" s="1" t="s">
        <v>84</v>
      </c>
      <c r="I91" s="1" t="s">
        <v>85</v>
      </c>
      <c r="J91" s="1" t="s">
        <v>272</v>
      </c>
      <c r="K91" s="1" t="s">
        <v>92</v>
      </c>
      <c r="L91" s="1" t="s">
        <v>70</v>
      </c>
      <c r="M91" s="1" t="s">
        <v>100</v>
      </c>
      <c r="N91" s="1" t="s">
        <v>139</v>
      </c>
      <c r="O91" s="1" t="s">
        <v>143</v>
      </c>
      <c r="P91" s="1" t="s">
        <v>129</v>
      </c>
      <c r="Q91" s="1" t="s">
        <v>140</v>
      </c>
      <c r="R91" s="1" t="s">
        <v>73</v>
      </c>
      <c r="S91" s="1"/>
      <c r="T91" s="2">
        <f t="shared" si="28"/>
        <v>43421.470343999994</v>
      </c>
      <c r="U91" s="13">
        <v>45211.86</v>
      </c>
      <c r="V91" s="13">
        <v>550</v>
      </c>
      <c r="W91" s="13">
        <v>4782.3685627118612</v>
      </c>
      <c r="X91" s="13"/>
      <c r="Y91" s="2">
        <f t="shared" si="29"/>
        <v>49989.999999999993</v>
      </c>
      <c r="Z91" s="1">
        <v>49990</v>
      </c>
      <c r="AA91" s="5"/>
      <c r="AB91" s="5"/>
      <c r="AC91" s="14">
        <v>49990</v>
      </c>
      <c r="AD91" s="5">
        <f t="shared" si="23"/>
        <v>-5.6727805127531806E-12</v>
      </c>
      <c r="AE91" s="5"/>
      <c r="AF91" s="5">
        <f t="shared" si="24"/>
        <v>4782.3685627118612</v>
      </c>
      <c r="AG91" s="5"/>
      <c r="AH91" s="13">
        <v>550</v>
      </c>
      <c r="AI91" s="13">
        <v>4782.3685627118612</v>
      </c>
      <c r="AJ91" s="5"/>
      <c r="AK91" s="23"/>
      <c r="AL91" s="5"/>
      <c r="AM91" s="5">
        <v>49989.999999999993</v>
      </c>
      <c r="AN91" s="5">
        <f t="shared" si="19"/>
        <v>0</v>
      </c>
      <c r="AO91" s="5"/>
      <c r="AP91" s="5">
        <f t="shared" si="15"/>
        <v>45211.86</v>
      </c>
      <c r="AQ91" s="20">
        <v>550</v>
      </c>
      <c r="AR91" s="20">
        <v>4782.3685627118612</v>
      </c>
      <c r="AT91" s="3">
        <v>8</v>
      </c>
      <c r="AU91" s="3"/>
      <c r="AV91" s="5">
        <f t="shared" si="25"/>
        <v>80</v>
      </c>
      <c r="AX91" s="38">
        <f t="shared" si="20"/>
        <v>382589.48501694889</v>
      </c>
      <c r="BA91" s="3">
        <v>0</v>
      </c>
      <c r="BB91" s="3">
        <v>0</v>
      </c>
      <c r="BC91" s="3">
        <v>0</v>
      </c>
      <c r="BD91" s="3">
        <f t="shared" si="26"/>
        <v>0</v>
      </c>
      <c r="BE91" s="3">
        <v>1</v>
      </c>
      <c r="BF91" s="3">
        <v>7</v>
      </c>
      <c r="BG91" s="3"/>
      <c r="BH91" s="3">
        <f t="shared" si="27"/>
        <v>0</v>
      </c>
      <c r="BJ91" s="38">
        <f t="shared" si="21"/>
        <v>0</v>
      </c>
      <c r="BL91" s="3">
        <f t="shared" si="22"/>
        <v>53349.9948</v>
      </c>
    </row>
    <row r="92" spans="1:64" x14ac:dyDescent="0.35">
      <c r="A92" s="1" t="s">
        <v>320</v>
      </c>
      <c r="B92" s="1" t="str">
        <f t="shared" si="18"/>
        <v>Premium</v>
      </c>
      <c r="C92" s="1" t="s">
        <v>46</v>
      </c>
      <c r="D92" s="1" t="s">
        <v>96</v>
      </c>
      <c r="E92" s="1" t="s">
        <v>48</v>
      </c>
      <c r="F92" s="1" t="s">
        <v>65</v>
      </c>
      <c r="G92" s="1" t="s">
        <v>234</v>
      </c>
      <c r="H92" s="1" t="s">
        <v>84</v>
      </c>
      <c r="I92" s="1" t="s">
        <v>85</v>
      </c>
      <c r="J92" s="1" t="s">
        <v>235</v>
      </c>
      <c r="K92" s="1" t="s">
        <v>54</v>
      </c>
      <c r="L92" s="1" t="s">
        <v>70</v>
      </c>
      <c r="M92" s="1" t="s">
        <v>56</v>
      </c>
      <c r="N92" s="1" t="s">
        <v>57</v>
      </c>
      <c r="O92" s="1" t="s">
        <v>110</v>
      </c>
      <c r="P92" s="1" t="s">
        <v>129</v>
      </c>
      <c r="Q92" s="1" t="s">
        <v>72</v>
      </c>
      <c r="R92" s="1" t="s">
        <v>73</v>
      </c>
      <c r="S92" s="1">
        <v>725</v>
      </c>
      <c r="T92" s="2">
        <f t="shared" si="28"/>
        <v>54034.561972881362</v>
      </c>
      <c r="U92" s="13">
        <v>56262.559322033907</v>
      </c>
      <c r="V92" s="13">
        <v>2182.8166101694937</v>
      </c>
      <c r="W92" s="13">
        <v>0</v>
      </c>
      <c r="X92" s="13"/>
      <c r="Y92" s="2">
        <f t="shared" si="29"/>
        <v>66990</v>
      </c>
      <c r="Z92" s="1">
        <v>66990</v>
      </c>
      <c r="AA92" s="5"/>
      <c r="AB92" s="5"/>
      <c r="AC92" s="14">
        <v>0</v>
      </c>
      <c r="AD92" s="5">
        <v>0</v>
      </c>
      <c r="AE92" s="5"/>
      <c r="AF92" s="5">
        <f t="shared" si="24"/>
        <v>0</v>
      </c>
      <c r="AG92" s="5"/>
      <c r="AH92" s="13">
        <v>2182.8166101694937</v>
      </c>
      <c r="AI92" s="13"/>
      <c r="AJ92" s="5"/>
      <c r="AL92" s="5"/>
      <c r="AM92" s="5">
        <v>66990</v>
      </c>
      <c r="AN92" s="5">
        <f t="shared" si="19"/>
        <v>0</v>
      </c>
      <c r="AO92" s="5"/>
      <c r="AP92" s="5">
        <f t="shared" si="15"/>
        <v>56262.559322033907</v>
      </c>
      <c r="AQ92" s="20">
        <v>2182.8166101694937</v>
      </c>
      <c r="AR92" s="20"/>
      <c r="AT92" s="3">
        <v>0</v>
      </c>
      <c r="AV92" s="5">
        <f t="shared" si="25"/>
        <v>0</v>
      </c>
      <c r="AX92" s="38">
        <f t="shared" si="20"/>
        <v>0</v>
      </c>
      <c r="BA92" s="3">
        <v>0</v>
      </c>
      <c r="BB92" s="3">
        <v>0</v>
      </c>
      <c r="BC92" s="3">
        <v>0</v>
      </c>
      <c r="BD92" s="3">
        <f t="shared" si="26"/>
        <v>0</v>
      </c>
      <c r="BE92" s="3">
        <v>0</v>
      </c>
      <c r="BF92" s="3">
        <v>0</v>
      </c>
      <c r="BH92" s="3">
        <f t="shared" si="27"/>
        <v>0</v>
      </c>
      <c r="BJ92" s="38">
        <f t="shared" si="21"/>
        <v>0</v>
      </c>
      <c r="BL92" s="3">
        <f t="shared" si="22"/>
        <v>66389.820000000007</v>
      </c>
    </row>
    <row r="93" spans="1:64" x14ac:dyDescent="0.35">
      <c r="A93" s="1" t="s">
        <v>321</v>
      </c>
      <c r="B93" s="1" t="str">
        <f t="shared" si="18"/>
        <v>Mainstream</v>
      </c>
      <c r="C93" s="1" t="s">
        <v>79</v>
      </c>
      <c r="D93" s="1" t="s">
        <v>210</v>
      </c>
      <c r="E93" s="1" t="s">
        <v>81</v>
      </c>
      <c r="F93" s="1" t="s">
        <v>82</v>
      </c>
      <c r="G93" s="1" t="s">
        <v>322</v>
      </c>
      <c r="H93" s="1" t="s">
        <v>212</v>
      </c>
      <c r="I93" s="1" t="s">
        <v>85</v>
      </c>
      <c r="J93" s="1" t="s">
        <v>323</v>
      </c>
      <c r="K93" s="1" t="s">
        <v>92</v>
      </c>
      <c r="L93" s="1" t="s">
        <v>70</v>
      </c>
      <c r="M93" s="1" t="s">
        <v>100</v>
      </c>
      <c r="N93" s="1" t="s">
        <v>200</v>
      </c>
      <c r="O93" s="1" t="s">
        <v>87</v>
      </c>
      <c r="P93" s="1" t="s">
        <v>126</v>
      </c>
      <c r="Q93" s="1" t="s">
        <v>165</v>
      </c>
      <c r="R93" s="1" t="s">
        <v>61</v>
      </c>
      <c r="S93" s="1">
        <v>725</v>
      </c>
      <c r="T93" s="2">
        <v>34213.50254237288</v>
      </c>
      <c r="U93" s="13">
        <v>36177.966101694918</v>
      </c>
      <c r="V93" s="13">
        <v>0</v>
      </c>
      <c r="W93" s="13">
        <v>3413</v>
      </c>
      <c r="X93" s="13"/>
      <c r="Y93" s="2">
        <f>(U93*0.89-S93-V93-W93-X93)*1.18/0.92</f>
        <v>35990.5</v>
      </c>
      <c r="Z93" s="18">
        <f>AC93</f>
        <v>35990</v>
      </c>
      <c r="AA93" s="5" t="s">
        <v>90</v>
      </c>
      <c r="AB93" s="5"/>
      <c r="AC93" s="14">
        <v>35990</v>
      </c>
      <c r="AD93" s="5">
        <f t="shared" si="23"/>
        <v>0.38983050847457634</v>
      </c>
      <c r="AE93" s="5"/>
      <c r="AF93" s="5">
        <f t="shared" si="24"/>
        <v>3413</v>
      </c>
      <c r="AG93" s="5"/>
      <c r="AH93" s="13">
        <v>0</v>
      </c>
      <c r="AI93" s="13">
        <v>4193</v>
      </c>
      <c r="AJ93" s="5"/>
      <c r="AL93" s="5"/>
      <c r="AM93" s="5">
        <v>34990</v>
      </c>
      <c r="AN93" s="5">
        <f t="shared" si="19"/>
        <v>1000.5</v>
      </c>
      <c r="AO93" s="5"/>
      <c r="AP93" s="5">
        <f t="shared" si="15"/>
        <v>36177.966101694918</v>
      </c>
      <c r="AQ93" s="20">
        <v>0</v>
      </c>
      <c r="AR93" s="20">
        <v>4193.0508474576272</v>
      </c>
      <c r="AT93" s="3">
        <v>0</v>
      </c>
      <c r="AV93" s="5">
        <f t="shared" si="25"/>
        <v>0</v>
      </c>
      <c r="AX93" s="38">
        <f t="shared" si="20"/>
        <v>0</v>
      </c>
      <c r="BA93" s="3">
        <v>0</v>
      </c>
      <c r="BB93" s="3">
        <v>-4</v>
      </c>
      <c r="BC93" s="3">
        <v>-2</v>
      </c>
      <c r="BD93" s="3">
        <f t="shared" si="26"/>
        <v>-6</v>
      </c>
      <c r="BE93" s="3">
        <v>0</v>
      </c>
      <c r="BF93" s="3">
        <v>0</v>
      </c>
      <c r="BH93" s="3">
        <f t="shared" si="27"/>
        <v>-12</v>
      </c>
      <c r="BJ93" s="38">
        <f t="shared" si="21"/>
        <v>0</v>
      </c>
      <c r="BL93" s="3">
        <f t="shared" si="22"/>
        <v>42690</v>
      </c>
    </row>
    <row r="94" spans="1:64" x14ac:dyDescent="0.35">
      <c r="A94" s="1" t="s">
        <v>324</v>
      </c>
      <c r="B94" s="1" t="str">
        <f t="shared" si="18"/>
        <v>Premium</v>
      </c>
      <c r="C94" s="1" t="s">
        <v>46</v>
      </c>
      <c r="D94" s="1" t="s">
        <v>106</v>
      </c>
      <c r="E94" s="1" t="s">
        <v>48</v>
      </c>
      <c r="F94" s="1" t="s">
        <v>49</v>
      </c>
      <c r="G94" s="1" t="s">
        <v>325</v>
      </c>
      <c r="H94" s="1" t="s">
        <v>51</v>
      </c>
      <c r="I94" s="1" t="s">
        <v>52</v>
      </c>
      <c r="J94" s="1" t="s">
        <v>53</v>
      </c>
      <c r="K94" s="1" t="s">
        <v>54</v>
      </c>
      <c r="L94" s="1" t="s">
        <v>70</v>
      </c>
      <c r="M94" s="1" t="s">
        <v>100</v>
      </c>
      <c r="N94" s="1" t="s">
        <v>57</v>
      </c>
      <c r="O94" s="1" t="s">
        <v>110</v>
      </c>
      <c r="P94" s="1" t="s">
        <v>129</v>
      </c>
      <c r="Q94" s="1" t="s">
        <v>60</v>
      </c>
      <c r="R94" s="7" t="s">
        <v>73</v>
      </c>
      <c r="S94" s="1">
        <v>2457</v>
      </c>
      <c r="T94" s="2">
        <f>U94*0.98*0.98</f>
        <v>68020.33</v>
      </c>
      <c r="U94" s="13">
        <v>70825</v>
      </c>
      <c r="V94" s="13">
        <v>0</v>
      </c>
      <c r="W94" s="13">
        <v>13942.347457627118</v>
      </c>
      <c r="X94" s="13"/>
      <c r="Y94" s="2">
        <f>(U94*0.98-S94-V94-W94-X94)*1.18/0.92</f>
        <v>67989.999999999985</v>
      </c>
      <c r="Z94" s="1">
        <v>67990</v>
      </c>
      <c r="AA94" s="5"/>
      <c r="AB94" s="5"/>
      <c r="AC94" s="14">
        <v>67990</v>
      </c>
      <c r="AD94" s="5">
        <f t="shared" si="23"/>
        <v>-1.1345561025506361E-11</v>
      </c>
      <c r="AE94" s="5"/>
      <c r="AF94" s="5">
        <f t="shared" si="24"/>
        <v>13942.347457627118</v>
      </c>
      <c r="AG94" s="5"/>
      <c r="AH94" s="13">
        <v>0</v>
      </c>
      <c r="AI94" s="13">
        <v>13942.347457627118</v>
      </c>
      <c r="AJ94" s="5"/>
      <c r="AL94" s="5"/>
      <c r="AM94" s="5">
        <v>67989.999999999985</v>
      </c>
      <c r="AN94" s="5">
        <f t="shared" si="19"/>
        <v>0</v>
      </c>
      <c r="AO94" s="5"/>
      <c r="AP94" s="5">
        <f t="shared" si="15"/>
        <v>70825</v>
      </c>
      <c r="AQ94" s="20">
        <v>0</v>
      </c>
      <c r="AR94" s="20">
        <v>13942.347457627118</v>
      </c>
      <c r="AT94" s="3">
        <v>0</v>
      </c>
      <c r="AV94" s="5">
        <f t="shared" si="25"/>
        <v>0</v>
      </c>
      <c r="AX94" s="38">
        <f t="shared" si="20"/>
        <v>0</v>
      </c>
      <c r="BA94" s="3">
        <v>0</v>
      </c>
      <c r="BB94" s="3">
        <v>0</v>
      </c>
      <c r="BC94" s="3">
        <v>0</v>
      </c>
      <c r="BD94" s="3">
        <f t="shared" si="26"/>
        <v>0</v>
      </c>
      <c r="BE94" s="3">
        <v>0</v>
      </c>
      <c r="BF94" s="3">
        <v>0</v>
      </c>
      <c r="BH94" s="3">
        <f t="shared" si="27"/>
        <v>0</v>
      </c>
      <c r="BJ94" s="38">
        <f t="shared" si="21"/>
        <v>0</v>
      </c>
      <c r="BL94" s="3">
        <f t="shared" si="22"/>
        <v>83573.5</v>
      </c>
    </row>
    <row r="95" spans="1:64" x14ac:dyDescent="0.35">
      <c r="A95" s="1" t="s">
        <v>326</v>
      </c>
      <c r="B95" s="1" t="str">
        <f t="shared" si="18"/>
        <v>Premium</v>
      </c>
      <c r="C95" s="1" t="s">
        <v>46</v>
      </c>
      <c r="D95" s="1" t="s">
        <v>64</v>
      </c>
      <c r="E95" s="1" t="s">
        <v>48</v>
      </c>
      <c r="F95" s="1" t="s">
        <v>193</v>
      </c>
      <c r="G95" s="1" t="s">
        <v>225</v>
      </c>
      <c r="H95" s="1" t="s">
        <v>67</v>
      </c>
      <c r="I95" s="1" t="s">
        <v>85</v>
      </c>
      <c r="J95" s="1" t="s">
        <v>226</v>
      </c>
      <c r="K95" s="1" t="s">
        <v>54</v>
      </c>
      <c r="L95" s="1" t="s">
        <v>55</v>
      </c>
      <c r="M95" s="1" t="s">
        <v>228</v>
      </c>
      <c r="N95" s="1" t="s">
        <v>229</v>
      </c>
      <c r="O95" s="1" t="s">
        <v>58</v>
      </c>
      <c r="P95" s="1" t="s">
        <v>231</v>
      </c>
      <c r="Q95" s="1" t="s">
        <v>196</v>
      </c>
      <c r="R95" s="1" t="s">
        <v>61</v>
      </c>
      <c r="S95" s="1">
        <v>2457</v>
      </c>
      <c r="T95" s="2">
        <f>U95*0.98*0.965</f>
        <v>108186.47711864408</v>
      </c>
      <c r="U95" s="13">
        <v>114398.30508474579</v>
      </c>
      <c r="V95" s="13">
        <v>763.67796610172081</v>
      </c>
      <c r="W95" s="13">
        <v>0</v>
      </c>
      <c r="X95" s="13"/>
      <c r="Y95" s="2">
        <f>(U95*0.88-S95-V95-W95-X95)*1.18/0.92</f>
        <v>124990</v>
      </c>
      <c r="Z95" s="1">
        <v>124990</v>
      </c>
      <c r="AA95" s="5"/>
      <c r="AB95" s="5"/>
      <c r="AC95" s="14">
        <v>0</v>
      </c>
      <c r="AD95" s="5">
        <v>0</v>
      </c>
      <c r="AE95" s="5"/>
      <c r="AF95" s="5">
        <f t="shared" si="24"/>
        <v>0</v>
      </c>
      <c r="AG95" s="5"/>
      <c r="AH95" s="13">
        <v>763.67796610172081</v>
      </c>
      <c r="AI95" s="13"/>
      <c r="AJ95" s="5"/>
      <c r="AL95" s="5"/>
      <c r="AM95" s="5">
        <v>124990</v>
      </c>
      <c r="AN95" s="5">
        <f t="shared" si="19"/>
        <v>0</v>
      </c>
      <c r="AO95" s="5"/>
      <c r="AP95" s="5">
        <f t="shared" si="15"/>
        <v>114398.30508474579</v>
      </c>
      <c r="AQ95" s="20">
        <v>763.67796610172081</v>
      </c>
      <c r="AR95" s="20"/>
      <c r="AT95" s="3">
        <v>0</v>
      </c>
      <c r="AV95" s="5">
        <f t="shared" si="25"/>
        <v>0</v>
      </c>
      <c r="AX95" s="38">
        <f t="shared" si="20"/>
        <v>0</v>
      </c>
      <c r="BA95" s="3">
        <v>0</v>
      </c>
      <c r="BB95" s="3">
        <v>0</v>
      </c>
      <c r="BC95" s="3">
        <v>0</v>
      </c>
      <c r="BD95" s="3">
        <f t="shared" si="26"/>
        <v>0</v>
      </c>
      <c r="BE95" s="3">
        <v>0</v>
      </c>
      <c r="BF95" s="3">
        <v>0</v>
      </c>
      <c r="BH95" s="3">
        <f t="shared" si="27"/>
        <v>0</v>
      </c>
      <c r="BJ95" s="38">
        <f t="shared" si="21"/>
        <v>0</v>
      </c>
      <c r="BL95" s="3">
        <f t="shared" si="22"/>
        <v>134990.00000000003</v>
      </c>
    </row>
    <row r="96" spans="1:64" x14ac:dyDescent="0.35">
      <c r="A96" s="1" t="s">
        <v>327</v>
      </c>
      <c r="B96" s="1" t="str">
        <f t="shared" si="18"/>
        <v>Premium</v>
      </c>
      <c r="C96" s="1" t="s">
        <v>46</v>
      </c>
      <c r="D96" s="1" t="s">
        <v>96</v>
      </c>
      <c r="E96" s="1" t="s">
        <v>48</v>
      </c>
      <c r="F96" s="1" t="s">
        <v>65</v>
      </c>
      <c r="G96" s="1" t="s">
        <v>328</v>
      </c>
      <c r="H96" s="1" t="s">
        <v>84</v>
      </c>
      <c r="I96" s="1" t="s">
        <v>68</v>
      </c>
      <c r="J96" s="1" t="s">
        <v>329</v>
      </c>
      <c r="K96" s="1" t="s">
        <v>54</v>
      </c>
      <c r="L96" s="1" t="s">
        <v>70</v>
      </c>
      <c r="M96" s="1" t="s">
        <v>56</v>
      </c>
      <c r="N96" s="1" t="s">
        <v>57</v>
      </c>
      <c r="O96" s="1" t="s">
        <v>110</v>
      </c>
      <c r="P96" s="1" t="s">
        <v>129</v>
      </c>
      <c r="Q96" s="1" t="s">
        <v>72</v>
      </c>
      <c r="R96" s="1" t="s">
        <v>73</v>
      </c>
      <c r="S96" s="1">
        <v>725</v>
      </c>
      <c r="T96" s="2">
        <f>U96*0.98*0.98</f>
        <v>58600.677966101677</v>
      </c>
      <c r="U96" s="13">
        <v>61016.949152542351</v>
      </c>
      <c r="V96" s="13">
        <v>4504</v>
      </c>
      <c r="W96" s="13">
        <v>0</v>
      </c>
      <c r="X96" s="13"/>
      <c r="Y96" s="2">
        <f>(U96*0.98-S96-V96-W96-X96)*1.18/0.92</f>
        <v>69988.891304347795</v>
      </c>
      <c r="Z96" s="1">
        <v>69990</v>
      </c>
      <c r="AA96" s="5"/>
      <c r="AB96" s="5"/>
      <c r="AC96" s="14">
        <v>0</v>
      </c>
      <c r="AD96" s="5">
        <v>0</v>
      </c>
      <c r="AE96" s="5"/>
      <c r="AF96" s="5">
        <f t="shared" si="24"/>
        <v>0</v>
      </c>
      <c r="AG96" s="5"/>
      <c r="AH96" s="13">
        <v>4504</v>
      </c>
      <c r="AI96" s="13"/>
      <c r="AJ96" s="5"/>
      <c r="AL96" s="5"/>
      <c r="AM96" s="5">
        <v>69988.891304347795</v>
      </c>
      <c r="AN96" s="5">
        <f t="shared" si="19"/>
        <v>0</v>
      </c>
      <c r="AO96" s="5"/>
      <c r="AP96" s="5">
        <f t="shared" si="15"/>
        <v>61016.949152542351</v>
      </c>
      <c r="AQ96" s="20">
        <v>4504</v>
      </c>
      <c r="AR96" s="20"/>
      <c r="AT96" s="3">
        <v>1</v>
      </c>
      <c r="AV96" s="5">
        <f t="shared" si="25"/>
        <v>10</v>
      </c>
      <c r="AX96" s="38">
        <f t="shared" si="20"/>
        <v>0</v>
      </c>
      <c r="BA96" s="3">
        <v>0</v>
      </c>
      <c r="BB96" s="3">
        <v>0</v>
      </c>
      <c r="BC96" s="3">
        <v>0</v>
      </c>
      <c r="BD96" s="3">
        <f t="shared" si="26"/>
        <v>0</v>
      </c>
      <c r="BE96" s="3">
        <v>0</v>
      </c>
      <c r="BF96" s="3">
        <v>0</v>
      </c>
      <c r="BH96" s="3">
        <f t="shared" si="27"/>
        <v>0</v>
      </c>
      <c r="BJ96" s="38">
        <f t="shared" si="21"/>
        <v>0</v>
      </c>
      <c r="BL96" s="3">
        <f t="shared" si="22"/>
        <v>71999.999999999971</v>
      </c>
    </row>
    <row r="97" spans="1:64" x14ac:dyDescent="0.35">
      <c r="A97" s="1" t="s">
        <v>330</v>
      </c>
      <c r="B97" s="1" t="str">
        <f t="shared" si="18"/>
        <v>Premium</v>
      </c>
      <c r="C97" s="1" t="s">
        <v>46</v>
      </c>
      <c r="D97" s="1" t="s">
        <v>233</v>
      </c>
      <c r="E97" s="1" t="s">
        <v>48</v>
      </c>
      <c r="F97" s="1" t="s">
        <v>49</v>
      </c>
      <c r="G97" s="1" t="s">
        <v>331</v>
      </c>
      <c r="H97" s="1" t="s">
        <v>84</v>
      </c>
      <c r="I97" s="1" t="s">
        <v>332</v>
      </c>
      <c r="J97" s="1" t="s">
        <v>333</v>
      </c>
      <c r="K97" s="1" t="s">
        <v>92</v>
      </c>
      <c r="L97" s="1" t="s">
        <v>70</v>
      </c>
      <c r="M97" s="1" t="s">
        <v>56</v>
      </c>
      <c r="N97" s="1" t="s">
        <v>139</v>
      </c>
      <c r="O97" s="1" t="s">
        <v>110</v>
      </c>
      <c r="P97" s="1" t="s">
        <v>129</v>
      </c>
      <c r="Q97" s="1" t="s">
        <v>60</v>
      </c>
      <c r="R97" s="1" t="s">
        <v>73</v>
      </c>
      <c r="S97" s="1">
        <v>2457</v>
      </c>
      <c r="T97" s="2">
        <f>U97*0.98*0.98</f>
        <v>59476.083728813559</v>
      </c>
      <c r="U97" s="13">
        <v>61928.450363196127</v>
      </c>
      <c r="V97" s="13">
        <v>0</v>
      </c>
      <c r="W97" s="13">
        <v>0</v>
      </c>
      <c r="X97" s="13"/>
      <c r="Y97" s="2">
        <f>(U97*0.98-S97-V97-W97-X97)*1.18/0.92</f>
        <v>74689.999999999985</v>
      </c>
      <c r="Z97" s="1">
        <v>74990</v>
      </c>
      <c r="AA97" s="5"/>
      <c r="AB97" s="5"/>
      <c r="AC97" s="14">
        <v>0</v>
      </c>
      <c r="AD97" s="5">
        <v>0</v>
      </c>
      <c r="AE97" s="5"/>
      <c r="AF97" s="5">
        <f t="shared" si="24"/>
        <v>0</v>
      </c>
      <c r="AG97" s="5"/>
      <c r="AH97" s="13">
        <v>0</v>
      </c>
      <c r="AI97" s="13"/>
      <c r="AJ97" s="5"/>
      <c r="AL97" s="5"/>
      <c r="AM97" s="5">
        <v>74689.999999999985</v>
      </c>
      <c r="AN97" s="5">
        <f t="shared" si="19"/>
        <v>0</v>
      </c>
      <c r="AO97" s="5"/>
      <c r="AP97" s="5">
        <f t="shared" si="15"/>
        <v>61928.450363196127</v>
      </c>
      <c r="AQ97" s="20">
        <v>0</v>
      </c>
      <c r="AR97" s="20"/>
      <c r="AT97" s="3">
        <v>0</v>
      </c>
      <c r="AV97" s="5">
        <f t="shared" si="25"/>
        <v>0</v>
      </c>
      <c r="AX97" s="38">
        <f t="shared" si="20"/>
        <v>0</v>
      </c>
      <c r="BA97" s="3">
        <v>0</v>
      </c>
      <c r="BB97" s="3">
        <v>0</v>
      </c>
      <c r="BC97" s="3">
        <v>0</v>
      </c>
      <c r="BD97" s="3">
        <f t="shared" si="26"/>
        <v>0</v>
      </c>
      <c r="BE97" s="3">
        <v>15</v>
      </c>
      <c r="BF97" s="3">
        <v>0</v>
      </c>
      <c r="BH97" s="3">
        <f t="shared" si="27"/>
        <v>0</v>
      </c>
      <c r="BJ97" s="38">
        <f t="shared" si="21"/>
        <v>0</v>
      </c>
      <c r="BL97" s="3">
        <f t="shared" si="22"/>
        <v>73075.57142857142</v>
      </c>
    </row>
    <row r="98" spans="1:64" x14ac:dyDescent="0.35">
      <c r="A98" s="1" t="s">
        <v>334</v>
      </c>
      <c r="B98" s="1" t="str">
        <f t="shared" si="18"/>
        <v>Premium</v>
      </c>
      <c r="C98" s="1" t="s">
        <v>46</v>
      </c>
      <c r="D98" s="1" t="s">
        <v>64</v>
      </c>
      <c r="E98" s="1" t="s">
        <v>48</v>
      </c>
      <c r="F98" s="1" t="s">
        <v>335</v>
      </c>
      <c r="G98" s="1" t="s">
        <v>336</v>
      </c>
      <c r="H98" s="1" t="s">
        <v>67</v>
      </c>
      <c r="I98" s="1" t="s">
        <v>68</v>
      </c>
      <c r="J98" s="1" t="s">
        <v>69</v>
      </c>
      <c r="K98" s="1" t="s">
        <v>54</v>
      </c>
      <c r="L98" s="1" t="s">
        <v>55</v>
      </c>
      <c r="M98" s="1" t="s">
        <v>100</v>
      </c>
      <c r="N98" s="1" t="s">
        <v>200</v>
      </c>
      <c r="O98" s="1" t="s">
        <v>337</v>
      </c>
      <c r="P98" s="1" t="s">
        <v>195</v>
      </c>
      <c r="Q98" s="1" t="s">
        <v>338</v>
      </c>
      <c r="R98" s="1" t="s">
        <v>61</v>
      </c>
      <c r="S98" s="1">
        <v>2457</v>
      </c>
      <c r="T98" s="2">
        <f>U98*0.98*0.965</f>
        <v>122612.4093220339</v>
      </c>
      <c r="U98" s="13">
        <v>129652.54237288136</v>
      </c>
      <c r="V98" s="13">
        <v>0</v>
      </c>
      <c r="W98" s="13">
        <v>0</v>
      </c>
      <c r="X98" s="13"/>
      <c r="Y98" s="2">
        <f>(U98*0.88-S98-V98-W98-X98)*1.18/0.92</f>
        <v>143186.89130434781</v>
      </c>
      <c r="Z98" s="1">
        <v>143990</v>
      </c>
      <c r="AA98" s="5"/>
      <c r="AB98" s="5"/>
      <c r="AC98" s="14">
        <v>0</v>
      </c>
      <c r="AD98" s="5">
        <v>0</v>
      </c>
      <c r="AE98" s="5"/>
      <c r="AF98" s="5">
        <f t="shared" si="24"/>
        <v>0</v>
      </c>
      <c r="AG98" s="5"/>
      <c r="AH98" s="13">
        <v>0</v>
      </c>
      <c r="AI98" s="13"/>
      <c r="AJ98" s="5"/>
      <c r="AL98" s="5"/>
      <c r="AM98" s="5">
        <v>143186.89130434781</v>
      </c>
      <c r="AN98" s="5">
        <f t="shared" si="19"/>
        <v>0</v>
      </c>
      <c r="AO98" s="5"/>
      <c r="AP98" s="5">
        <f t="shared" si="15"/>
        <v>129652.54237288136</v>
      </c>
      <c r="AQ98" s="20">
        <v>0</v>
      </c>
      <c r="AR98" s="20"/>
      <c r="AT98" s="3">
        <v>0</v>
      </c>
      <c r="AV98" s="5">
        <f t="shared" si="25"/>
        <v>0</v>
      </c>
      <c r="AX98" s="38">
        <f t="shared" si="20"/>
        <v>0</v>
      </c>
      <c r="BA98" s="3">
        <v>0</v>
      </c>
      <c r="BB98" s="3">
        <v>0</v>
      </c>
      <c r="BC98" s="3">
        <v>0</v>
      </c>
      <c r="BD98" s="3">
        <f t="shared" si="26"/>
        <v>0</v>
      </c>
      <c r="BE98" s="3">
        <v>0</v>
      </c>
      <c r="BF98" s="3">
        <v>0</v>
      </c>
      <c r="BH98" s="3">
        <f t="shared" si="27"/>
        <v>0</v>
      </c>
      <c r="BJ98" s="38">
        <f t="shared" si="21"/>
        <v>0</v>
      </c>
      <c r="BL98" s="3">
        <f t="shared" si="22"/>
        <v>152990</v>
      </c>
    </row>
    <row r="99" spans="1:64" x14ac:dyDescent="0.35">
      <c r="A99" s="1" t="s">
        <v>339</v>
      </c>
      <c r="B99" s="1" t="str">
        <f t="shared" si="18"/>
        <v>Premium</v>
      </c>
      <c r="C99" s="1" t="s">
        <v>46</v>
      </c>
      <c r="D99" s="1" t="s">
        <v>64</v>
      </c>
      <c r="E99" s="1" t="s">
        <v>48</v>
      </c>
      <c r="F99" s="1" t="s">
        <v>193</v>
      </c>
      <c r="G99" s="1" t="s">
        <v>340</v>
      </c>
      <c r="H99" s="1" t="s">
        <v>67</v>
      </c>
      <c r="I99" s="1" t="s">
        <v>68</v>
      </c>
      <c r="J99" s="1" t="s">
        <v>69</v>
      </c>
      <c r="K99" s="1" t="s">
        <v>54</v>
      </c>
      <c r="L99" s="1" t="s">
        <v>55</v>
      </c>
      <c r="M99" s="1" t="s">
        <v>100</v>
      </c>
      <c r="N99" s="1" t="s">
        <v>57</v>
      </c>
      <c r="O99" s="1" t="s">
        <v>58</v>
      </c>
      <c r="P99" s="1" t="s">
        <v>341</v>
      </c>
      <c r="Q99" s="1" t="s">
        <v>342</v>
      </c>
      <c r="R99" s="1" t="s">
        <v>61</v>
      </c>
      <c r="S99" s="1">
        <v>2457</v>
      </c>
      <c r="T99" s="2">
        <f>U99*0.98*0.965</f>
        <v>133832.57881355935</v>
      </c>
      <c r="U99" s="13">
        <v>141516.94915254239</v>
      </c>
      <c r="V99" s="13">
        <v>25423.561057790495</v>
      </c>
      <c r="W99" s="13">
        <v>0</v>
      </c>
      <c r="X99" s="13"/>
      <c r="Y99" s="2">
        <f>(U99*0.88-S99-V99-W99-X99)*1.18/0.92</f>
        <v>123969.71516500784</v>
      </c>
      <c r="Z99" s="1">
        <v>124990</v>
      </c>
      <c r="AA99" s="5"/>
      <c r="AB99" s="5"/>
      <c r="AC99" s="14">
        <v>0</v>
      </c>
      <c r="AD99" s="5">
        <v>0</v>
      </c>
      <c r="AE99" s="5"/>
      <c r="AF99" s="5">
        <f t="shared" si="24"/>
        <v>0</v>
      </c>
      <c r="AG99" s="5"/>
      <c r="AH99" s="13">
        <v>25423.561057790495</v>
      </c>
      <c r="AI99" s="13"/>
      <c r="AJ99" s="5"/>
      <c r="AL99" s="5"/>
      <c r="AM99" s="5">
        <v>123969.71516500784</v>
      </c>
      <c r="AN99" s="5">
        <f t="shared" si="19"/>
        <v>0</v>
      </c>
      <c r="AO99" s="5"/>
      <c r="AP99" s="5">
        <f t="shared" si="15"/>
        <v>141516.94915254239</v>
      </c>
      <c r="AQ99" s="20">
        <v>25423.561057790495</v>
      </c>
      <c r="AR99" s="20"/>
      <c r="AT99" s="3">
        <v>0</v>
      </c>
      <c r="AV99" s="5">
        <f t="shared" si="25"/>
        <v>0</v>
      </c>
      <c r="AX99" s="38">
        <f t="shared" si="20"/>
        <v>0</v>
      </c>
      <c r="BA99" s="3">
        <v>0</v>
      </c>
      <c r="BB99" s="3">
        <v>0</v>
      </c>
      <c r="BC99" s="3">
        <v>0</v>
      </c>
      <c r="BD99" s="3">
        <f t="shared" si="26"/>
        <v>0</v>
      </c>
      <c r="BE99" s="3">
        <v>0</v>
      </c>
      <c r="BF99" s="3">
        <v>0</v>
      </c>
      <c r="BH99" s="3">
        <f t="shared" si="27"/>
        <v>0</v>
      </c>
      <c r="BJ99" s="38">
        <f t="shared" si="21"/>
        <v>0</v>
      </c>
      <c r="BL99" s="3">
        <f t="shared" si="22"/>
        <v>166990.00000000003</v>
      </c>
    </row>
    <row r="100" spans="1:64" x14ac:dyDescent="0.35">
      <c r="A100" s="1" t="s">
        <v>343</v>
      </c>
      <c r="B100" s="1" t="str">
        <f t="shared" si="18"/>
        <v>Premium</v>
      </c>
      <c r="C100" s="1" t="s">
        <v>46</v>
      </c>
      <c r="D100" s="1" t="s">
        <v>47</v>
      </c>
      <c r="E100" s="1" t="s">
        <v>48</v>
      </c>
      <c r="F100" s="1" t="s">
        <v>344</v>
      </c>
      <c r="G100" s="1" t="s">
        <v>345</v>
      </c>
      <c r="H100" s="1" t="s">
        <v>51</v>
      </c>
      <c r="I100" s="1" t="s">
        <v>137</v>
      </c>
      <c r="J100" s="1" t="s">
        <v>173</v>
      </c>
      <c r="K100" s="1" t="s">
        <v>54</v>
      </c>
      <c r="L100" s="1" t="s">
        <v>70</v>
      </c>
      <c r="M100" s="1" t="s">
        <v>100</v>
      </c>
      <c r="N100" s="1" t="s">
        <v>57</v>
      </c>
      <c r="O100" s="1" t="s">
        <v>182</v>
      </c>
      <c r="P100" s="1" t="s">
        <v>346</v>
      </c>
      <c r="Q100" s="1" t="s">
        <v>248</v>
      </c>
      <c r="R100" s="1" t="s">
        <v>61</v>
      </c>
      <c r="S100" s="1">
        <v>725</v>
      </c>
      <c r="T100" s="2">
        <f>U100*0.98*0.965</f>
        <v>95610.32464368247</v>
      </c>
      <c r="U100" s="13">
        <v>101100.05778120173</v>
      </c>
      <c r="V100" s="13">
        <v>0</v>
      </c>
      <c r="W100" s="13">
        <v>0</v>
      </c>
      <c r="X100" s="13">
        <v>10284.745762711758</v>
      </c>
      <c r="Y100" s="2">
        <f>(U100*0.88-S100-V100-W100-X100)*1.18/0.92</f>
        <v>99990</v>
      </c>
      <c r="Z100" s="1">
        <v>99990</v>
      </c>
      <c r="AA100" s="5"/>
      <c r="AB100" s="5"/>
      <c r="AC100" s="14">
        <v>99990</v>
      </c>
      <c r="AD100" s="5">
        <f t="shared" si="23"/>
        <v>0</v>
      </c>
      <c r="AE100" s="5"/>
      <c r="AF100" s="5">
        <f t="shared" si="24"/>
        <v>10284.745762711758</v>
      </c>
      <c r="AG100" s="5"/>
      <c r="AH100" s="13">
        <v>0</v>
      </c>
      <c r="AI100" s="13"/>
      <c r="AJ100" s="5"/>
      <c r="AL100" s="5"/>
      <c r="AM100" s="5">
        <v>113181.30434782595</v>
      </c>
      <c r="AN100" s="5">
        <f t="shared" si="19"/>
        <v>-13191.30434782595</v>
      </c>
      <c r="AO100" s="5"/>
      <c r="AP100" s="5">
        <f t="shared" si="15"/>
        <v>101100.05778120173</v>
      </c>
      <c r="AQ100" s="20">
        <v>0</v>
      </c>
      <c r="AR100" s="20"/>
      <c r="AT100" s="3">
        <v>1</v>
      </c>
      <c r="AV100" s="5">
        <f t="shared" si="25"/>
        <v>10</v>
      </c>
      <c r="AX100" s="38">
        <f t="shared" si="20"/>
        <v>0</v>
      </c>
      <c r="BA100" s="3">
        <v>0</v>
      </c>
      <c r="BB100" s="3">
        <v>10</v>
      </c>
      <c r="BC100" s="3">
        <v>0</v>
      </c>
      <c r="BD100" s="3">
        <f t="shared" si="26"/>
        <v>10</v>
      </c>
      <c r="BE100" s="3">
        <v>1040</v>
      </c>
      <c r="BF100" s="3">
        <v>0</v>
      </c>
      <c r="BH100" s="3">
        <f t="shared" si="27"/>
        <v>19</v>
      </c>
      <c r="BJ100" s="38">
        <f t="shared" si="21"/>
        <v>0</v>
      </c>
      <c r="BL100" s="3">
        <f t="shared" si="22"/>
        <v>119298.06818181803</v>
      </c>
    </row>
    <row r="101" spans="1:64" x14ac:dyDescent="0.35">
      <c r="A101" s="1" t="s">
        <v>347</v>
      </c>
      <c r="B101" s="1" t="str">
        <f t="shared" si="18"/>
        <v>Premium</v>
      </c>
      <c r="C101" s="1" t="s">
        <v>46</v>
      </c>
      <c r="D101" s="1" t="s">
        <v>171</v>
      </c>
      <c r="E101" s="1" t="s">
        <v>48</v>
      </c>
      <c r="F101" s="1" t="s">
        <v>193</v>
      </c>
      <c r="G101" s="1" t="s">
        <v>348</v>
      </c>
      <c r="H101" s="1" t="s">
        <v>51</v>
      </c>
      <c r="I101" s="1" t="s">
        <v>349</v>
      </c>
      <c r="J101" s="1" t="s">
        <v>350</v>
      </c>
      <c r="K101" s="1" t="s">
        <v>227</v>
      </c>
      <c r="L101" s="1" t="s">
        <v>55</v>
      </c>
      <c r="M101" s="1" t="s">
        <v>100</v>
      </c>
      <c r="N101" s="1" t="s">
        <v>57</v>
      </c>
      <c r="O101" s="1" t="s">
        <v>156</v>
      </c>
      <c r="P101" s="1" t="s">
        <v>351</v>
      </c>
      <c r="Q101" s="1" t="s">
        <v>248</v>
      </c>
      <c r="R101" s="8" t="s">
        <v>73</v>
      </c>
      <c r="S101" s="1">
        <v>2457</v>
      </c>
      <c r="T101" s="2">
        <f>U101*0.98*0.98</f>
        <v>121262.70847457627</v>
      </c>
      <c r="U101" s="13">
        <v>126262.71186440678</v>
      </c>
      <c r="V101" s="13">
        <v>0</v>
      </c>
      <c r="W101" s="13">
        <v>0</v>
      </c>
      <c r="X101" s="13"/>
      <c r="Y101" s="2">
        <f>(U101*0.98-S101-V101-W101-X101)*1.18/0.92</f>
        <v>155555.36956521735</v>
      </c>
      <c r="Z101" s="1">
        <v>158990</v>
      </c>
      <c r="AA101" s="5"/>
      <c r="AB101" s="5"/>
      <c r="AC101" s="14">
        <v>158990</v>
      </c>
      <c r="AD101" s="5">
        <v>0</v>
      </c>
      <c r="AE101" s="5"/>
      <c r="AF101" s="5">
        <f t="shared" si="24"/>
        <v>0</v>
      </c>
      <c r="AG101" s="5"/>
      <c r="AH101" s="13">
        <v>0</v>
      </c>
      <c r="AI101" s="13"/>
      <c r="AJ101" s="5"/>
      <c r="AL101" s="5"/>
      <c r="AM101" s="5">
        <v>155555.36956521735</v>
      </c>
      <c r="AN101" s="5">
        <f t="shared" si="19"/>
        <v>0</v>
      </c>
      <c r="AO101" s="5"/>
      <c r="AP101" s="5">
        <f t="shared" si="15"/>
        <v>126262.71186440678</v>
      </c>
      <c r="AQ101" s="20">
        <v>0</v>
      </c>
      <c r="AR101" s="20"/>
      <c r="AT101" s="3">
        <v>0</v>
      </c>
      <c r="AV101" s="5">
        <f t="shared" si="25"/>
        <v>0</v>
      </c>
      <c r="AX101" s="38">
        <f t="shared" si="20"/>
        <v>0</v>
      </c>
      <c r="BA101" s="3">
        <v>0</v>
      </c>
      <c r="BB101" s="3">
        <v>0</v>
      </c>
      <c r="BC101" s="3">
        <v>0</v>
      </c>
      <c r="BD101" s="3">
        <f t="shared" si="26"/>
        <v>0</v>
      </c>
      <c r="BE101" s="3">
        <v>0</v>
      </c>
      <c r="BF101" s="3">
        <v>0</v>
      </c>
      <c r="BH101" s="3">
        <f t="shared" si="27"/>
        <v>0</v>
      </c>
      <c r="BJ101" s="38">
        <f t="shared" si="21"/>
        <v>0</v>
      </c>
      <c r="BL101" s="3">
        <f t="shared" si="22"/>
        <v>148990</v>
      </c>
    </row>
    <row r="102" spans="1:64" x14ac:dyDescent="0.35">
      <c r="A102" s="1" t="s">
        <v>352</v>
      </c>
      <c r="B102" s="1" t="str">
        <f t="shared" si="18"/>
        <v>Premium</v>
      </c>
      <c r="C102" s="1" t="s">
        <v>46</v>
      </c>
      <c r="D102" s="1" t="s">
        <v>353</v>
      </c>
      <c r="E102" s="1" t="s">
        <v>48</v>
      </c>
      <c r="F102" s="1" t="s">
        <v>49</v>
      </c>
      <c r="G102" s="1" t="s">
        <v>314</v>
      </c>
      <c r="H102" s="1" t="s">
        <v>67</v>
      </c>
      <c r="I102" s="1" t="s">
        <v>85</v>
      </c>
      <c r="J102" s="1" t="s">
        <v>226</v>
      </c>
      <c r="K102" s="1" t="s">
        <v>54</v>
      </c>
      <c r="L102" s="1" t="s">
        <v>70</v>
      </c>
      <c r="M102" s="1" t="s">
        <v>56</v>
      </c>
      <c r="N102" s="1" t="s">
        <v>200</v>
      </c>
      <c r="O102" s="1" t="s">
        <v>110</v>
      </c>
      <c r="P102" s="1" t="s">
        <v>129</v>
      </c>
      <c r="Q102" s="1" t="s">
        <v>60</v>
      </c>
      <c r="R102" s="1" t="s">
        <v>61</v>
      </c>
      <c r="S102" s="1">
        <v>2457</v>
      </c>
      <c r="T102" s="2">
        <f>U102*0.98*0.965</f>
        <v>96164.866949152536</v>
      </c>
      <c r="U102" s="13">
        <v>101686.44067796611</v>
      </c>
      <c r="V102" s="13">
        <v>0</v>
      </c>
      <c r="W102" s="13">
        <v>20763.677966101706</v>
      </c>
      <c r="X102" s="13"/>
      <c r="Y102" s="2">
        <f>(U102*0.88-S102-V102-W102-X102)*1.18/0.92</f>
        <v>84989.999999999985</v>
      </c>
      <c r="Z102" s="1">
        <v>84990</v>
      </c>
      <c r="AA102" s="5"/>
      <c r="AB102" s="5"/>
      <c r="AC102" s="14">
        <v>84990</v>
      </c>
      <c r="AD102" s="5">
        <f t="shared" si="23"/>
        <v>-1.1345561025506361E-11</v>
      </c>
      <c r="AE102" s="5"/>
      <c r="AF102" s="5">
        <f t="shared" si="24"/>
        <v>20763.677966101706</v>
      </c>
      <c r="AG102" s="5"/>
      <c r="AH102" s="13">
        <v>0</v>
      </c>
      <c r="AI102" s="13">
        <v>20763.677966101706</v>
      </c>
      <c r="AJ102" s="5"/>
      <c r="AL102" s="5"/>
      <c r="AM102" s="5">
        <v>84989.999999999985</v>
      </c>
      <c r="AN102" s="5">
        <f t="shared" si="19"/>
        <v>0</v>
      </c>
      <c r="AO102" s="5"/>
      <c r="AP102" s="5">
        <f t="shared" si="15"/>
        <v>101686.44067796611</v>
      </c>
      <c r="AQ102" s="20">
        <v>0</v>
      </c>
      <c r="AR102" s="20">
        <v>20763.677966101706</v>
      </c>
      <c r="AT102" s="3">
        <v>0</v>
      </c>
      <c r="AV102" s="5">
        <f t="shared" si="25"/>
        <v>0</v>
      </c>
      <c r="AX102" s="38">
        <f t="shared" si="20"/>
        <v>0</v>
      </c>
      <c r="BA102" s="3">
        <v>0</v>
      </c>
      <c r="BB102" s="3">
        <v>0</v>
      </c>
      <c r="BC102" s="3">
        <v>0</v>
      </c>
      <c r="BD102" s="3">
        <f t="shared" si="26"/>
        <v>0</v>
      </c>
      <c r="BE102" s="3">
        <v>111</v>
      </c>
      <c r="BF102" s="3">
        <v>1</v>
      </c>
      <c r="BH102" s="3">
        <f t="shared" si="27"/>
        <v>0</v>
      </c>
      <c r="BJ102" s="38">
        <f t="shared" si="21"/>
        <v>0</v>
      </c>
      <c r="BL102" s="3">
        <f t="shared" si="22"/>
        <v>119990</v>
      </c>
    </row>
    <row r="103" spans="1:64" x14ac:dyDescent="0.35">
      <c r="A103" s="1" t="s">
        <v>354</v>
      </c>
      <c r="B103" s="1" t="str">
        <f t="shared" si="18"/>
        <v>Premium</v>
      </c>
      <c r="C103" s="1" t="s">
        <v>46</v>
      </c>
      <c r="D103" s="1" t="s">
        <v>353</v>
      </c>
      <c r="E103" s="1" t="s">
        <v>48</v>
      </c>
      <c r="F103" s="1" t="s">
        <v>49</v>
      </c>
      <c r="G103" s="1" t="s">
        <v>314</v>
      </c>
      <c r="H103" s="1" t="s">
        <v>67</v>
      </c>
      <c r="I103" s="1" t="s">
        <v>85</v>
      </c>
      <c r="J103" s="1" t="s">
        <v>355</v>
      </c>
      <c r="K103" s="1" t="s">
        <v>54</v>
      </c>
      <c r="L103" s="1" t="s">
        <v>70</v>
      </c>
      <c r="M103" s="1" t="s">
        <v>228</v>
      </c>
      <c r="N103" s="1" t="s">
        <v>229</v>
      </c>
      <c r="O103" s="1" t="s">
        <v>337</v>
      </c>
      <c r="P103" s="1" t="s">
        <v>129</v>
      </c>
      <c r="Q103" s="1" t="s">
        <v>60</v>
      </c>
      <c r="R103" s="7" t="s">
        <v>61</v>
      </c>
      <c r="S103" s="1">
        <v>2457</v>
      </c>
      <c r="T103" s="2">
        <f>U103*0.98*0.965</f>
        <v>100172.07033898306</v>
      </c>
      <c r="U103" s="13">
        <v>105923.72881355933</v>
      </c>
      <c r="V103" s="13">
        <v>0</v>
      </c>
      <c r="W103" s="13">
        <v>0</v>
      </c>
      <c r="X103" s="13"/>
      <c r="Y103" s="2">
        <f>(U103*0.88-S103-V103-W103-X103)*1.18/0.92</f>
        <v>116404.28260869563</v>
      </c>
      <c r="Z103" s="1">
        <v>122990</v>
      </c>
      <c r="AA103" s="5"/>
      <c r="AB103" s="5"/>
      <c r="AC103" s="14">
        <v>0</v>
      </c>
      <c r="AD103" s="5">
        <v>0</v>
      </c>
      <c r="AE103" s="5"/>
      <c r="AF103" s="5">
        <f t="shared" si="24"/>
        <v>0</v>
      </c>
      <c r="AG103" s="5"/>
      <c r="AH103" s="13">
        <v>0</v>
      </c>
      <c r="AI103" s="13"/>
      <c r="AJ103" s="5"/>
      <c r="AL103" s="5"/>
      <c r="AM103" s="5">
        <v>116404.28260869563</v>
      </c>
      <c r="AN103" s="5">
        <f t="shared" si="19"/>
        <v>0</v>
      </c>
      <c r="AO103" s="5"/>
      <c r="AP103" s="5">
        <f t="shared" si="15"/>
        <v>105923.72881355933</v>
      </c>
      <c r="AQ103" s="20">
        <v>0</v>
      </c>
      <c r="AR103" s="20"/>
      <c r="AT103" s="3">
        <v>0</v>
      </c>
      <c r="AV103" s="5">
        <f t="shared" si="25"/>
        <v>0</v>
      </c>
      <c r="AX103" s="38">
        <f t="shared" si="20"/>
        <v>0</v>
      </c>
      <c r="BA103" s="3">
        <v>0</v>
      </c>
      <c r="BB103" s="3">
        <v>0</v>
      </c>
      <c r="BC103" s="3">
        <v>0</v>
      </c>
      <c r="BD103" s="3">
        <f t="shared" si="26"/>
        <v>0</v>
      </c>
      <c r="BE103" s="3">
        <v>5</v>
      </c>
      <c r="BF103" s="3">
        <v>0</v>
      </c>
      <c r="BH103" s="3">
        <f t="shared" si="27"/>
        <v>0</v>
      </c>
      <c r="BJ103" s="38">
        <f t="shared" si="21"/>
        <v>0</v>
      </c>
      <c r="BL103" s="3">
        <f t="shared" si="22"/>
        <v>124990</v>
      </c>
    </row>
    <row r="104" spans="1:64" x14ac:dyDescent="0.35">
      <c r="A104" s="1" t="s">
        <v>356</v>
      </c>
      <c r="B104" s="1" t="str">
        <f t="shared" si="18"/>
        <v>Premium</v>
      </c>
      <c r="C104" s="1" t="s">
        <v>46</v>
      </c>
      <c r="D104" s="1" t="s">
        <v>153</v>
      </c>
      <c r="E104" s="1" t="s">
        <v>48</v>
      </c>
      <c r="F104" s="1" t="s">
        <v>193</v>
      </c>
      <c r="G104" s="1" t="s">
        <v>225</v>
      </c>
      <c r="H104" s="1" t="s">
        <v>67</v>
      </c>
      <c r="I104" s="1" t="s">
        <v>85</v>
      </c>
      <c r="J104" s="1" t="s">
        <v>357</v>
      </c>
      <c r="K104" s="1" t="s">
        <v>227</v>
      </c>
      <c r="L104" s="1" t="s">
        <v>55</v>
      </c>
      <c r="M104" s="1" t="s">
        <v>56</v>
      </c>
      <c r="N104" s="1" t="s">
        <v>57</v>
      </c>
      <c r="O104" s="1" t="s">
        <v>230</v>
      </c>
      <c r="P104" s="1" t="s">
        <v>195</v>
      </c>
      <c r="Q104" s="1" t="s">
        <v>196</v>
      </c>
      <c r="R104" s="7" t="s">
        <v>61</v>
      </c>
      <c r="S104" s="1">
        <v>2457</v>
      </c>
      <c r="T104" s="2">
        <f>U104*0.98*0.965</f>
        <v>152265.71440677968</v>
      </c>
      <c r="U104" s="13">
        <v>161008.4745762712</v>
      </c>
      <c r="V104" s="13">
        <v>0</v>
      </c>
      <c r="W104" s="13">
        <v>0</v>
      </c>
      <c r="X104" s="13"/>
      <c r="Y104" s="2">
        <f>(U104*0.88-S104-V104-W104-X104)*1.18/0.92</f>
        <v>178578.19565217392</v>
      </c>
      <c r="Z104" s="1">
        <v>178990</v>
      </c>
      <c r="AA104" s="5"/>
      <c r="AB104" s="5"/>
      <c r="AC104" s="14">
        <v>0</v>
      </c>
      <c r="AD104" s="5">
        <v>0</v>
      </c>
      <c r="AE104" s="5"/>
      <c r="AF104" s="5">
        <f t="shared" si="24"/>
        <v>0</v>
      </c>
      <c r="AG104" s="5"/>
      <c r="AH104" s="13">
        <v>0</v>
      </c>
      <c r="AI104" s="13"/>
      <c r="AJ104" s="5"/>
      <c r="AL104" s="5"/>
      <c r="AM104" s="5">
        <v>178578.19565217392</v>
      </c>
      <c r="AN104" s="5">
        <f t="shared" si="19"/>
        <v>0</v>
      </c>
      <c r="AO104" s="5"/>
      <c r="AP104" s="5">
        <f t="shared" si="15"/>
        <v>161008.4745762712</v>
      </c>
      <c r="AQ104" s="20">
        <v>0</v>
      </c>
      <c r="AR104" s="20"/>
      <c r="AT104" s="3">
        <v>0</v>
      </c>
      <c r="AV104" s="5">
        <f t="shared" si="25"/>
        <v>0</v>
      </c>
      <c r="AX104" s="38">
        <f t="shared" si="20"/>
        <v>0</v>
      </c>
      <c r="BA104" s="3">
        <v>0</v>
      </c>
      <c r="BB104" s="3">
        <v>0</v>
      </c>
      <c r="BC104" s="3">
        <v>0</v>
      </c>
      <c r="BD104" s="3">
        <f t="shared" si="26"/>
        <v>0</v>
      </c>
      <c r="BE104" s="3">
        <v>0</v>
      </c>
      <c r="BF104" s="3">
        <v>0</v>
      </c>
      <c r="BH104" s="3">
        <f t="shared" si="27"/>
        <v>0</v>
      </c>
      <c r="BJ104" s="38">
        <f t="shared" si="21"/>
        <v>0</v>
      </c>
      <c r="BL104" s="3">
        <f t="shared" si="22"/>
        <v>189990</v>
      </c>
    </row>
    <row r="105" spans="1:64" x14ac:dyDescent="0.35">
      <c r="A105" s="1" t="s">
        <v>358</v>
      </c>
      <c r="B105" s="1" t="str">
        <f t="shared" si="18"/>
        <v>Premium</v>
      </c>
      <c r="C105" s="1" t="s">
        <v>46</v>
      </c>
      <c r="D105" s="1" t="s">
        <v>47</v>
      </c>
      <c r="E105" s="1" t="s">
        <v>48</v>
      </c>
      <c r="F105" s="1" t="s">
        <v>97</v>
      </c>
      <c r="G105" s="1" t="s">
        <v>172</v>
      </c>
      <c r="H105" s="1" t="s">
        <v>51</v>
      </c>
      <c r="I105" s="1" t="s">
        <v>181</v>
      </c>
      <c r="J105" s="1" t="s">
        <v>173</v>
      </c>
      <c r="K105" s="1" t="s">
        <v>54</v>
      </c>
      <c r="L105" s="1" t="s">
        <v>70</v>
      </c>
      <c r="M105" s="1" t="s">
        <v>100</v>
      </c>
      <c r="N105" s="1" t="s">
        <v>101</v>
      </c>
      <c r="O105" s="1" t="s">
        <v>359</v>
      </c>
      <c r="P105" s="1" t="s">
        <v>103</v>
      </c>
      <c r="Q105" s="1" t="s">
        <v>104</v>
      </c>
      <c r="R105" s="1" t="s">
        <v>73</v>
      </c>
      <c r="S105" s="1">
        <v>725</v>
      </c>
      <c r="T105" s="2">
        <f>U105*0.98*0.98</f>
        <v>68522.098305084743</v>
      </c>
      <c r="U105" s="13">
        <v>71347.457627118652</v>
      </c>
      <c r="V105" s="13">
        <v>0</v>
      </c>
      <c r="W105" s="13">
        <v>6830.5</v>
      </c>
      <c r="X105" s="13">
        <v>1559.2457627118506</v>
      </c>
      <c r="Y105" s="2">
        <f>(U105*0.98-S105-V105-W105-X105)*1.18/0.92</f>
        <v>77990.000000000015</v>
      </c>
      <c r="Z105" s="1">
        <v>77990</v>
      </c>
      <c r="AA105" s="5"/>
      <c r="AB105" s="5"/>
      <c r="AC105" s="14">
        <v>77990</v>
      </c>
      <c r="AD105" s="5">
        <f t="shared" si="23"/>
        <v>1.1345561025506361E-11</v>
      </c>
      <c r="AE105" s="5"/>
      <c r="AF105" s="5">
        <f t="shared" si="24"/>
        <v>8389.7457627118511</v>
      </c>
      <c r="AG105" s="5"/>
      <c r="AH105" s="13">
        <v>0</v>
      </c>
      <c r="AI105" s="13">
        <f>2152+4678.5</f>
        <v>6830.5</v>
      </c>
      <c r="AJ105" s="5"/>
      <c r="AL105" s="5"/>
      <c r="AM105" s="5">
        <v>79989.902173913026</v>
      </c>
      <c r="AN105" s="5">
        <f t="shared" si="19"/>
        <v>-1999.9021739130112</v>
      </c>
      <c r="AO105" s="5"/>
      <c r="AP105" s="5">
        <f t="shared" si="15"/>
        <v>71347.457627118652</v>
      </c>
      <c r="AQ105" s="20">
        <v>0</v>
      </c>
      <c r="AR105" s="20">
        <v>6830.5</v>
      </c>
      <c r="AT105" s="3">
        <v>6</v>
      </c>
      <c r="AV105" s="5">
        <f t="shared" si="25"/>
        <v>60</v>
      </c>
      <c r="AX105" s="38">
        <f t="shared" si="20"/>
        <v>409830</v>
      </c>
      <c r="BA105" s="3">
        <v>0</v>
      </c>
      <c r="BB105" s="3">
        <v>-1</v>
      </c>
      <c r="BC105" s="3">
        <v>0</v>
      </c>
      <c r="BD105" s="3">
        <f t="shared" si="26"/>
        <v>-1</v>
      </c>
      <c r="BE105" s="3">
        <v>791</v>
      </c>
      <c r="BF105" s="3">
        <v>1</v>
      </c>
      <c r="BH105" s="3">
        <f t="shared" si="27"/>
        <v>-2</v>
      </c>
      <c r="BJ105" s="38">
        <f t="shared" si="21"/>
        <v>0</v>
      </c>
      <c r="BL105" s="3">
        <f t="shared" si="22"/>
        <v>84190</v>
      </c>
    </row>
    <row r="106" spans="1:64" x14ac:dyDescent="0.35">
      <c r="A106" s="1" t="s">
        <v>360</v>
      </c>
      <c r="B106" s="1" t="str">
        <f t="shared" si="18"/>
        <v>Premium</v>
      </c>
      <c r="C106" s="1" t="s">
        <v>46</v>
      </c>
      <c r="D106" s="1" t="s">
        <v>153</v>
      </c>
      <c r="E106" s="1" t="s">
        <v>48</v>
      </c>
      <c r="F106" s="1" t="s">
        <v>193</v>
      </c>
      <c r="G106" s="1" t="s">
        <v>361</v>
      </c>
      <c r="H106" s="1" t="s">
        <v>67</v>
      </c>
      <c r="I106" s="1" t="s">
        <v>362</v>
      </c>
      <c r="J106" s="1" t="s">
        <v>363</v>
      </c>
      <c r="K106" s="1" t="s">
        <v>54</v>
      </c>
      <c r="L106" s="1" t="s">
        <v>55</v>
      </c>
      <c r="M106" s="1" t="s">
        <v>100</v>
      </c>
      <c r="N106" s="1" t="s">
        <v>57</v>
      </c>
      <c r="O106" s="1" t="s">
        <v>156</v>
      </c>
      <c r="P106" s="1" t="s">
        <v>351</v>
      </c>
      <c r="Q106" s="1" t="s">
        <v>248</v>
      </c>
      <c r="R106" s="8" t="s">
        <v>73</v>
      </c>
      <c r="S106" s="1">
        <v>2457</v>
      </c>
      <c r="T106" s="2">
        <f>U106*0.98*0.98</f>
        <v>116379.3186440678</v>
      </c>
      <c r="U106" s="13">
        <v>121177.96610169492</v>
      </c>
      <c r="V106" s="13">
        <v>0</v>
      </c>
      <c r="W106" s="13">
        <v>0</v>
      </c>
      <c r="X106" s="13"/>
      <c r="Y106" s="2">
        <f>(U106*0.98-S106-V106-W106-X106)*1.18/0.92</f>
        <v>149164.0652173913</v>
      </c>
      <c r="Z106" s="1">
        <v>152990</v>
      </c>
      <c r="AA106" s="5"/>
      <c r="AB106" s="5"/>
      <c r="AC106" s="14">
        <v>0</v>
      </c>
      <c r="AD106" s="5">
        <v>0</v>
      </c>
      <c r="AE106" s="5"/>
      <c r="AF106" s="5">
        <f t="shared" si="24"/>
        <v>0</v>
      </c>
      <c r="AG106" s="5"/>
      <c r="AH106" s="13">
        <v>0</v>
      </c>
      <c r="AI106" s="13"/>
      <c r="AJ106" s="5"/>
      <c r="AL106" s="5"/>
      <c r="AM106" s="5">
        <v>149164.0652173913</v>
      </c>
      <c r="AN106" s="5">
        <f t="shared" si="19"/>
        <v>0</v>
      </c>
      <c r="AO106" s="5"/>
      <c r="AP106" s="5">
        <f t="shared" si="15"/>
        <v>121177.96610169492</v>
      </c>
      <c r="AQ106" s="20">
        <v>0</v>
      </c>
      <c r="AR106" s="20"/>
      <c r="AT106" s="3">
        <v>0</v>
      </c>
      <c r="AV106" s="5">
        <f t="shared" si="25"/>
        <v>0</v>
      </c>
      <c r="AX106" s="38">
        <f t="shared" si="20"/>
        <v>0</v>
      </c>
      <c r="BA106" s="3">
        <v>0</v>
      </c>
      <c r="BB106" s="3">
        <v>0</v>
      </c>
      <c r="BC106" s="3">
        <v>0</v>
      </c>
      <c r="BD106" s="3">
        <f t="shared" si="26"/>
        <v>0</v>
      </c>
      <c r="BE106" s="3">
        <v>0</v>
      </c>
      <c r="BF106" s="3">
        <v>0</v>
      </c>
      <c r="BH106" s="3">
        <f t="shared" si="27"/>
        <v>0</v>
      </c>
      <c r="BJ106" s="38">
        <f t="shared" si="21"/>
        <v>0</v>
      </c>
      <c r="BL106" s="3">
        <f t="shared" si="22"/>
        <v>142990</v>
      </c>
    </row>
    <row r="107" spans="1:64" x14ac:dyDescent="0.35">
      <c r="A107" s="1" t="s">
        <v>364</v>
      </c>
      <c r="B107" s="1" t="str">
        <f t="shared" si="18"/>
        <v>Premium</v>
      </c>
      <c r="C107" s="1" t="s">
        <v>46</v>
      </c>
      <c r="D107" s="1" t="s">
        <v>47</v>
      </c>
      <c r="E107" s="1" t="s">
        <v>48</v>
      </c>
      <c r="F107" s="1" t="s">
        <v>344</v>
      </c>
      <c r="G107" s="1" t="s">
        <v>345</v>
      </c>
      <c r="H107" s="1" t="s">
        <v>51</v>
      </c>
      <c r="I107" s="1" t="s">
        <v>137</v>
      </c>
      <c r="J107" s="1" t="s">
        <v>173</v>
      </c>
      <c r="K107" s="1" t="s">
        <v>54</v>
      </c>
      <c r="L107" s="1" t="s">
        <v>70</v>
      </c>
      <c r="M107" s="1" t="s">
        <v>100</v>
      </c>
      <c r="N107" s="1" t="s">
        <v>57</v>
      </c>
      <c r="O107" s="1" t="s">
        <v>156</v>
      </c>
      <c r="P107" s="1" t="s">
        <v>365</v>
      </c>
      <c r="Q107" s="1" t="s">
        <v>248</v>
      </c>
      <c r="R107" s="1" t="s">
        <v>61</v>
      </c>
      <c r="S107" s="1">
        <v>725</v>
      </c>
      <c r="T107" s="2">
        <f>U107*0.98*0.965</f>
        <v>104179.27372881355</v>
      </c>
      <c r="U107" s="13">
        <v>110161.01694915254</v>
      </c>
      <c r="V107" s="13">
        <v>0</v>
      </c>
      <c r="W107" s="13">
        <v>0</v>
      </c>
      <c r="X107" s="13">
        <v>8902.4576271186343</v>
      </c>
      <c r="Y107" s="2">
        <f>(U107*0.88-S107-V107-W107-X107)*1.18/0.92</f>
        <v>111990</v>
      </c>
      <c r="Z107" s="1">
        <v>111990</v>
      </c>
      <c r="AA107" s="5"/>
      <c r="AB107" s="5"/>
      <c r="AC107" s="14">
        <v>111990</v>
      </c>
      <c r="AD107" s="5">
        <f t="shared" si="23"/>
        <v>0</v>
      </c>
      <c r="AE107" s="5"/>
      <c r="AF107" s="5">
        <f t="shared" si="24"/>
        <v>8902.4576271186343</v>
      </c>
      <c r="AG107" s="5"/>
      <c r="AH107" s="13">
        <v>0</v>
      </c>
      <c r="AI107" s="13"/>
      <c r="AJ107" s="5"/>
      <c r="AL107" s="5"/>
      <c r="AM107" s="5">
        <v>123408.36956521738</v>
      </c>
      <c r="AN107" s="5">
        <f t="shared" si="19"/>
        <v>-11418.369565217377</v>
      </c>
      <c r="AO107" s="5"/>
      <c r="AP107" s="5">
        <f t="shared" si="15"/>
        <v>110161.01694915254</v>
      </c>
      <c r="AQ107" s="20">
        <v>0</v>
      </c>
      <c r="AR107" s="20"/>
      <c r="AT107" s="3">
        <v>1</v>
      </c>
      <c r="AV107" s="5">
        <f t="shared" si="25"/>
        <v>10</v>
      </c>
      <c r="AX107" s="38">
        <f t="shared" si="20"/>
        <v>0</v>
      </c>
      <c r="BA107" s="3">
        <v>6</v>
      </c>
      <c r="BB107" s="3">
        <v>0</v>
      </c>
      <c r="BC107" s="3">
        <v>2</v>
      </c>
      <c r="BD107" s="3">
        <f t="shared" si="26"/>
        <v>8</v>
      </c>
      <c r="BE107" s="3">
        <v>3</v>
      </c>
      <c r="BF107" s="3">
        <v>0</v>
      </c>
      <c r="BH107" s="3">
        <f t="shared" si="27"/>
        <v>15</v>
      </c>
      <c r="BJ107" s="38">
        <f t="shared" si="21"/>
        <v>0</v>
      </c>
      <c r="BL107" s="3">
        <f t="shared" si="22"/>
        <v>129990</v>
      </c>
    </row>
    <row r="108" spans="1:64" x14ac:dyDescent="0.35">
      <c r="A108" s="1" t="s">
        <v>366</v>
      </c>
      <c r="B108" s="1" t="str">
        <f t="shared" si="18"/>
        <v>Premium</v>
      </c>
      <c r="C108" s="1" t="s">
        <v>46</v>
      </c>
      <c r="D108" s="1" t="s">
        <v>171</v>
      </c>
      <c r="E108" s="1" t="s">
        <v>48</v>
      </c>
      <c r="F108" s="1" t="s">
        <v>344</v>
      </c>
      <c r="G108" s="1" t="s">
        <v>345</v>
      </c>
      <c r="H108" s="1" t="s">
        <v>51</v>
      </c>
      <c r="I108" s="1" t="s">
        <v>137</v>
      </c>
      <c r="J108" s="1" t="s">
        <v>173</v>
      </c>
      <c r="K108" s="1" t="s">
        <v>54</v>
      </c>
      <c r="L108" s="1" t="s">
        <v>367</v>
      </c>
      <c r="M108" s="1" t="s">
        <v>100</v>
      </c>
      <c r="N108" s="1" t="s">
        <v>101</v>
      </c>
      <c r="O108" s="1" t="s">
        <v>156</v>
      </c>
      <c r="P108" s="1" t="s">
        <v>365</v>
      </c>
      <c r="Q108" s="1" t="s">
        <v>368</v>
      </c>
      <c r="R108" s="1" t="s">
        <v>61</v>
      </c>
      <c r="S108" s="1">
        <v>725</v>
      </c>
      <c r="T108" s="2">
        <f>U108*0.98*0.965</f>
        <v>111564.2209855932</v>
      </c>
      <c r="U108" s="13">
        <v>117969.99152542373</v>
      </c>
      <c r="V108" s="13">
        <v>0</v>
      </c>
      <c r="W108" s="13">
        <v>0</v>
      </c>
      <c r="X108" s="13">
        <v>12655.711186440658</v>
      </c>
      <c r="Y108" s="2">
        <f>(U108*0.88-S108-V108-W108-X108)*1.18/0.92</f>
        <v>115990</v>
      </c>
      <c r="Z108" s="1">
        <v>115990</v>
      </c>
      <c r="AA108" s="5"/>
      <c r="AB108" s="5"/>
      <c r="AC108" s="14">
        <v>115990</v>
      </c>
      <c r="AD108" s="5">
        <f t="shared" si="23"/>
        <v>0</v>
      </c>
      <c r="AE108" s="5"/>
      <c r="AF108" s="5">
        <f t="shared" si="24"/>
        <v>12655.711186440658</v>
      </c>
      <c r="AG108" s="5"/>
      <c r="AH108" s="13">
        <v>0</v>
      </c>
      <c r="AI108" s="13"/>
      <c r="AJ108" s="5"/>
      <c r="AL108" s="5"/>
      <c r="AM108" s="5">
        <v>132222.32521739128</v>
      </c>
      <c r="AN108" s="5">
        <f t="shared" si="19"/>
        <v>-16232.325217391277</v>
      </c>
      <c r="AO108" s="5"/>
      <c r="AP108" s="5">
        <f t="shared" si="15"/>
        <v>117969.99152542373</v>
      </c>
      <c r="AQ108" s="20">
        <v>0</v>
      </c>
      <c r="AR108" s="20"/>
      <c r="AT108" s="3">
        <v>5</v>
      </c>
      <c r="AV108" s="5">
        <f t="shared" si="25"/>
        <v>50</v>
      </c>
      <c r="AX108" s="38">
        <f t="shared" si="20"/>
        <v>0</v>
      </c>
      <c r="BA108" s="3">
        <v>8</v>
      </c>
      <c r="BB108" s="3">
        <v>11</v>
      </c>
      <c r="BC108" s="3">
        <v>9</v>
      </c>
      <c r="BD108" s="3">
        <f t="shared" si="26"/>
        <v>28</v>
      </c>
      <c r="BE108" s="3">
        <v>742</v>
      </c>
      <c r="BF108" s="3">
        <v>4</v>
      </c>
      <c r="BH108" s="3">
        <f t="shared" si="27"/>
        <v>52</v>
      </c>
      <c r="BJ108" s="38">
        <f t="shared" si="21"/>
        <v>0</v>
      </c>
      <c r="BL108" s="3">
        <f t="shared" si="22"/>
        <v>139204.59</v>
      </c>
    </row>
    <row r="109" spans="1:64" x14ac:dyDescent="0.35">
      <c r="A109" s="1" t="s">
        <v>369</v>
      </c>
      <c r="B109" s="1" t="str">
        <f t="shared" si="18"/>
        <v>Premium</v>
      </c>
      <c r="C109" s="1" t="s">
        <v>46</v>
      </c>
      <c r="D109" s="1" t="s">
        <v>370</v>
      </c>
      <c r="E109" s="1" t="s">
        <v>48</v>
      </c>
      <c r="F109" s="1" t="s">
        <v>371</v>
      </c>
      <c r="G109" s="1" t="s">
        <v>372</v>
      </c>
      <c r="H109" s="1" t="s">
        <v>373</v>
      </c>
      <c r="I109" s="1" t="s">
        <v>68</v>
      </c>
      <c r="J109" s="1" t="s">
        <v>374</v>
      </c>
      <c r="K109" s="1" t="s">
        <v>227</v>
      </c>
      <c r="L109" s="1" t="s">
        <v>55</v>
      </c>
      <c r="M109" s="1" t="s">
        <v>100</v>
      </c>
      <c r="N109" s="1" t="s">
        <v>57</v>
      </c>
      <c r="O109" s="1" t="s">
        <v>375</v>
      </c>
      <c r="P109" s="1" t="s">
        <v>247</v>
      </c>
      <c r="Q109" s="1" t="s">
        <v>248</v>
      </c>
      <c r="R109" s="1" t="s">
        <v>61</v>
      </c>
      <c r="S109" s="1">
        <v>2457</v>
      </c>
      <c r="T109" s="2">
        <f>U109*0.98*0.965</f>
        <v>304265.18657742656</v>
      </c>
      <c r="U109" s="13">
        <v>321735.41987673321</v>
      </c>
      <c r="V109" s="13">
        <v>0</v>
      </c>
      <c r="W109" s="13">
        <v>0</v>
      </c>
      <c r="X109" s="13"/>
      <c r="Y109" s="2">
        <f>(U109*0.88-S109-V109-W109-X109)*1.18/0.92</f>
        <v>359989.99999999971</v>
      </c>
      <c r="Z109" s="1">
        <v>359990</v>
      </c>
      <c r="AA109" s="5"/>
      <c r="AB109" s="5"/>
      <c r="AC109" s="14">
        <v>0</v>
      </c>
      <c r="AD109" s="5">
        <v>0</v>
      </c>
      <c r="AE109" s="5"/>
      <c r="AF109" s="5">
        <f t="shared" si="24"/>
        <v>0</v>
      </c>
      <c r="AG109" s="5"/>
      <c r="AH109" s="13">
        <v>0</v>
      </c>
      <c r="AI109" s="13"/>
      <c r="AJ109" s="5"/>
      <c r="AL109" s="5"/>
      <c r="AM109" s="5">
        <v>359989.99999999971</v>
      </c>
      <c r="AN109" s="5">
        <f t="shared" si="19"/>
        <v>0</v>
      </c>
      <c r="AO109" s="5"/>
      <c r="AP109" s="5">
        <f t="shared" si="15"/>
        <v>321735.41987673321</v>
      </c>
      <c r="AQ109" s="20">
        <v>0</v>
      </c>
      <c r="AR109" s="20"/>
      <c r="AT109" s="3">
        <v>0</v>
      </c>
      <c r="AV109" s="5">
        <f t="shared" si="25"/>
        <v>0</v>
      </c>
      <c r="AX109" s="38">
        <f t="shared" si="20"/>
        <v>0</v>
      </c>
      <c r="BA109" s="3">
        <v>0</v>
      </c>
      <c r="BB109" s="3">
        <v>3</v>
      </c>
      <c r="BC109" s="3">
        <v>3</v>
      </c>
      <c r="BD109" s="3">
        <f t="shared" si="26"/>
        <v>6</v>
      </c>
      <c r="BE109" s="3">
        <v>5</v>
      </c>
      <c r="BF109" s="3">
        <v>0</v>
      </c>
      <c r="BH109" s="3">
        <f t="shared" si="27"/>
        <v>12</v>
      </c>
      <c r="BJ109" s="38">
        <f t="shared" si="21"/>
        <v>0</v>
      </c>
      <c r="BL109" s="3">
        <f t="shared" si="22"/>
        <v>379647.79545454518</v>
      </c>
    </row>
    <row r="110" spans="1:64" x14ac:dyDescent="0.35">
      <c r="A110" s="1" t="s">
        <v>376</v>
      </c>
      <c r="B110" s="1" t="str">
        <f t="shared" si="18"/>
        <v>Premium</v>
      </c>
      <c r="C110" s="1" t="s">
        <v>46</v>
      </c>
      <c r="D110" s="1" t="s">
        <v>64</v>
      </c>
      <c r="E110" s="1" t="s">
        <v>48</v>
      </c>
      <c r="F110" s="1" t="s">
        <v>344</v>
      </c>
      <c r="G110" s="1" t="s">
        <v>377</v>
      </c>
      <c r="H110" s="1" t="s">
        <v>67</v>
      </c>
      <c r="I110" s="1" t="s">
        <v>154</v>
      </c>
      <c r="J110" s="1" t="s">
        <v>155</v>
      </c>
      <c r="K110" s="1" t="s">
        <v>54</v>
      </c>
      <c r="L110" s="1" t="s">
        <v>55</v>
      </c>
      <c r="M110" s="1" t="s">
        <v>100</v>
      </c>
      <c r="N110" s="1" t="s">
        <v>57</v>
      </c>
      <c r="O110" s="1" t="s">
        <v>156</v>
      </c>
      <c r="P110" s="1" t="s">
        <v>365</v>
      </c>
      <c r="Q110" s="1" t="s">
        <v>368</v>
      </c>
      <c r="R110" s="1" t="s">
        <v>61</v>
      </c>
      <c r="S110" s="1">
        <v>725</v>
      </c>
      <c r="T110" s="2">
        <f>U110*0.98*0.965</f>
        <v>117394.93943567009</v>
      </c>
      <c r="U110" s="13">
        <v>124135.49691833573</v>
      </c>
      <c r="V110" s="13">
        <v>0</v>
      </c>
      <c r="W110" s="13">
        <v>0</v>
      </c>
      <c r="X110" s="13">
        <v>11064.406779660854</v>
      </c>
      <c r="Y110" s="2">
        <f>(U110*0.88-S110-V110-W110-X110)*1.18/0.92</f>
        <v>124990</v>
      </c>
      <c r="Z110" s="1">
        <v>124990</v>
      </c>
      <c r="AA110" s="5"/>
      <c r="AB110" s="5"/>
      <c r="AC110" s="14">
        <v>124990</v>
      </c>
      <c r="AD110" s="5">
        <f t="shared" si="23"/>
        <v>0</v>
      </c>
      <c r="AE110" s="5"/>
      <c r="AF110" s="5">
        <f t="shared" si="24"/>
        <v>11064.406779660854</v>
      </c>
      <c r="AG110" s="5"/>
      <c r="AH110" s="13">
        <v>0</v>
      </c>
      <c r="AI110" s="13"/>
      <c r="AJ110" s="5"/>
      <c r="AL110" s="5"/>
      <c r="AM110" s="5">
        <v>139181.30434782588</v>
      </c>
      <c r="AN110" s="5">
        <f t="shared" si="19"/>
        <v>-14191.304347825877</v>
      </c>
      <c r="AO110" s="5"/>
      <c r="AP110" s="5">
        <f t="shared" si="15"/>
        <v>124135.49691833573</v>
      </c>
      <c r="AQ110" s="20">
        <v>0</v>
      </c>
      <c r="AR110" s="20"/>
      <c r="AT110" s="3">
        <v>1</v>
      </c>
      <c r="AV110" s="5">
        <f t="shared" si="25"/>
        <v>10</v>
      </c>
      <c r="AX110" s="38">
        <f t="shared" si="20"/>
        <v>0</v>
      </c>
      <c r="BA110" s="3">
        <v>11</v>
      </c>
      <c r="BB110" s="3">
        <v>5</v>
      </c>
      <c r="BC110" s="3">
        <v>0</v>
      </c>
      <c r="BD110" s="3">
        <f t="shared" si="26"/>
        <v>16</v>
      </c>
      <c r="BE110" s="3">
        <v>5</v>
      </c>
      <c r="BF110" s="3">
        <v>0</v>
      </c>
      <c r="BH110" s="3">
        <f t="shared" si="27"/>
        <v>30</v>
      </c>
      <c r="BJ110" s="38">
        <f t="shared" si="21"/>
        <v>0</v>
      </c>
      <c r="BL110" s="3">
        <f t="shared" si="22"/>
        <v>146479.88636363615</v>
      </c>
    </row>
    <row r="111" spans="1:64" x14ac:dyDescent="0.35">
      <c r="A111" s="1" t="s">
        <v>378</v>
      </c>
      <c r="B111" s="1" t="str">
        <f t="shared" si="18"/>
        <v>Premium</v>
      </c>
      <c r="C111" s="1" t="s">
        <v>46</v>
      </c>
      <c r="D111" s="1" t="s">
        <v>171</v>
      </c>
      <c r="E111" s="1" t="s">
        <v>48</v>
      </c>
      <c r="F111" s="1" t="s">
        <v>344</v>
      </c>
      <c r="G111" s="1" t="s">
        <v>345</v>
      </c>
      <c r="H111" s="1" t="s">
        <v>51</v>
      </c>
      <c r="I111" s="1" t="s">
        <v>137</v>
      </c>
      <c r="J111" s="1" t="s">
        <v>176</v>
      </c>
      <c r="K111" s="1" t="s">
        <v>54</v>
      </c>
      <c r="L111" s="1" t="s">
        <v>70</v>
      </c>
      <c r="M111" s="1" t="s">
        <v>100</v>
      </c>
      <c r="N111" s="1" t="s">
        <v>101</v>
      </c>
      <c r="O111" s="1" t="s">
        <v>156</v>
      </c>
      <c r="P111" s="1" t="s">
        <v>365</v>
      </c>
      <c r="Q111" s="1" t="s">
        <v>368</v>
      </c>
      <c r="R111" s="1" t="s">
        <v>73</v>
      </c>
      <c r="S111" s="1">
        <v>725</v>
      </c>
      <c r="T111" s="2">
        <f>U111*0.98*0.98</f>
        <v>105961.42033898305</v>
      </c>
      <c r="U111" s="13">
        <v>110330.50847457627</v>
      </c>
      <c r="V111" s="13">
        <v>0</v>
      </c>
      <c r="W111" s="13">
        <v>5508</v>
      </c>
      <c r="X111" s="13">
        <v>14576.66101694914</v>
      </c>
      <c r="Y111" s="2">
        <f>(U111*0.98-S111-V111-W111-X111)*1.18/0.92</f>
        <v>111990</v>
      </c>
      <c r="Z111" s="1">
        <v>111990</v>
      </c>
      <c r="AA111" s="5"/>
      <c r="AB111" s="5"/>
      <c r="AC111" s="14">
        <v>111990</v>
      </c>
      <c r="AD111" s="5">
        <f t="shared" si="23"/>
        <v>0</v>
      </c>
      <c r="AE111" s="5"/>
      <c r="AF111" s="5">
        <f t="shared" si="24"/>
        <v>20084.66101694914</v>
      </c>
      <c r="AG111" s="5"/>
      <c r="AH111" s="13">
        <v>0</v>
      </c>
      <c r="AI111" s="13">
        <v>5508</v>
      </c>
      <c r="AJ111" s="5"/>
      <c r="AL111" s="5"/>
      <c r="AM111" s="5">
        <v>130686.15217391303</v>
      </c>
      <c r="AN111" s="5">
        <f t="shared" si="19"/>
        <v>-18696.152173913026</v>
      </c>
      <c r="AO111" s="5"/>
      <c r="AP111" s="5">
        <f t="shared" si="15"/>
        <v>110330.50847457627</v>
      </c>
      <c r="AQ111" s="20">
        <v>0</v>
      </c>
      <c r="AR111" s="20">
        <v>5508</v>
      </c>
      <c r="AT111" s="3">
        <v>0</v>
      </c>
      <c r="AV111" s="5">
        <f t="shared" si="25"/>
        <v>0</v>
      </c>
      <c r="AX111" s="38">
        <f t="shared" si="20"/>
        <v>0</v>
      </c>
      <c r="BA111" s="3">
        <v>0</v>
      </c>
      <c r="BB111" s="3">
        <v>0</v>
      </c>
      <c r="BC111" s="3">
        <v>0</v>
      </c>
      <c r="BD111" s="3">
        <f t="shared" si="26"/>
        <v>0</v>
      </c>
      <c r="BE111" s="3">
        <v>170</v>
      </c>
      <c r="BF111" s="3">
        <v>0</v>
      </c>
      <c r="BH111" s="3">
        <f t="shared" si="27"/>
        <v>0</v>
      </c>
      <c r="BJ111" s="38">
        <f t="shared" si="21"/>
        <v>0</v>
      </c>
      <c r="BL111" s="3">
        <f t="shared" si="22"/>
        <v>130190</v>
      </c>
    </row>
    <row r="112" spans="1:64" x14ac:dyDescent="0.35">
      <c r="A112" s="1" t="s">
        <v>379</v>
      </c>
      <c r="B112" s="1" t="str">
        <f t="shared" si="18"/>
        <v>Premium</v>
      </c>
      <c r="C112" s="1" t="s">
        <v>46</v>
      </c>
      <c r="D112" s="1" t="s">
        <v>171</v>
      </c>
      <c r="E112" s="1" t="s">
        <v>48</v>
      </c>
      <c r="F112" s="1" t="s">
        <v>193</v>
      </c>
      <c r="G112" s="1" t="s">
        <v>348</v>
      </c>
      <c r="H112" s="1" t="s">
        <v>51</v>
      </c>
      <c r="I112" s="1" t="s">
        <v>349</v>
      </c>
      <c r="J112" s="1" t="s">
        <v>380</v>
      </c>
      <c r="K112" s="1" t="s">
        <v>54</v>
      </c>
      <c r="L112" s="1" t="s">
        <v>55</v>
      </c>
      <c r="M112" s="1" t="s">
        <v>100</v>
      </c>
      <c r="N112" s="1" t="s">
        <v>57</v>
      </c>
      <c r="O112" s="1" t="s">
        <v>156</v>
      </c>
      <c r="P112" s="1" t="s">
        <v>351</v>
      </c>
      <c r="Q112" s="1" t="s">
        <v>248</v>
      </c>
      <c r="R112" s="1" t="s">
        <v>61</v>
      </c>
      <c r="S112" s="1">
        <v>725</v>
      </c>
      <c r="T112" s="2">
        <f>U112*0.98*0.965</f>
        <v>119070.67903505411</v>
      </c>
      <c r="U112" s="13">
        <v>125907.45377503872</v>
      </c>
      <c r="V112" s="13">
        <v>0</v>
      </c>
      <c r="W112" s="13">
        <v>0</v>
      </c>
      <c r="X112" s="13"/>
      <c r="Y112" s="2">
        <f>(U112*0.88-S112-V112-W112-X112)*1.18/0.92</f>
        <v>141181.30434782631</v>
      </c>
      <c r="Z112" s="1">
        <v>142190</v>
      </c>
      <c r="AA112" s="5"/>
      <c r="AB112" s="5"/>
      <c r="AC112" s="14">
        <v>142190</v>
      </c>
      <c r="AD112" s="5">
        <v>0</v>
      </c>
      <c r="AE112" s="5"/>
      <c r="AF112" s="5">
        <f t="shared" si="24"/>
        <v>0</v>
      </c>
      <c r="AG112" s="5"/>
      <c r="AH112" s="13">
        <v>0</v>
      </c>
      <c r="AI112" s="13"/>
      <c r="AJ112" s="5"/>
      <c r="AL112" s="5"/>
      <c r="AM112" s="5">
        <v>141181.30434782631</v>
      </c>
      <c r="AN112" s="5">
        <f t="shared" si="19"/>
        <v>0</v>
      </c>
      <c r="AO112" s="5"/>
      <c r="AP112" s="5">
        <f t="shared" si="15"/>
        <v>125907.45377503872</v>
      </c>
      <c r="AQ112" s="20">
        <v>0</v>
      </c>
      <c r="AR112" s="20"/>
      <c r="AT112" s="3">
        <v>4</v>
      </c>
      <c r="AV112" s="5">
        <f t="shared" si="25"/>
        <v>40</v>
      </c>
      <c r="AX112" s="38">
        <f t="shared" si="20"/>
        <v>0</v>
      </c>
      <c r="BA112" s="3">
        <v>8</v>
      </c>
      <c r="BB112" s="3">
        <v>9</v>
      </c>
      <c r="BC112" s="3">
        <v>5</v>
      </c>
      <c r="BD112" s="3">
        <f t="shared" si="26"/>
        <v>22</v>
      </c>
      <c r="BE112" s="3">
        <v>180</v>
      </c>
      <c r="BF112" s="3">
        <v>0</v>
      </c>
      <c r="BH112" s="3">
        <f t="shared" si="27"/>
        <v>41</v>
      </c>
      <c r="BJ112" s="38">
        <f t="shared" si="21"/>
        <v>0</v>
      </c>
      <c r="BL112" s="3">
        <f t="shared" si="22"/>
        <v>148570.79545454567</v>
      </c>
    </row>
    <row r="113" spans="1:64" x14ac:dyDescent="0.35">
      <c r="A113" s="1" t="s">
        <v>381</v>
      </c>
      <c r="B113" s="1" t="str">
        <f t="shared" si="18"/>
        <v>Premium</v>
      </c>
      <c r="C113" s="1" t="s">
        <v>46</v>
      </c>
      <c r="D113" s="1" t="s">
        <v>153</v>
      </c>
      <c r="E113" s="1" t="s">
        <v>48</v>
      </c>
      <c r="F113" s="1" t="s">
        <v>193</v>
      </c>
      <c r="G113" s="1" t="s">
        <v>361</v>
      </c>
      <c r="H113" s="1" t="s">
        <v>67</v>
      </c>
      <c r="I113" s="1" t="s">
        <v>154</v>
      </c>
      <c r="J113" s="1" t="s">
        <v>363</v>
      </c>
      <c r="K113" s="1" t="s">
        <v>227</v>
      </c>
      <c r="L113" s="1" t="s">
        <v>55</v>
      </c>
      <c r="M113" s="1" t="s">
        <v>100</v>
      </c>
      <c r="N113" s="1" t="s">
        <v>57</v>
      </c>
      <c r="O113" s="1" t="s">
        <v>156</v>
      </c>
      <c r="P113" s="1" t="s">
        <v>351</v>
      </c>
      <c r="Q113" s="1" t="s">
        <v>248</v>
      </c>
      <c r="R113" s="1" t="s">
        <v>61</v>
      </c>
      <c r="S113" s="1">
        <v>725</v>
      </c>
      <c r="T113" s="2">
        <f>U113*0.98*0.965</f>
        <v>133154.17749422189</v>
      </c>
      <c r="U113" s="13">
        <v>140799.59553158708</v>
      </c>
      <c r="V113" s="13">
        <v>0</v>
      </c>
      <c r="W113" s="13">
        <v>0</v>
      </c>
      <c r="X113" s="13"/>
      <c r="Y113" s="2">
        <f>(U113*0.88-S113-V113-W113-X113)*1.18/0.92</f>
        <v>157990</v>
      </c>
      <c r="Z113" s="1">
        <v>158990</v>
      </c>
      <c r="AA113" s="5"/>
      <c r="AB113" s="5"/>
      <c r="AC113" s="14">
        <v>0</v>
      </c>
      <c r="AD113" s="5">
        <v>0</v>
      </c>
      <c r="AE113" s="5"/>
      <c r="AF113" s="5">
        <f t="shared" si="24"/>
        <v>0</v>
      </c>
      <c r="AG113" s="5"/>
      <c r="AH113" s="13">
        <v>0</v>
      </c>
      <c r="AI113" s="13"/>
      <c r="AJ113" s="5"/>
      <c r="AL113" s="5"/>
      <c r="AM113" s="5">
        <v>157990</v>
      </c>
      <c r="AN113" s="5">
        <f t="shared" si="19"/>
        <v>0</v>
      </c>
      <c r="AO113" s="5"/>
      <c r="AP113" s="5">
        <f t="shared" si="15"/>
        <v>140799.59553158708</v>
      </c>
      <c r="AQ113" s="20">
        <v>0</v>
      </c>
      <c r="AR113" s="20"/>
      <c r="AT113" s="3">
        <v>0</v>
      </c>
      <c r="AV113" s="5">
        <f t="shared" si="25"/>
        <v>0</v>
      </c>
      <c r="AX113" s="38">
        <f t="shared" si="20"/>
        <v>0</v>
      </c>
      <c r="BA113" s="3">
        <v>0</v>
      </c>
      <c r="BB113" s="3">
        <v>0</v>
      </c>
      <c r="BC113" s="3">
        <v>0</v>
      </c>
      <c r="BD113" s="3">
        <f t="shared" si="26"/>
        <v>0</v>
      </c>
      <c r="BE113" s="3">
        <v>0</v>
      </c>
      <c r="BF113" s="3">
        <v>0</v>
      </c>
      <c r="BH113" s="3">
        <f t="shared" si="27"/>
        <v>0</v>
      </c>
      <c r="BJ113" s="38">
        <f t="shared" si="21"/>
        <v>0</v>
      </c>
      <c r="BL113" s="3">
        <f t="shared" si="22"/>
        <v>166143.52272727274</v>
      </c>
    </row>
    <row r="114" spans="1:64" x14ac:dyDescent="0.35">
      <c r="A114" s="1" t="s">
        <v>382</v>
      </c>
      <c r="B114" s="1" t="str">
        <f t="shared" si="18"/>
        <v>Premium</v>
      </c>
      <c r="C114" s="1" t="s">
        <v>46</v>
      </c>
      <c r="D114" s="1" t="s">
        <v>153</v>
      </c>
      <c r="E114" s="1" t="s">
        <v>48</v>
      </c>
      <c r="F114" s="1" t="s">
        <v>335</v>
      </c>
      <c r="G114" s="1" t="s">
        <v>383</v>
      </c>
      <c r="H114" s="1" t="s">
        <v>67</v>
      </c>
      <c r="I114" s="1" t="s">
        <v>362</v>
      </c>
      <c r="J114" s="1" t="s">
        <v>384</v>
      </c>
      <c r="K114" s="1" t="s">
        <v>54</v>
      </c>
      <c r="L114" s="1" t="s">
        <v>367</v>
      </c>
      <c r="M114" s="1" t="s">
        <v>100</v>
      </c>
      <c r="N114" s="1" t="s">
        <v>101</v>
      </c>
      <c r="O114" s="1" t="s">
        <v>156</v>
      </c>
      <c r="P114" s="1" t="s">
        <v>385</v>
      </c>
      <c r="Q114" s="1" t="s">
        <v>368</v>
      </c>
      <c r="R114" s="1" t="s">
        <v>73</v>
      </c>
      <c r="S114" s="1">
        <v>725</v>
      </c>
      <c r="T114" s="2">
        <f>U114*0.98*0.98</f>
        <v>122076.60677966103</v>
      </c>
      <c r="U114" s="13">
        <v>127110.16949152543</v>
      </c>
      <c r="V114" s="13">
        <v>0</v>
      </c>
      <c r="W114" s="13">
        <v>0</v>
      </c>
      <c r="X114" s="13"/>
      <c r="Y114" s="2">
        <f>(U114*0.98-S114-V114-W114-X114)*1.18/0.92</f>
        <v>158842.0652173913</v>
      </c>
      <c r="Z114" s="1">
        <v>158990</v>
      </c>
      <c r="AA114" s="5"/>
      <c r="AB114" s="5"/>
      <c r="AC114" s="14">
        <v>0</v>
      </c>
      <c r="AD114" s="5">
        <v>0</v>
      </c>
      <c r="AE114" s="5"/>
      <c r="AF114" s="5">
        <f t="shared" si="24"/>
        <v>0</v>
      </c>
      <c r="AG114" s="5"/>
      <c r="AH114" s="13">
        <v>0</v>
      </c>
      <c r="AI114" s="13"/>
      <c r="AJ114" s="5"/>
      <c r="AL114" s="5"/>
      <c r="AM114" s="5">
        <v>158842.0652173913</v>
      </c>
      <c r="AN114" s="5">
        <f t="shared" si="19"/>
        <v>0</v>
      </c>
      <c r="AO114" s="5"/>
      <c r="AP114" s="5">
        <f t="shared" ref="AP114:AP142" si="30">U114-AL114</f>
        <v>127110.16949152543</v>
      </c>
      <c r="AQ114" s="20">
        <v>0</v>
      </c>
      <c r="AR114" s="20"/>
      <c r="AT114" s="3">
        <v>0</v>
      </c>
      <c r="AV114" s="5">
        <f t="shared" si="25"/>
        <v>0</v>
      </c>
      <c r="AX114" s="38">
        <f t="shared" si="20"/>
        <v>0</v>
      </c>
      <c r="BA114" s="3">
        <v>0</v>
      </c>
      <c r="BB114" s="3">
        <v>0</v>
      </c>
      <c r="BC114" s="3">
        <v>2</v>
      </c>
      <c r="BD114" s="3">
        <f t="shared" si="26"/>
        <v>2</v>
      </c>
      <c r="BE114" s="3">
        <v>3</v>
      </c>
      <c r="BF114" s="3">
        <v>0</v>
      </c>
      <c r="BH114" s="3">
        <f t="shared" si="27"/>
        <v>4</v>
      </c>
      <c r="BJ114" s="38">
        <f t="shared" si="21"/>
        <v>0</v>
      </c>
      <c r="BL114" s="3">
        <f t="shared" si="22"/>
        <v>149990</v>
      </c>
    </row>
    <row r="115" spans="1:64" x14ac:dyDescent="0.35">
      <c r="A115" s="1" t="s">
        <v>386</v>
      </c>
      <c r="B115" s="1" t="str">
        <f t="shared" si="18"/>
        <v>Premium</v>
      </c>
      <c r="C115" s="1" t="s">
        <v>46</v>
      </c>
      <c r="D115" s="1" t="s">
        <v>387</v>
      </c>
      <c r="E115" s="1" t="s">
        <v>48</v>
      </c>
      <c r="F115" s="1" t="s">
        <v>335</v>
      </c>
      <c r="G115" s="1" t="s">
        <v>383</v>
      </c>
      <c r="H115" s="1" t="s">
        <v>373</v>
      </c>
      <c r="I115" s="1" t="s">
        <v>154</v>
      </c>
      <c r="J115" s="1" t="s">
        <v>388</v>
      </c>
      <c r="K115" s="1" t="s">
        <v>54</v>
      </c>
      <c r="L115" s="1" t="s">
        <v>55</v>
      </c>
      <c r="M115" s="1" t="s">
        <v>100</v>
      </c>
      <c r="N115" s="1" t="s">
        <v>57</v>
      </c>
      <c r="O115" s="1" t="s">
        <v>156</v>
      </c>
      <c r="P115" s="1" t="s">
        <v>389</v>
      </c>
      <c r="Q115" s="1" t="s">
        <v>248</v>
      </c>
      <c r="R115" s="1" t="s">
        <v>61</v>
      </c>
      <c r="S115" s="1">
        <v>725</v>
      </c>
      <c r="T115" s="2">
        <f t="shared" ref="T115:T121" si="31">U115*0.98*0.965</f>
        <v>133314.46562981507</v>
      </c>
      <c r="U115" s="13">
        <v>140969.08705701074</v>
      </c>
      <c r="V115" s="13">
        <v>0</v>
      </c>
      <c r="W115" s="13">
        <v>0</v>
      </c>
      <c r="X115" s="13"/>
      <c r="Y115" s="2">
        <f t="shared" ref="Y115:Y121" si="32">(U115*0.88-S115-V115-W115-X115)*1.18/0.92</f>
        <v>158181.30434782599</v>
      </c>
      <c r="Z115" s="1">
        <v>159190</v>
      </c>
      <c r="AA115" s="5"/>
      <c r="AB115" s="5"/>
      <c r="AC115" s="14">
        <v>159190</v>
      </c>
      <c r="AD115" s="5">
        <v>0</v>
      </c>
      <c r="AE115" s="5"/>
      <c r="AF115" s="5">
        <f t="shared" si="24"/>
        <v>0</v>
      </c>
      <c r="AG115" s="5"/>
      <c r="AH115" s="13">
        <v>0</v>
      </c>
      <c r="AI115" s="13"/>
      <c r="AJ115" s="5"/>
      <c r="AL115" s="5"/>
      <c r="AM115" s="5">
        <v>158181.30434782599</v>
      </c>
      <c r="AN115" s="5">
        <f t="shared" si="19"/>
        <v>0</v>
      </c>
      <c r="AO115" s="5"/>
      <c r="AP115" s="5">
        <f t="shared" si="30"/>
        <v>140969.08705701074</v>
      </c>
      <c r="AQ115" s="20">
        <v>0</v>
      </c>
      <c r="AR115" s="20"/>
      <c r="AT115" s="3">
        <v>0</v>
      </c>
      <c r="AV115" s="5">
        <f t="shared" si="25"/>
        <v>0</v>
      </c>
      <c r="AX115" s="38">
        <f t="shared" si="20"/>
        <v>0</v>
      </c>
      <c r="BA115" s="3">
        <v>0</v>
      </c>
      <c r="BB115" s="3">
        <v>0</v>
      </c>
      <c r="BC115" s="3">
        <v>0</v>
      </c>
      <c r="BD115" s="3">
        <f t="shared" si="26"/>
        <v>0</v>
      </c>
      <c r="BE115" s="3">
        <v>11</v>
      </c>
      <c r="BF115" s="3">
        <v>67</v>
      </c>
      <c r="BH115" s="3">
        <f t="shared" si="27"/>
        <v>0</v>
      </c>
      <c r="BJ115" s="38">
        <f t="shared" si="21"/>
        <v>0</v>
      </c>
      <c r="BL115" s="3">
        <f t="shared" si="22"/>
        <v>166343.52272727265</v>
      </c>
    </row>
    <row r="116" spans="1:64" x14ac:dyDescent="0.35">
      <c r="A116" s="1" t="s">
        <v>390</v>
      </c>
      <c r="B116" s="1" t="str">
        <f t="shared" si="18"/>
        <v>Premium</v>
      </c>
      <c r="C116" s="1" t="s">
        <v>46</v>
      </c>
      <c r="D116" s="1" t="s">
        <v>171</v>
      </c>
      <c r="E116" s="1" t="s">
        <v>48</v>
      </c>
      <c r="F116" s="1" t="s">
        <v>193</v>
      </c>
      <c r="G116" s="1" t="s">
        <v>348</v>
      </c>
      <c r="H116" s="1" t="s">
        <v>51</v>
      </c>
      <c r="I116" s="1" t="s">
        <v>349</v>
      </c>
      <c r="J116" s="1" t="s">
        <v>380</v>
      </c>
      <c r="K116" s="1" t="s">
        <v>54</v>
      </c>
      <c r="L116" s="1" t="s">
        <v>55</v>
      </c>
      <c r="M116" s="1" t="s">
        <v>100</v>
      </c>
      <c r="N116" s="1" t="s">
        <v>57</v>
      </c>
      <c r="O116" s="1" t="s">
        <v>391</v>
      </c>
      <c r="P116" s="1" t="s">
        <v>351</v>
      </c>
      <c r="Q116" s="1" t="s">
        <v>248</v>
      </c>
      <c r="R116" s="1" t="s">
        <v>61</v>
      </c>
      <c r="S116" s="1">
        <v>725</v>
      </c>
      <c r="T116" s="2">
        <f t="shared" si="31"/>
        <v>137503.81462827465</v>
      </c>
      <c r="U116" s="13">
        <v>145398.97919876775</v>
      </c>
      <c r="V116" s="13">
        <v>0</v>
      </c>
      <c r="W116" s="13">
        <v>0</v>
      </c>
      <c r="X116" s="13"/>
      <c r="Y116" s="2">
        <f t="shared" si="32"/>
        <v>163181.30434782655</v>
      </c>
      <c r="Z116" s="1">
        <v>164190</v>
      </c>
      <c r="AA116" s="5"/>
      <c r="AB116" s="5"/>
      <c r="AC116" s="14">
        <v>164190</v>
      </c>
      <c r="AD116" s="5">
        <v>0</v>
      </c>
      <c r="AE116" s="5"/>
      <c r="AF116" s="5">
        <f t="shared" si="24"/>
        <v>0</v>
      </c>
      <c r="AG116" s="5"/>
      <c r="AH116" s="13">
        <v>0</v>
      </c>
      <c r="AI116" s="13"/>
      <c r="AJ116" s="5"/>
      <c r="AL116" s="5"/>
      <c r="AM116" s="5">
        <v>163181.30434782655</v>
      </c>
      <c r="AN116" s="5">
        <f t="shared" si="19"/>
        <v>0</v>
      </c>
      <c r="AO116" s="5"/>
      <c r="AP116" s="5">
        <f t="shared" si="30"/>
        <v>145398.97919876775</v>
      </c>
      <c r="AQ116" s="20">
        <v>0</v>
      </c>
      <c r="AR116" s="20"/>
      <c r="AT116" s="3">
        <v>5</v>
      </c>
      <c r="AV116" s="5">
        <f t="shared" si="25"/>
        <v>50</v>
      </c>
      <c r="AX116" s="38">
        <f t="shared" si="20"/>
        <v>0</v>
      </c>
      <c r="BA116" s="3">
        <v>11</v>
      </c>
      <c r="BB116" s="3">
        <v>7</v>
      </c>
      <c r="BC116" s="3">
        <v>1</v>
      </c>
      <c r="BD116" s="3">
        <f t="shared" si="26"/>
        <v>19</v>
      </c>
      <c r="BE116" s="3">
        <v>29</v>
      </c>
      <c r="BF116" s="3">
        <v>0</v>
      </c>
      <c r="BH116" s="3">
        <f t="shared" si="27"/>
        <v>36</v>
      </c>
      <c r="BJ116" s="38">
        <f t="shared" si="21"/>
        <v>0</v>
      </c>
      <c r="BL116" s="3">
        <f t="shared" si="22"/>
        <v>171570.79545454594</v>
      </c>
    </row>
    <row r="117" spans="1:64" x14ac:dyDescent="0.35">
      <c r="A117" s="1" t="s">
        <v>392</v>
      </c>
      <c r="B117" s="1" t="str">
        <f t="shared" si="18"/>
        <v>Premium</v>
      </c>
      <c r="C117" s="1" t="s">
        <v>46</v>
      </c>
      <c r="D117" s="1" t="s">
        <v>153</v>
      </c>
      <c r="E117" s="1" t="s">
        <v>48</v>
      </c>
      <c r="F117" s="1" t="s">
        <v>193</v>
      </c>
      <c r="G117" s="1" t="s">
        <v>361</v>
      </c>
      <c r="H117" s="1" t="s">
        <v>67</v>
      </c>
      <c r="I117" s="1" t="s">
        <v>154</v>
      </c>
      <c r="J117" s="1" t="s">
        <v>363</v>
      </c>
      <c r="K117" s="1" t="s">
        <v>227</v>
      </c>
      <c r="L117" s="1" t="s">
        <v>55</v>
      </c>
      <c r="M117" s="1" t="s">
        <v>100</v>
      </c>
      <c r="N117" s="1" t="s">
        <v>57</v>
      </c>
      <c r="O117" s="1" t="s">
        <v>391</v>
      </c>
      <c r="P117" s="1" t="s">
        <v>351</v>
      </c>
      <c r="Q117" s="1" t="s">
        <v>248</v>
      </c>
      <c r="R117" s="1" t="s">
        <v>61</v>
      </c>
      <c r="S117" s="1">
        <v>725</v>
      </c>
      <c r="T117" s="2">
        <f t="shared" si="31"/>
        <v>145882.5126251929</v>
      </c>
      <c r="U117" s="13">
        <v>154258.76348228074</v>
      </c>
      <c r="V117" s="13">
        <v>0</v>
      </c>
      <c r="W117" s="13">
        <v>0</v>
      </c>
      <c r="X117" s="13"/>
      <c r="Y117" s="2">
        <f t="shared" si="32"/>
        <v>173181.3043478264</v>
      </c>
      <c r="Z117" s="1">
        <v>174190</v>
      </c>
      <c r="AA117" s="5"/>
      <c r="AB117" s="5"/>
      <c r="AC117" s="14">
        <v>174190</v>
      </c>
      <c r="AD117" s="5">
        <v>0</v>
      </c>
      <c r="AE117" s="5"/>
      <c r="AF117" s="5">
        <f t="shared" si="24"/>
        <v>0</v>
      </c>
      <c r="AG117" s="5"/>
      <c r="AH117" s="13">
        <v>0</v>
      </c>
      <c r="AI117" s="13"/>
      <c r="AJ117" s="5"/>
      <c r="AL117" s="5"/>
      <c r="AM117" s="5">
        <v>173181.3043478264</v>
      </c>
      <c r="AN117" s="5">
        <f t="shared" si="19"/>
        <v>0</v>
      </c>
      <c r="AO117" s="5"/>
      <c r="AP117" s="5">
        <f t="shared" si="30"/>
        <v>154258.76348228074</v>
      </c>
      <c r="AQ117" s="20">
        <v>0</v>
      </c>
      <c r="AR117" s="20"/>
      <c r="AT117" s="3">
        <v>0</v>
      </c>
      <c r="AV117" s="5">
        <f t="shared" si="25"/>
        <v>0</v>
      </c>
      <c r="AX117" s="38">
        <f t="shared" si="20"/>
        <v>0</v>
      </c>
      <c r="BA117" s="3">
        <v>0</v>
      </c>
      <c r="BB117" s="3">
        <v>0</v>
      </c>
      <c r="BC117" s="3">
        <v>0</v>
      </c>
      <c r="BD117" s="3">
        <f t="shared" si="26"/>
        <v>0</v>
      </c>
      <c r="BE117" s="3">
        <v>0</v>
      </c>
      <c r="BF117" s="3">
        <v>0</v>
      </c>
      <c r="BH117" s="3">
        <f t="shared" si="27"/>
        <v>0</v>
      </c>
      <c r="BJ117" s="38">
        <f t="shared" si="21"/>
        <v>0</v>
      </c>
      <c r="BL117" s="3">
        <f t="shared" si="22"/>
        <v>182025.34090909126</v>
      </c>
    </row>
    <row r="118" spans="1:64" x14ac:dyDescent="0.35">
      <c r="A118" s="1" t="s">
        <v>393</v>
      </c>
      <c r="B118" s="1" t="str">
        <f t="shared" si="18"/>
        <v>Premium</v>
      </c>
      <c r="C118" s="1" t="s">
        <v>46</v>
      </c>
      <c r="D118" s="1" t="s">
        <v>387</v>
      </c>
      <c r="E118" s="1" t="s">
        <v>48</v>
      </c>
      <c r="F118" s="1" t="s">
        <v>335</v>
      </c>
      <c r="G118" s="1" t="s">
        <v>383</v>
      </c>
      <c r="H118" s="1" t="s">
        <v>373</v>
      </c>
      <c r="I118" s="1" t="s">
        <v>154</v>
      </c>
      <c r="J118" s="1" t="s">
        <v>388</v>
      </c>
      <c r="K118" s="1" t="s">
        <v>227</v>
      </c>
      <c r="L118" s="1" t="s">
        <v>55</v>
      </c>
      <c r="M118" s="1" t="s">
        <v>100</v>
      </c>
      <c r="N118" s="1" t="s">
        <v>57</v>
      </c>
      <c r="O118" s="1" t="s">
        <v>391</v>
      </c>
      <c r="P118" s="1" t="s">
        <v>394</v>
      </c>
      <c r="Q118" s="1" t="s">
        <v>248</v>
      </c>
      <c r="R118" s="1" t="s">
        <v>61</v>
      </c>
      <c r="S118" s="1">
        <v>725</v>
      </c>
      <c r="T118" s="2">
        <f t="shared" si="31"/>
        <v>150071.86162365155</v>
      </c>
      <c r="U118" s="13">
        <v>158688.65562403674</v>
      </c>
      <c r="V118" s="13">
        <v>0</v>
      </c>
      <c r="W118" s="13">
        <v>0</v>
      </c>
      <c r="X118" s="13"/>
      <c r="Y118" s="2">
        <f t="shared" si="32"/>
        <v>178181.30434782582</v>
      </c>
      <c r="Z118" s="1">
        <v>179190</v>
      </c>
      <c r="AA118" s="5"/>
      <c r="AB118" s="5"/>
      <c r="AC118" s="14">
        <v>179190</v>
      </c>
      <c r="AD118" s="5">
        <v>0</v>
      </c>
      <c r="AE118" s="5"/>
      <c r="AF118" s="5">
        <f t="shared" si="24"/>
        <v>0</v>
      </c>
      <c r="AG118" s="5"/>
      <c r="AH118" s="13">
        <v>0</v>
      </c>
      <c r="AI118" s="13"/>
      <c r="AJ118" s="5"/>
      <c r="AL118" s="5"/>
      <c r="AM118" s="5">
        <v>178181.30434782582</v>
      </c>
      <c r="AN118" s="5">
        <f t="shared" si="19"/>
        <v>0</v>
      </c>
      <c r="AO118" s="5"/>
      <c r="AP118" s="5">
        <f t="shared" si="30"/>
        <v>158688.65562403674</v>
      </c>
      <c r="AQ118" s="20">
        <v>0</v>
      </c>
      <c r="AR118" s="20"/>
      <c r="AT118" s="3">
        <v>0</v>
      </c>
      <c r="AV118" s="5">
        <f t="shared" si="25"/>
        <v>0</v>
      </c>
      <c r="AX118" s="38">
        <f t="shared" si="20"/>
        <v>0</v>
      </c>
      <c r="BA118" s="3">
        <v>0</v>
      </c>
      <c r="BB118" s="3">
        <v>0</v>
      </c>
      <c r="BC118" s="3">
        <v>0</v>
      </c>
      <c r="BD118" s="3">
        <f t="shared" si="26"/>
        <v>0</v>
      </c>
      <c r="BE118" s="3">
        <v>133</v>
      </c>
      <c r="BF118" s="3">
        <v>92</v>
      </c>
      <c r="BH118" s="3">
        <f t="shared" si="27"/>
        <v>0</v>
      </c>
      <c r="BJ118" s="38">
        <f t="shared" si="21"/>
        <v>0</v>
      </c>
      <c r="BL118" s="3">
        <f t="shared" si="22"/>
        <v>187252.61363636333</v>
      </c>
    </row>
    <row r="119" spans="1:64" x14ac:dyDescent="0.35">
      <c r="A119" s="1" t="s">
        <v>395</v>
      </c>
      <c r="B119" s="1" t="str">
        <f t="shared" si="18"/>
        <v>Premium</v>
      </c>
      <c r="C119" s="1" t="s">
        <v>46</v>
      </c>
      <c r="D119" s="1" t="s">
        <v>396</v>
      </c>
      <c r="E119" s="1" t="s">
        <v>48</v>
      </c>
      <c r="F119" s="1" t="s">
        <v>397</v>
      </c>
      <c r="G119" s="1" t="s">
        <v>398</v>
      </c>
      <c r="H119" s="1" t="s">
        <v>373</v>
      </c>
      <c r="I119" s="1" t="s">
        <v>154</v>
      </c>
      <c r="J119" s="1" t="s">
        <v>399</v>
      </c>
      <c r="K119" s="1" t="s">
        <v>227</v>
      </c>
      <c r="L119" s="1" t="s">
        <v>55</v>
      </c>
      <c r="M119" s="1" t="s">
        <v>100</v>
      </c>
      <c r="N119" s="1" t="s">
        <v>57</v>
      </c>
      <c r="O119" s="1" t="s">
        <v>400</v>
      </c>
      <c r="P119" s="1" t="s">
        <v>401</v>
      </c>
      <c r="Q119" s="1" t="s">
        <v>248</v>
      </c>
      <c r="R119" s="1" t="s">
        <v>61</v>
      </c>
      <c r="S119" s="1">
        <v>725</v>
      </c>
      <c r="T119" s="2">
        <f t="shared" si="31"/>
        <v>250616.2375866714</v>
      </c>
      <c r="U119" s="13">
        <v>265006.06702619372</v>
      </c>
      <c r="V119" s="13">
        <v>0</v>
      </c>
      <c r="W119" s="13">
        <v>0</v>
      </c>
      <c r="X119" s="13">
        <v>18081.355932202958</v>
      </c>
      <c r="Y119" s="2">
        <f t="shared" si="32"/>
        <v>274990.00000000006</v>
      </c>
      <c r="Z119" s="1">
        <v>274990</v>
      </c>
      <c r="AA119" s="5"/>
      <c r="AB119" s="5"/>
      <c r="AC119" s="14">
        <v>274990</v>
      </c>
      <c r="AD119" s="5">
        <f t="shared" si="23"/>
        <v>4.5382244102025444E-11</v>
      </c>
      <c r="AE119" s="5"/>
      <c r="AF119" s="5">
        <f t="shared" si="24"/>
        <v>18081.355932202958</v>
      </c>
      <c r="AG119" s="5"/>
      <c r="AH119" s="13">
        <v>0</v>
      </c>
      <c r="AI119" s="13"/>
      <c r="AJ119" s="5"/>
      <c r="AL119" s="5"/>
      <c r="AM119" s="5">
        <v>298181.30434782553</v>
      </c>
      <c r="AN119" s="5">
        <f t="shared" si="19"/>
        <v>-23191.304347825469</v>
      </c>
      <c r="AO119" s="5"/>
      <c r="AP119" s="5">
        <f t="shared" si="30"/>
        <v>265006.06702619372</v>
      </c>
      <c r="AQ119" s="20">
        <v>0</v>
      </c>
      <c r="AR119" s="20"/>
      <c r="AT119" s="3">
        <v>0</v>
      </c>
      <c r="AV119" s="5">
        <f t="shared" si="25"/>
        <v>0</v>
      </c>
      <c r="AX119" s="38">
        <f t="shared" si="20"/>
        <v>0</v>
      </c>
      <c r="BA119" s="3">
        <v>3</v>
      </c>
      <c r="BB119" s="3">
        <v>2</v>
      </c>
      <c r="BC119" s="3">
        <v>4</v>
      </c>
      <c r="BD119" s="3">
        <f t="shared" si="26"/>
        <v>9</v>
      </c>
      <c r="BE119" s="3">
        <v>10</v>
      </c>
      <c r="BF119" s="3">
        <v>10</v>
      </c>
      <c r="BH119" s="3">
        <f t="shared" si="27"/>
        <v>17</v>
      </c>
      <c r="BJ119" s="38">
        <f t="shared" si="21"/>
        <v>0</v>
      </c>
      <c r="BL119" s="3">
        <f t="shared" si="22"/>
        <v>312707.15909090859</v>
      </c>
    </row>
    <row r="120" spans="1:64" x14ac:dyDescent="0.35">
      <c r="A120" s="1" t="s">
        <v>402</v>
      </c>
      <c r="B120" s="1" t="str">
        <f t="shared" si="18"/>
        <v>Premium</v>
      </c>
      <c r="C120" s="1" t="s">
        <v>46</v>
      </c>
      <c r="D120" s="1" t="s">
        <v>370</v>
      </c>
      <c r="E120" s="1" t="s">
        <v>48</v>
      </c>
      <c r="F120" s="1" t="s">
        <v>397</v>
      </c>
      <c r="G120" s="1" t="s">
        <v>398</v>
      </c>
      <c r="H120" s="1" t="s">
        <v>373</v>
      </c>
      <c r="I120" s="1" t="s">
        <v>154</v>
      </c>
      <c r="J120" s="1" t="s">
        <v>399</v>
      </c>
      <c r="K120" s="1" t="s">
        <v>227</v>
      </c>
      <c r="L120" s="1" t="s">
        <v>55</v>
      </c>
      <c r="M120" s="1" t="s">
        <v>100</v>
      </c>
      <c r="N120" s="1" t="s">
        <v>57</v>
      </c>
      <c r="O120" s="1" t="s">
        <v>403</v>
      </c>
      <c r="P120" s="1" t="s">
        <v>401</v>
      </c>
      <c r="Q120" s="1" t="s">
        <v>248</v>
      </c>
      <c r="R120" s="1" t="s">
        <v>61</v>
      </c>
      <c r="S120" s="1">
        <v>725</v>
      </c>
      <c r="T120" s="2">
        <f t="shared" si="31"/>
        <v>298374.81616910623</v>
      </c>
      <c r="U120" s="13">
        <v>315506.83744221873</v>
      </c>
      <c r="V120" s="13">
        <v>0</v>
      </c>
      <c r="W120" s="13">
        <v>0</v>
      </c>
      <c r="X120" s="13"/>
      <c r="Y120" s="2">
        <f t="shared" si="32"/>
        <v>355181.30434782599</v>
      </c>
      <c r="Z120" s="1">
        <v>355990</v>
      </c>
      <c r="AA120" s="5"/>
      <c r="AB120" s="5"/>
      <c r="AC120" s="14">
        <v>355990</v>
      </c>
      <c r="AD120" s="5">
        <v>0</v>
      </c>
      <c r="AE120" s="5"/>
      <c r="AF120" s="5">
        <f t="shared" si="24"/>
        <v>0</v>
      </c>
      <c r="AG120" s="5"/>
      <c r="AH120" s="13">
        <v>0</v>
      </c>
      <c r="AI120" s="13"/>
      <c r="AJ120" s="5"/>
      <c r="AL120" s="5"/>
      <c r="AM120" s="5">
        <v>355181.30434782599</v>
      </c>
      <c r="AN120" s="5">
        <f t="shared" si="19"/>
        <v>0</v>
      </c>
      <c r="AO120" s="5"/>
      <c r="AP120" s="5">
        <f t="shared" si="30"/>
        <v>315506.83744221873</v>
      </c>
      <c r="AQ120" s="20">
        <v>0</v>
      </c>
      <c r="AR120" s="20"/>
      <c r="AT120" s="3">
        <v>0</v>
      </c>
      <c r="AV120" s="5">
        <f t="shared" si="25"/>
        <v>0</v>
      </c>
      <c r="AX120" s="38">
        <f t="shared" si="20"/>
        <v>0</v>
      </c>
      <c r="BA120" s="3">
        <v>0</v>
      </c>
      <c r="BB120" s="3">
        <v>0</v>
      </c>
      <c r="BC120" s="3">
        <v>0</v>
      </c>
      <c r="BD120" s="3">
        <f t="shared" si="26"/>
        <v>0</v>
      </c>
      <c r="BE120" s="3">
        <v>3</v>
      </c>
      <c r="BF120" s="3">
        <v>6</v>
      </c>
      <c r="BH120" s="3">
        <f t="shared" si="27"/>
        <v>0</v>
      </c>
      <c r="BJ120" s="38">
        <f t="shared" si="21"/>
        <v>0</v>
      </c>
      <c r="BL120" s="3">
        <f t="shared" si="22"/>
        <v>372298.06818181806</v>
      </c>
    </row>
    <row r="121" spans="1:64" x14ac:dyDescent="0.35">
      <c r="A121" s="1" t="s">
        <v>404</v>
      </c>
      <c r="B121" s="1" t="str">
        <f t="shared" si="18"/>
        <v>Premium</v>
      </c>
      <c r="C121" s="1" t="s">
        <v>46</v>
      </c>
      <c r="D121" s="1" t="s">
        <v>405</v>
      </c>
      <c r="E121" s="1" t="s">
        <v>48</v>
      </c>
      <c r="F121" s="1" t="s">
        <v>193</v>
      </c>
      <c r="G121" s="1" t="s">
        <v>361</v>
      </c>
      <c r="H121" s="1" t="s">
        <v>67</v>
      </c>
      <c r="I121" s="1" t="s">
        <v>154</v>
      </c>
      <c r="J121" s="1" t="s">
        <v>406</v>
      </c>
      <c r="K121" s="1" t="s">
        <v>54</v>
      </c>
      <c r="L121" s="1" t="s">
        <v>55</v>
      </c>
      <c r="M121" s="1" t="s">
        <v>100</v>
      </c>
      <c r="N121" s="1" t="s">
        <v>200</v>
      </c>
      <c r="O121" s="1" t="s">
        <v>156</v>
      </c>
      <c r="P121" s="1" t="s">
        <v>351</v>
      </c>
      <c r="Q121" s="1" t="s">
        <v>248</v>
      </c>
      <c r="R121" s="1" t="s">
        <v>61</v>
      </c>
      <c r="S121" s="1">
        <v>725</v>
      </c>
      <c r="T121" s="2">
        <f t="shared" si="31"/>
        <v>129125.11663135642</v>
      </c>
      <c r="U121" s="13">
        <v>136539.19491525475</v>
      </c>
      <c r="V121" s="13">
        <v>0</v>
      </c>
      <c r="W121" s="13">
        <v>0</v>
      </c>
      <c r="X121" s="13"/>
      <c r="Y121" s="2">
        <f t="shared" si="32"/>
        <v>153181.30434782663</v>
      </c>
      <c r="Z121" s="1">
        <v>153190</v>
      </c>
      <c r="AA121" s="5"/>
      <c r="AB121" s="5"/>
      <c r="AC121" s="14">
        <v>0</v>
      </c>
      <c r="AD121" s="5">
        <v>0</v>
      </c>
      <c r="AE121" s="5"/>
      <c r="AF121" s="5">
        <f t="shared" si="24"/>
        <v>0</v>
      </c>
      <c r="AG121" s="5"/>
      <c r="AH121" s="13">
        <v>0</v>
      </c>
      <c r="AI121" s="13"/>
      <c r="AJ121" s="5"/>
      <c r="AL121" s="5"/>
      <c r="AM121" s="5">
        <v>153181.30434782663</v>
      </c>
      <c r="AN121" s="5">
        <f t="shared" si="19"/>
        <v>0</v>
      </c>
      <c r="AO121" s="5"/>
      <c r="AP121" s="5">
        <f t="shared" si="30"/>
        <v>136539.19491525475</v>
      </c>
      <c r="AQ121" s="20">
        <v>0</v>
      </c>
      <c r="AR121" s="20"/>
      <c r="AT121" s="3">
        <v>0</v>
      </c>
      <c r="AV121" s="5">
        <f t="shared" si="25"/>
        <v>0</v>
      </c>
      <c r="AX121" s="38">
        <f t="shared" si="20"/>
        <v>0</v>
      </c>
      <c r="BA121" s="3">
        <v>1</v>
      </c>
      <c r="BB121" s="3">
        <v>0</v>
      </c>
      <c r="BC121" s="3">
        <v>0</v>
      </c>
      <c r="BD121" s="3">
        <f t="shared" si="26"/>
        <v>1</v>
      </c>
      <c r="BE121" s="3">
        <v>1</v>
      </c>
      <c r="BF121" s="3">
        <v>9</v>
      </c>
      <c r="BH121" s="3">
        <f t="shared" si="27"/>
        <v>2</v>
      </c>
      <c r="BJ121" s="38">
        <f t="shared" si="21"/>
        <v>0</v>
      </c>
      <c r="BL121" s="3">
        <f t="shared" si="22"/>
        <v>161116.25000000058</v>
      </c>
    </row>
    <row r="122" spans="1:64" x14ac:dyDescent="0.35">
      <c r="A122" s="1" t="s">
        <v>407</v>
      </c>
      <c r="B122" s="1" t="str">
        <f t="shared" si="18"/>
        <v>Premium</v>
      </c>
      <c r="C122" s="1" t="s">
        <v>46</v>
      </c>
      <c r="D122" s="1" t="s">
        <v>408</v>
      </c>
      <c r="E122" s="1" t="s">
        <v>48</v>
      </c>
      <c r="F122" s="1" t="s">
        <v>65</v>
      </c>
      <c r="G122" s="1" t="s">
        <v>107</v>
      </c>
      <c r="H122" s="1" t="s">
        <v>123</v>
      </c>
      <c r="I122" s="1" t="s">
        <v>137</v>
      </c>
      <c r="J122" s="1" t="s">
        <v>409</v>
      </c>
      <c r="K122" s="1" t="s">
        <v>54</v>
      </c>
      <c r="L122" s="1" t="s">
        <v>70</v>
      </c>
      <c r="M122" s="1" t="s">
        <v>100</v>
      </c>
      <c r="N122" s="1" t="s">
        <v>200</v>
      </c>
      <c r="O122" s="1" t="s">
        <v>359</v>
      </c>
      <c r="P122" s="1" t="s">
        <v>129</v>
      </c>
      <c r="Q122" s="1" t="s">
        <v>174</v>
      </c>
      <c r="R122" s="1" t="s">
        <v>73</v>
      </c>
      <c r="S122" s="1">
        <v>0</v>
      </c>
      <c r="T122" s="2">
        <f>U122*0.98*0.98</f>
        <v>58097.688813559325</v>
      </c>
      <c r="U122" s="13">
        <v>60493.220338983054</v>
      </c>
      <c r="V122" s="13">
        <v>0</v>
      </c>
      <c r="W122" s="13">
        <v>0</v>
      </c>
      <c r="X122" s="13"/>
      <c r="Y122" s="2">
        <f t="shared" ref="Y122:Y128" si="33">(U122*0.98-S122-V122-W122-X122)*1.18/0.92</f>
        <v>76037.34782608696</v>
      </c>
      <c r="Z122" s="1">
        <v>76190</v>
      </c>
      <c r="AA122" s="5"/>
      <c r="AB122" s="5"/>
      <c r="AC122" s="14">
        <v>76190</v>
      </c>
      <c r="AD122" s="5">
        <v>0</v>
      </c>
      <c r="AE122" s="5"/>
      <c r="AF122" s="5">
        <f t="shared" si="24"/>
        <v>0</v>
      </c>
      <c r="AG122" s="5"/>
      <c r="AH122" s="13">
        <v>0</v>
      </c>
      <c r="AI122" s="13"/>
      <c r="AJ122" s="5"/>
      <c r="AL122" s="5"/>
      <c r="AM122" s="5">
        <v>76037.34782608696</v>
      </c>
      <c r="AN122" s="5">
        <f t="shared" si="19"/>
        <v>0</v>
      </c>
      <c r="AO122" s="5"/>
      <c r="AP122" s="5">
        <f t="shared" si="30"/>
        <v>60493.220338983054</v>
      </c>
      <c r="AQ122" s="20">
        <v>0</v>
      </c>
      <c r="AR122" s="20"/>
      <c r="AT122" s="3">
        <v>0</v>
      </c>
      <c r="AV122" s="5">
        <f t="shared" si="25"/>
        <v>0</v>
      </c>
      <c r="AX122" s="38">
        <f t="shared" si="20"/>
        <v>0</v>
      </c>
      <c r="BA122" s="3">
        <v>54</v>
      </c>
      <c r="BB122" s="3">
        <v>0</v>
      </c>
      <c r="BC122" s="3">
        <v>0</v>
      </c>
      <c r="BD122" s="3">
        <f t="shared" si="26"/>
        <v>54</v>
      </c>
      <c r="BE122" s="3">
        <v>346</v>
      </c>
      <c r="BF122" s="3">
        <v>0</v>
      </c>
      <c r="BH122" s="3">
        <f t="shared" si="27"/>
        <v>100</v>
      </c>
      <c r="BJ122" s="38">
        <f t="shared" si="21"/>
        <v>0</v>
      </c>
      <c r="BL122" s="3">
        <f t="shared" si="22"/>
        <v>71382</v>
      </c>
    </row>
    <row r="123" spans="1:64" x14ac:dyDescent="0.35">
      <c r="A123" s="1" t="s">
        <v>410</v>
      </c>
      <c r="B123" s="1" t="str">
        <f t="shared" si="18"/>
        <v>Premium</v>
      </c>
      <c r="C123" s="1" t="s">
        <v>46</v>
      </c>
      <c r="D123" s="1" t="s">
        <v>47</v>
      </c>
      <c r="E123" s="1" t="s">
        <v>48</v>
      </c>
      <c r="F123" s="1" t="s">
        <v>65</v>
      </c>
      <c r="G123" s="1" t="s">
        <v>107</v>
      </c>
      <c r="H123" s="1" t="s">
        <v>51</v>
      </c>
      <c r="I123" s="1" t="s">
        <v>137</v>
      </c>
      <c r="J123" s="1" t="s">
        <v>411</v>
      </c>
      <c r="K123" s="1" t="s">
        <v>54</v>
      </c>
      <c r="L123" s="1" t="s">
        <v>70</v>
      </c>
      <c r="M123" s="1" t="s">
        <v>100</v>
      </c>
      <c r="N123" s="1" t="s">
        <v>200</v>
      </c>
      <c r="O123" s="1" t="s">
        <v>359</v>
      </c>
      <c r="P123" s="1" t="s">
        <v>129</v>
      </c>
      <c r="Q123" s="1" t="s">
        <v>174</v>
      </c>
      <c r="R123" s="1" t="s">
        <v>73</v>
      </c>
      <c r="S123" s="1">
        <v>0</v>
      </c>
      <c r="T123" s="2">
        <f>U123*0.98*0.98</f>
        <v>62732.839661016958</v>
      </c>
      <c r="U123" s="13">
        <v>65319.491525423735</v>
      </c>
      <c r="V123" s="13">
        <v>0</v>
      </c>
      <c r="W123" s="13">
        <v>0</v>
      </c>
      <c r="X123" s="13"/>
      <c r="Y123" s="2">
        <f t="shared" si="33"/>
        <v>82103.760869565216</v>
      </c>
      <c r="Z123" s="1">
        <v>82190</v>
      </c>
      <c r="AA123" s="5"/>
      <c r="AB123" s="5"/>
      <c r="AC123" s="14">
        <v>82190</v>
      </c>
      <c r="AD123" s="5">
        <v>0</v>
      </c>
      <c r="AE123" s="5"/>
      <c r="AF123" s="5">
        <f t="shared" si="24"/>
        <v>0</v>
      </c>
      <c r="AG123" s="5"/>
      <c r="AH123" s="13">
        <v>0</v>
      </c>
      <c r="AI123" s="13"/>
      <c r="AJ123" s="5"/>
      <c r="AL123" s="5"/>
      <c r="AM123" s="5">
        <v>82103.760869565216</v>
      </c>
      <c r="AN123" s="5">
        <f t="shared" si="19"/>
        <v>0</v>
      </c>
      <c r="AO123" s="5"/>
      <c r="AP123" s="5">
        <f t="shared" si="30"/>
        <v>65319.491525423735</v>
      </c>
      <c r="AQ123" s="20">
        <v>0</v>
      </c>
      <c r="AR123" s="20"/>
      <c r="AT123" s="3">
        <v>0</v>
      </c>
      <c r="AV123" s="5">
        <f t="shared" si="25"/>
        <v>0</v>
      </c>
      <c r="AX123" s="38">
        <f t="shared" si="20"/>
        <v>0</v>
      </c>
      <c r="BA123" s="3">
        <v>54</v>
      </c>
      <c r="BB123" s="3">
        <v>0</v>
      </c>
      <c r="BC123" s="3">
        <v>0</v>
      </c>
      <c r="BD123" s="3">
        <f t="shared" si="26"/>
        <v>54</v>
      </c>
      <c r="BE123" s="3">
        <v>346</v>
      </c>
      <c r="BF123" s="3">
        <v>0</v>
      </c>
      <c r="BH123" s="3">
        <f t="shared" si="27"/>
        <v>100</v>
      </c>
      <c r="BJ123" s="38">
        <f t="shared" si="21"/>
        <v>0</v>
      </c>
      <c r="BL123" s="3">
        <f t="shared" si="22"/>
        <v>77077</v>
      </c>
    </row>
    <row r="124" spans="1:64" x14ac:dyDescent="0.35">
      <c r="A124" s="1" t="s">
        <v>412</v>
      </c>
      <c r="B124" s="1" t="str">
        <f t="shared" si="18"/>
        <v>Entry</v>
      </c>
      <c r="C124" s="1" t="s">
        <v>253</v>
      </c>
      <c r="D124" s="1" t="s">
        <v>413</v>
      </c>
      <c r="E124" s="1" t="s">
        <v>81</v>
      </c>
      <c r="F124" s="1" t="s">
        <v>414</v>
      </c>
      <c r="G124" s="1" t="s">
        <v>415</v>
      </c>
      <c r="H124" s="1" t="s">
        <v>416</v>
      </c>
      <c r="I124" s="1">
        <v>8186</v>
      </c>
      <c r="J124" s="1" t="s">
        <v>417</v>
      </c>
      <c r="K124" s="1" t="s">
        <v>418</v>
      </c>
      <c r="L124" s="1" t="s">
        <v>419</v>
      </c>
      <c r="M124" s="1" t="s">
        <v>420</v>
      </c>
      <c r="N124" s="1" t="s">
        <v>139</v>
      </c>
      <c r="O124" s="1" t="s">
        <v>87</v>
      </c>
      <c r="P124" s="1" t="s">
        <v>421</v>
      </c>
      <c r="Q124" s="1" t="s">
        <v>104</v>
      </c>
      <c r="R124" s="1" t="s">
        <v>73</v>
      </c>
      <c r="S124" s="1">
        <v>0</v>
      </c>
      <c r="T124" s="2">
        <v>16848</v>
      </c>
      <c r="U124" s="13">
        <v>17542.372881355932</v>
      </c>
      <c r="V124" s="13">
        <v>0</v>
      </c>
      <c r="W124" s="13">
        <v>0</v>
      </c>
      <c r="X124" s="13"/>
      <c r="Y124" s="2">
        <f t="shared" si="33"/>
        <v>22050</v>
      </c>
      <c r="Z124" s="18">
        <f>AC124</f>
        <v>21990</v>
      </c>
      <c r="AA124" s="5" t="s">
        <v>90</v>
      </c>
      <c r="AB124" s="5"/>
      <c r="AC124" s="14">
        <v>21990</v>
      </c>
      <c r="AD124" s="5">
        <f t="shared" si="23"/>
        <v>46.779661016949156</v>
      </c>
      <c r="AE124" s="5"/>
      <c r="AF124" s="5">
        <f t="shared" si="24"/>
        <v>0</v>
      </c>
      <c r="AG124" s="5"/>
      <c r="AH124" s="13">
        <v>0</v>
      </c>
      <c r="AI124" s="13"/>
      <c r="AJ124" s="5"/>
      <c r="AL124" s="5"/>
      <c r="AM124" s="5">
        <v>22050</v>
      </c>
      <c r="AN124" s="5">
        <f t="shared" si="19"/>
        <v>0</v>
      </c>
      <c r="AO124" s="5"/>
      <c r="AP124" s="5">
        <f t="shared" si="30"/>
        <v>17542.372881355932</v>
      </c>
      <c r="AQ124" s="20">
        <v>0</v>
      </c>
      <c r="AR124" s="20"/>
      <c r="AT124" s="3">
        <v>1</v>
      </c>
      <c r="AV124" s="5">
        <f t="shared" si="25"/>
        <v>10</v>
      </c>
      <c r="AX124" s="38">
        <f t="shared" si="20"/>
        <v>0</v>
      </c>
      <c r="BA124" s="3">
        <v>250</v>
      </c>
      <c r="BB124" s="3">
        <v>0</v>
      </c>
      <c r="BC124" s="3">
        <v>0</v>
      </c>
      <c r="BD124" s="3">
        <f t="shared" si="26"/>
        <v>250</v>
      </c>
      <c r="BE124" s="3">
        <v>0</v>
      </c>
      <c r="BF124" s="3">
        <v>0</v>
      </c>
      <c r="BH124" s="3">
        <f t="shared" si="27"/>
        <v>463</v>
      </c>
      <c r="BJ124" s="38">
        <f t="shared" si="21"/>
        <v>0</v>
      </c>
      <c r="BL124" s="3">
        <f t="shared" si="22"/>
        <v>20700</v>
      </c>
    </row>
    <row r="125" spans="1:64" x14ac:dyDescent="0.35">
      <c r="A125" s="1" t="s">
        <v>422</v>
      </c>
      <c r="B125" s="1" t="str">
        <f t="shared" si="18"/>
        <v>Entry</v>
      </c>
      <c r="C125" s="1" t="s">
        <v>253</v>
      </c>
      <c r="D125" s="1" t="s">
        <v>413</v>
      </c>
      <c r="E125" s="1" t="s">
        <v>81</v>
      </c>
      <c r="F125" s="1" t="s">
        <v>414</v>
      </c>
      <c r="G125" s="1" t="s">
        <v>415</v>
      </c>
      <c r="H125" s="1" t="s">
        <v>416</v>
      </c>
      <c r="I125" s="1">
        <v>8186</v>
      </c>
      <c r="J125" s="1" t="s">
        <v>417</v>
      </c>
      <c r="K125" s="1" t="s">
        <v>92</v>
      </c>
      <c r="L125" s="1" t="s">
        <v>419</v>
      </c>
      <c r="M125" s="1" t="s">
        <v>420</v>
      </c>
      <c r="N125" s="1" t="s">
        <v>139</v>
      </c>
      <c r="O125" s="1" t="s">
        <v>87</v>
      </c>
      <c r="P125" s="1" t="s">
        <v>421</v>
      </c>
      <c r="Q125" s="1" t="s">
        <v>104</v>
      </c>
      <c r="R125" s="1" t="s">
        <v>73</v>
      </c>
      <c r="S125" s="1">
        <v>0</v>
      </c>
      <c r="T125" s="2">
        <v>18069</v>
      </c>
      <c r="U125" s="13">
        <v>18813.5593220339</v>
      </c>
      <c r="V125" s="13">
        <v>0</v>
      </c>
      <c r="W125" s="13">
        <v>0</v>
      </c>
      <c r="X125" s="13"/>
      <c r="Y125" s="2">
        <f t="shared" si="33"/>
        <v>23647.82608695652</v>
      </c>
      <c r="Z125" s="18">
        <f>AC125</f>
        <v>23650</v>
      </c>
      <c r="AA125" s="5" t="s">
        <v>90</v>
      </c>
      <c r="AB125" s="5"/>
      <c r="AC125" s="14">
        <v>23650</v>
      </c>
      <c r="AD125" s="5">
        <f t="shared" si="23"/>
        <v>-1.6949152542385215</v>
      </c>
      <c r="AE125" s="5"/>
      <c r="AF125" s="5">
        <f t="shared" si="24"/>
        <v>0</v>
      </c>
      <c r="AG125" s="5"/>
      <c r="AH125" s="13">
        <v>0</v>
      </c>
      <c r="AI125" s="13"/>
      <c r="AJ125" s="5"/>
      <c r="AL125" s="5"/>
      <c r="AM125" s="5">
        <v>23647.82608695652</v>
      </c>
      <c r="AN125" s="5">
        <f t="shared" si="19"/>
        <v>0</v>
      </c>
      <c r="AO125" s="5"/>
      <c r="AP125" s="5">
        <f t="shared" si="30"/>
        <v>18813.5593220339</v>
      </c>
      <c r="AQ125" s="20">
        <v>0</v>
      </c>
      <c r="AR125" s="20"/>
      <c r="AT125" s="3">
        <v>10</v>
      </c>
      <c r="AV125" s="5">
        <f t="shared" si="25"/>
        <v>100</v>
      </c>
      <c r="AX125" s="38">
        <f t="shared" si="20"/>
        <v>0</v>
      </c>
      <c r="BA125" s="3">
        <v>300</v>
      </c>
      <c r="BB125" s="3">
        <v>129</v>
      </c>
      <c r="BC125" s="3">
        <v>0</v>
      </c>
      <c r="BD125" s="3">
        <f t="shared" si="26"/>
        <v>429</v>
      </c>
      <c r="BE125" s="3">
        <v>10</v>
      </c>
      <c r="BF125" s="3">
        <v>0</v>
      </c>
      <c r="BH125" s="3">
        <f t="shared" si="27"/>
        <v>794</v>
      </c>
      <c r="BJ125" s="38">
        <f t="shared" si="21"/>
        <v>0</v>
      </c>
      <c r="BL125" s="3">
        <f t="shared" si="22"/>
        <v>22200</v>
      </c>
    </row>
    <row r="126" spans="1:64" x14ac:dyDescent="0.35">
      <c r="A126" s="1" t="s">
        <v>423</v>
      </c>
      <c r="B126" s="1" t="str">
        <f t="shared" si="18"/>
        <v>Entry</v>
      </c>
      <c r="C126" s="1" t="s">
        <v>253</v>
      </c>
      <c r="D126" s="1" t="s">
        <v>424</v>
      </c>
      <c r="E126" s="1" t="s">
        <v>81</v>
      </c>
      <c r="F126" s="1" t="s">
        <v>414</v>
      </c>
      <c r="G126" s="1" t="s">
        <v>425</v>
      </c>
      <c r="H126" s="1" t="s">
        <v>426</v>
      </c>
      <c r="I126" s="1" t="s">
        <v>426</v>
      </c>
      <c r="J126" s="1" t="s">
        <v>427</v>
      </c>
      <c r="K126" s="1" t="s">
        <v>418</v>
      </c>
      <c r="L126" s="1" t="s">
        <v>419</v>
      </c>
      <c r="M126" s="1" t="s">
        <v>420</v>
      </c>
      <c r="N126" s="1" t="s">
        <v>139</v>
      </c>
      <c r="O126" s="1" t="s">
        <v>87</v>
      </c>
      <c r="P126" s="1" t="s">
        <v>421</v>
      </c>
      <c r="Q126" s="1" t="s">
        <v>104</v>
      </c>
      <c r="R126" s="1" t="s">
        <v>73</v>
      </c>
      <c r="S126" s="1">
        <v>0</v>
      </c>
      <c r="T126" s="2">
        <v>21528</v>
      </c>
      <c r="U126" s="13">
        <v>22415.254237288136</v>
      </c>
      <c r="V126" s="13">
        <v>0</v>
      </c>
      <c r="W126" s="13">
        <v>0</v>
      </c>
      <c r="X126" s="13"/>
      <c r="Y126" s="2">
        <f t="shared" si="33"/>
        <v>28175</v>
      </c>
      <c r="Z126" s="18">
        <f>AC126</f>
        <v>28190</v>
      </c>
      <c r="AA126" s="5" t="s">
        <v>90</v>
      </c>
      <c r="AB126" s="5"/>
      <c r="AC126" s="14">
        <v>28190</v>
      </c>
      <c r="AD126" s="5">
        <f t="shared" si="23"/>
        <v>-11.694915254237289</v>
      </c>
      <c r="AE126" s="5"/>
      <c r="AF126" s="5">
        <f t="shared" si="24"/>
        <v>0</v>
      </c>
      <c r="AG126" s="5"/>
      <c r="AH126" s="13">
        <v>0</v>
      </c>
      <c r="AI126" s="13"/>
      <c r="AJ126" s="5"/>
      <c r="AL126" s="5"/>
      <c r="AM126" s="5">
        <v>28175</v>
      </c>
      <c r="AN126" s="5">
        <f t="shared" si="19"/>
        <v>0</v>
      </c>
      <c r="AO126" s="5"/>
      <c r="AP126" s="5">
        <f t="shared" si="30"/>
        <v>22415.254237288136</v>
      </c>
      <c r="AQ126" s="20">
        <v>0</v>
      </c>
      <c r="AR126" s="20"/>
      <c r="AT126" s="3">
        <v>0</v>
      </c>
      <c r="AV126" s="5">
        <f t="shared" si="25"/>
        <v>0</v>
      </c>
      <c r="AX126" s="38">
        <f t="shared" si="20"/>
        <v>0</v>
      </c>
      <c r="BA126" s="3">
        <v>200</v>
      </c>
      <c r="BB126" s="3">
        <v>0</v>
      </c>
      <c r="BC126" s="3">
        <v>0</v>
      </c>
      <c r="BD126" s="3">
        <f t="shared" si="26"/>
        <v>200</v>
      </c>
      <c r="BE126" s="3">
        <v>0</v>
      </c>
      <c r="BF126" s="3">
        <v>0</v>
      </c>
      <c r="BH126" s="3">
        <f t="shared" si="27"/>
        <v>370</v>
      </c>
      <c r="BJ126" s="38">
        <f t="shared" si="21"/>
        <v>0</v>
      </c>
      <c r="BL126" s="3">
        <f t="shared" si="22"/>
        <v>26450</v>
      </c>
    </row>
    <row r="127" spans="1:64" x14ac:dyDescent="0.35">
      <c r="A127" s="1" t="s">
        <v>428</v>
      </c>
      <c r="B127" s="1" t="str">
        <f t="shared" si="18"/>
        <v>Mainstream</v>
      </c>
      <c r="C127" s="1" t="s">
        <v>46</v>
      </c>
      <c r="D127" s="1" t="s">
        <v>80</v>
      </c>
      <c r="E127" s="1" t="s">
        <v>81</v>
      </c>
      <c r="F127" s="1" t="s">
        <v>429</v>
      </c>
      <c r="G127" s="1" t="s">
        <v>429</v>
      </c>
      <c r="H127" s="1" t="s">
        <v>430</v>
      </c>
      <c r="I127" s="1" t="s">
        <v>68</v>
      </c>
      <c r="J127" s="1" t="s">
        <v>431</v>
      </c>
      <c r="K127" s="1" t="s">
        <v>54</v>
      </c>
      <c r="L127" s="1" t="s">
        <v>70</v>
      </c>
      <c r="M127" s="1" t="s">
        <v>56</v>
      </c>
      <c r="N127" s="1" t="s">
        <v>57</v>
      </c>
      <c r="O127" s="1" t="s">
        <v>87</v>
      </c>
      <c r="P127" s="1" t="s">
        <v>432</v>
      </c>
      <c r="Q127" s="1" t="s">
        <v>140</v>
      </c>
      <c r="R127" s="1" t="s">
        <v>73</v>
      </c>
      <c r="S127" s="1">
        <v>0</v>
      </c>
      <c r="T127" s="2">
        <f>U127*0.98*0.98</f>
        <v>49809.579661016935</v>
      </c>
      <c r="U127" s="13">
        <v>51863.36907644412</v>
      </c>
      <c r="V127" s="13">
        <v>0</v>
      </c>
      <c r="W127" s="13"/>
      <c r="X127" s="13"/>
      <c r="Y127" s="2">
        <f t="shared" si="33"/>
        <v>65189.999999999978</v>
      </c>
      <c r="Z127" s="1">
        <v>65189.999999999978</v>
      </c>
      <c r="AA127" s="5"/>
      <c r="AB127" s="5"/>
      <c r="AC127" s="14">
        <v>65190</v>
      </c>
      <c r="AD127" s="5">
        <f t="shared" si="23"/>
        <v>-1.7018341538259542E-11</v>
      </c>
      <c r="AE127" s="5"/>
      <c r="AF127" s="5">
        <f t="shared" si="24"/>
        <v>0</v>
      </c>
      <c r="AG127" s="5"/>
      <c r="AH127" s="13">
        <v>0</v>
      </c>
      <c r="AI127" s="13"/>
      <c r="AJ127" s="5"/>
      <c r="AL127" s="5"/>
      <c r="AM127" s="5">
        <v>65189.999999999978</v>
      </c>
      <c r="AN127" s="5">
        <f t="shared" si="19"/>
        <v>0</v>
      </c>
      <c r="AO127" s="5"/>
      <c r="AP127" s="5">
        <f t="shared" si="30"/>
        <v>51863.36907644412</v>
      </c>
      <c r="AQ127" s="20">
        <v>0</v>
      </c>
      <c r="AR127" s="20"/>
      <c r="AT127" s="3">
        <v>85</v>
      </c>
      <c r="AV127" s="5">
        <f t="shared" si="25"/>
        <v>850</v>
      </c>
      <c r="AX127" s="38">
        <f t="shared" si="20"/>
        <v>0</v>
      </c>
      <c r="BA127" s="3">
        <v>509</v>
      </c>
      <c r="BB127" s="3">
        <v>211</v>
      </c>
      <c r="BC127" s="3">
        <v>-103</v>
      </c>
      <c r="BD127" s="3">
        <f t="shared" si="26"/>
        <v>617</v>
      </c>
      <c r="BE127" s="3">
        <v>92</v>
      </c>
      <c r="BF127" s="3">
        <v>0</v>
      </c>
      <c r="BH127" s="3">
        <f t="shared" si="27"/>
        <v>1142</v>
      </c>
      <c r="BJ127" s="38">
        <f t="shared" si="21"/>
        <v>0</v>
      </c>
      <c r="BL127" s="3">
        <f t="shared" si="22"/>
        <v>61198.775510204061</v>
      </c>
    </row>
    <row r="128" spans="1:64" x14ac:dyDescent="0.35">
      <c r="A128" s="1" t="s">
        <v>433</v>
      </c>
      <c r="B128" s="1" t="str">
        <f t="shared" si="18"/>
        <v>Mainstream</v>
      </c>
      <c r="C128" s="1" t="s">
        <v>46</v>
      </c>
      <c r="D128" s="1" t="s">
        <v>80</v>
      </c>
      <c r="E128" s="1" t="s">
        <v>81</v>
      </c>
      <c r="F128" s="1" t="s">
        <v>115</v>
      </c>
      <c r="G128" s="1" t="s">
        <v>204</v>
      </c>
      <c r="H128" s="1" t="s">
        <v>84</v>
      </c>
      <c r="I128" s="1" t="s">
        <v>68</v>
      </c>
      <c r="J128" s="1" t="s">
        <v>99</v>
      </c>
      <c r="K128" s="1" t="s">
        <v>54</v>
      </c>
      <c r="L128" s="1" t="s">
        <v>55</v>
      </c>
      <c r="M128" s="1" t="s">
        <v>100</v>
      </c>
      <c r="N128" s="1" t="s">
        <v>200</v>
      </c>
      <c r="O128" s="1" t="s">
        <v>87</v>
      </c>
      <c r="P128" s="1" t="s">
        <v>205</v>
      </c>
      <c r="Q128" s="1" t="s">
        <v>127</v>
      </c>
      <c r="R128" s="1" t="s">
        <v>73</v>
      </c>
      <c r="S128" s="1">
        <v>0</v>
      </c>
      <c r="T128" s="2">
        <f>U128*0.98*0.98</f>
        <v>51948.969491525422</v>
      </c>
      <c r="U128" s="13">
        <v>54090.971982013143</v>
      </c>
      <c r="V128" s="13">
        <v>1559.322033898296</v>
      </c>
      <c r="W128" s="13"/>
      <c r="X128" s="13"/>
      <c r="Y128" s="2">
        <f t="shared" si="33"/>
        <v>65990.000000000015</v>
      </c>
      <c r="Z128" s="2">
        <v>65990</v>
      </c>
      <c r="AA128" s="5"/>
      <c r="AB128" s="5"/>
      <c r="AC128" s="14">
        <v>65990</v>
      </c>
      <c r="AD128" s="5">
        <f t="shared" si="23"/>
        <v>1.1345561025506361E-11</v>
      </c>
      <c r="AE128" s="5"/>
      <c r="AF128" s="5">
        <f t="shared" si="24"/>
        <v>0</v>
      </c>
      <c r="AG128" s="5"/>
      <c r="AH128" s="13">
        <v>1559.322033898296</v>
      </c>
      <c r="AI128" s="13"/>
      <c r="AJ128" s="5"/>
      <c r="AL128" s="5"/>
      <c r="AM128" s="5">
        <v>62190</v>
      </c>
      <c r="AN128" s="5">
        <f t="shared" si="19"/>
        <v>3800.0000000000146</v>
      </c>
      <c r="AO128" s="5"/>
      <c r="AP128" s="5">
        <f t="shared" si="30"/>
        <v>54090.971982013143</v>
      </c>
      <c r="AQ128" s="20">
        <v>0</v>
      </c>
      <c r="AR128" s="20"/>
      <c r="AT128" s="3">
        <v>54</v>
      </c>
      <c r="AV128" s="5">
        <f t="shared" si="25"/>
        <v>540</v>
      </c>
      <c r="AX128" s="38">
        <f t="shared" si="20"/>
        <v>0</v>
      </c>
      <c r="BA128" s="3">
        <v>50</v>
      </c>
      <c r="BB128" s="3">
        <v>75</v>
      </c>
      <c r="BC128" s="3">
        <v>422</v>
      </c>
      <c r="BD128" s="3">
        <f t="shared" si="26"/>
        <v>547</v>
      </c>
      <c r="BE128" s="3">
        <v>1497</v>
      </c>
      <c r="BF128" s="3">
        <v>27</v>
      </c>
      <c r="BH128" s="3">
        <f t="shared" si="27"/>
        <v>1012</v>
      </c>
      <c r="BJ128" s="38">
        <f t="shared" si="21"/>
        <v>1578033.8983050755</v>
      </c>
      <c r="BL128" s="3">
        <f t="shared" si="22"/>
        <v>63827.346938775503</v>
      </c>
    </row>
    <row r="129" spans="1:64" x14ac:dyDescent="0.35">
      <c r="A129" s="1" t="s">
        <v>434</v>
      </c>
      <c r="B129" s="1" t="str">
        <f t="shared" si="18"/>
        <v>Premium</v>
      </c>
      <c r="C129" s="1" t="s">
        <v>46</v>
      </c>
      <c r="D129" s="1" t="s">
        <v>114</v>
      </c>
      <c r="E129" s="1" t="s">
        <v>81</v>
      </c>
      <c r="F129" s="1" t="s">
        <v>115</v>
      </c>
      <c r="G129" s="1" t="s">
        <v>122</v>
      </c>
      <c r="H129" s="1" t="s">
        <v>51</v>
      </c>
      <c r="I129" s="1" t="s">
        <v>124</v>
      </c>
      <c r="J129" s="1" t="s">
        <v>199</v>
      </c>
      <c r="K129" s="1" t="s">
        <v>54</v>
      </c>
      <c r="L129" s="1" t="s">
        <v>55</v>
      </c>
      <c r="M129" s="1" t="s">
        <v>100</v>
      </c>
      <c r="N129" s="1" t="s">
        <v>57</v>
      </c>
      <c r="O129" s="1" t="s">
        <v>87</v>
      </c>
      <c r="P129" s="1" t="s">
        <v>202</v>
      </c>
      <c r="Q129" s="1" t="s">
        <v>127</v>
      </c>
      <c r="R129" s="1" t="s">
        <v>61</v>
      </c>
      <c r="S129" s="1">
        <v>725</v>
      </c>
      <c r="T129" s="2">
        <f>U129*0.965*0.98</f>
        <v>58657.042499999996</v>
      </c>
      <c r="U129" s="13">
        <v>62025</v>
      </c>
      <c r="V129" s="13">
        <v>0</v>
      </c>
      <c r="W129" s="13"/>
      <c r="X129" s="13"/>
      <c r="Y129" s="2">
        <f>(U129*0.88-S129-V129-W129-X129)*1.18/0.92</f>
        <v>69077.456521739121</v>
      </c>
      <c r="Z129" s="1">
        <v>69190</v>
      </c>
      <c r="AA129" s="5"/>
      <c r="AB129" s="5"/>
      <c r="AC129" s="14">
        <v>69190</v>
      </c>
      <c r="AD129" s="5">
        <f t="shared" si="23"/>
        <v>-87.745762711871819</v>
      </c>
      <c r="AE129" s="5"/>
      <c r="AF129" s="5">
        <f t="shared" si="24"/>
        <v>0</v>
      </c>
      <c r="AG129" s="5"/>
      <c r="AH129" s="13">
        <v>0</v>
      </c>
      <c r="AI129" s="13">
        <v>0</v>
      </c>
      <c r="AJ129" s="5"/>
      <c r="AL129" s="5"/>
      <c r="AM129" s="5">
        <v>0</v>
      </c>
      <c r="AN129" s="5">
        <f t="shared" si="19"/>
        <v>69077.456521739121</v>
      </c>
      <c r="AO129" s="5"/>
      <c r="AP129" s="5">
        <f t="shared" si="30"/>
        <v>62025</v>
      </c>
      <c r="AQ129" s="20">
        <v>0</v>
      </c>
      <c r="AR129" s="20">
        <v>2338.9830508474624</v>
      </c>
      <c r="AT129" s="3">
        <v>2</v>
      </c>
      <c r="AV129" s="5">
        <f t="shared" si="25"/>
        <v>20</v>
      </c>
      <c r="AX129" s="38">
        <f t="shared" si="20"/>
        <v>0</v>
      </c>
      <c r="BA129" s="3">
        <v>6</v>
      </c>
      <c r="BB129" s="3">
        <v>10</v>
      </c>
      <c r="BC129" s="3">
        <v>22</v>
      </c>
      <c r="BD129" s="3">
        <f t="shared" si="26"/>
        <v>38</v>
      </c>
      <c r="BE129" s="3">
        <v>142</v>
      </c>
      <c r="BF129" s="3">
        <v>0</v>
      </c>
      <c r="BH129" s="3">
        <f t="shared" si="27"/>
        <v>71</v>
      </c>
      <c r="BJ129" s="38">
        <f t="shared" si="21"/>
        <v>0</v>
      </c>
      <c r="BL129" s="3">
        <f t="shared" si="22"/>
        <v>73189.5</v>
      </c>
    </row>
    <row r="130" spans="1:64" x14ac:dyDescent="0.35">
      <c r="A130" s="4" t="s">
        <v>435</v>
      </c>
      <c r="B130" s="1" t="str">
        <f t="shared" si="18"/>
        <v>Premium</v>
      </c>
      <c r="C130" s="1" t="s">
        <v>46</v>
      </c>
      <c r="D130" s="1" t="s">
        <v>80</v>
      </c>
      <c r="E130" s="1" t="s">
        <v>81</v>
      </c>
      <c r="F130" s="1" t="s">
        <v>115</v>
      </c>
      <c r="G130" s="1" t="s">
        <v>436</v>
      </c>
      <c r="H130" s="1" t="s">
        <v>84</v>
      </c>
      <c r="I130" s="1" t="s">
        <v>154</v>
      </c>
      <c r="J130" s="1" t="s">
        <v>437</v>
      </c>
      <c r="K130" s="1" t="s">
        <v>54</v>
      </c>
      <c r="L130" s="4" t="s">
        <v>70</v>
      </c>
      <c r="M130" s="1" t="s">
        <v>100</v>
      </c>
      <c r="N130" s="1" t="s">
        <v>57</v>
      </c>
      <c r="O130" s="1" t="s">
        <v>87</v>
      </c>
      <c r="P130" s="1" t="s">
        <v>205</v>
      </c>
      <c r="Q130" s="1" t="s">
        <v>127</v>
      </c>
      <c r="R130" s="1" t="s">
        <v>73</v>
      </c>
      <c r="S130" s="1">
        <v>0</v>
      </c>
      <c r="T130" s="2">
        <f>U130*0.98*0.98</f>
        <v>54241.4712</v>
      </c>
      <c r="U130" s="13">
        <v>56478</v>
      </c>
      <c r="V130" s="13">
        <v>1559</v>
      </c>
      <c r="W130" s="13"/>
      <c r="X130" s="13"/>
      <c r="Y130" s="2">
        <f>(U130*0.98-S130-V130-W130-X130)*1.18/0.92</f>
        <v>68990.803478260859</v>
      </c>
      <c r="Z130" s="1">
        <v>68990</v>
      </c>
      <c r="AA130" s="5"/>
      <c r="AB130" s="5"/>
      <c r="AC130" s="14">
        <v>68990</v>
      </c>
      <c r="AD130" s="5">
        <f t="shared" si="23"/>
        <v>0.62644067795807112</v>
      </c>
      <c r="AE130" s="5"/>
      <c r="AF130" s="5">
        <f t="shared" si="24"/>
        <v>0</v>
      </c>
      <c r="AG130" s="5"/>
      <c r="AH130" s="13">
        <v>1559</v>
      </c>
      <c r="AI130" s="13"/>
      <c r="AJ130" s="5"/>
      <c r="AL130" s="5"/>
      <c r="AM130" s="5">
        <v>69190</v>
      </c>
      <c r="AN130" s="5">
        <f t="shared" si="19"/>
        <v>-199.19652173914074</v>
      </c>
      <c r="AO130" s="5"/>
      <c r="AP130" s="5">
        <f t="shared" si="30"/>
        <v>56478</v>
      </c>
      <c r="AQ130" s="20">
        <v>0</v>
      </c>
      <c r="AR130" s="20"/>
      <c r="AT130" s="3">
        <v>0</v>
      </c>
      <c r="AV130" s="5">
        <f t="shared" si="25"/>
        <v>0</v>
      </c>
      <c r="AX130" s="38">
        <f t="shared" si="20"/>
        <v>0</v>
      </c>
      <c r="BA130" s="3">
        <v>0</v>
      </c>
      <c r="BB130" s="3">
        <v>0</v>
      </c>
      <c r="BC130" s="3">
        <v>0</v>
      </c>
      <c r="BD130" s="3">
        <f t="shared" si="26"/>
        <v>0</v>
      </c>
      <c r="BE130" s="3">
        <v>1043</v>
      </c>
      <c r="BF130" s="3">
        <v>28</v>
      </c>
      <c r="BH130" s="3">
        <f t="shared" si="27"/>
        <v>0</v>
      </c>
      <c r="BJ130" s="38">
        <f t="shared" si="21"/>
        <v>0</v>
      </c>
      <c r="BL130" s="3">
        <f t="shared" si="22"/>
        <v>66644.039999999994</v>
      </c>
    </row>
    <row r="131" spans="1:64" x14ac:dyDescent="0.35">
      <c r="A131" s="4" t="s">
        <v>438</v>
      </c>
      <c r="B131" s="1" t="str">
        <f t="shared" ref="B131:B195" si="34">IF(BL131&lt;40000,"Entry",IF(BL131&gt;65000,"Premium","Mainstream"))</f>
        <v>Premium</v>
      </c>
      <c r="C131" s="1" t="s">
        <v>46</v>
      </c>
      <c r="D131" s="1" t="s">
        <v>80</v>
      </c>
      <c r="E131" s="4" t="s">
        <v>81</v>
      </c>
      <c r="F131" s="4" t="s">
        <v>115</v>
      </c>
      <c r="G131" s="4" t="s">
        <v>436</v>
      </c>
      <c r="H131" s="4" t="s">
        <v>84</v>
      </c>
      <c r="I131" s="4" t="s">
        <v>362</v>
      </c>
      <c r="J131" s="4" t="s">
        <v>439</v>
      </c>
      <c r="K131" s="4" t="s">
        <v>54</v>
      </c>
      <c r="L131" s="4" t="s">
        <v>70</v>
      </c>
      <c r="M131" s="4" t="s">
        <v>100</v>
      </c>
      <c r="N131" s="4" t="s">
        <v>57</v>
      </c>
      <c r="O131" s="4" t="s">
        <v>87</v>
      </c>
      <c r="P131" s="4" t="s">
        <v>205</v>
      </c>
      <c r="Q131" s="4" t="s">
        <v>127</v>
      </c>
      <c r="R131" s="4" t="s">
        <v>73</v>
      </c>
      <c r="S131" s="4">
        <v>0</v>
      </c>
      <c r="T131" s="18">
        <f>U131*0.98*0.98</f>
        <v>54241.4712</v>
      </c>
      <c r="U131" s="12">
        <v>56478</v>
      </c>
      <c r="V131" s="14">
        <v>1559</v>
      </c>
      <c r="W131" s="13"/>
      <c r="X131" s="13"/>
      <c r="Y131" s="2">
        <f>(U131*0.98-S131-V131-W131-X131)*1.18/0.92</f>
        <v>68990.803478260859</v>
      </c>
      <c r="Z131" s="1">
        <v>68990</v>
      </c>
      <c r="AA131" s="5"/>
      <c r="AB131" s="5"/>
      <c r="AC131" s="14">
        <v>68990</v>
      </c>
      <c r="AD131" s="5">
        <f t="shared" si="23"/>
        <v>0.62644067795807112</v>
      </c>
      <c r="AF131" s="5">
        <f t="shared" si="24"/>
        <v>0</v>
      </c>
      <c r="AH131" s="14">
        <v>1559</v>
      </c>
      <c r="AI131" s="13"/>
      <c r="AL131" s="5"/>
      <c r="AM131" s="5">
        <v>69202.913043478256</v>
      </c>
      <c r="AN131" s="5">
        <f t="shared" ref="AN131:AN194" si="35">Y131-AM131</f>
        <v>-212.10956521739718</v>
      </c>
      <c r="AO131" s="5"/>
      <c r="AP131" s="5">
        <f t="shared" si="30"/>
        <v>56478</v>
      </c>
      <c r="AQ131" s="19">
        <v>0</v>
      </c>
      <c r="AR131" s="19"/>
      <c r="AT131" s="3">
        <v>8</v>
      </c>
      <c r="AV131" s="5">
        <f t="shared" si="25"/>
        <v>80</v>
      </c>
      <c r="AX131" s="38">
        <f t="shared" ref="AX131:AX194" si="36">AV131*W131</f>
        <v>0</v>
      </c>
      <c r="BA131" s="3">
        <v>104</v>
      </c>
      <c r="BB131" s="3">
        <v>37</v>
      </c>
      <c r="BC131" s="3">
        <v>49</v>
      </c>
      <c r="BD131" s="3">
        <f t="shared" si="26"/>
        <v>190</v>
      </c>
      <c r="BE131" s="3">
        <v>21</v>
      </c>
      <c r="BF131" s="3">
        <v>0</v>
      </c>
      <c r="BH131" s="3">
        <f t="shared" si="27"/>
        <v>352</v>
      </c>
      <c r="BJ131" s="38">
        <f t="shared" ref="BJ131:BJ194" si="37">BH131*V131</f>
        <v>548768</v>
      </c>
      <c r="BL131" s="3">
        <f t="shared" ref="BL131:BL194" si="38">U131*1.18</f>
        <v>66644.039999999994</v>
      </c>
    </row>
    <row r="132" spans="1:64" x14ac:dyDescent="0.35">
      <c r="A132" s="1" t="s">
        <v>440</v>
      </c>
      <c r="B132" s="1" t="str">
        <f t="shared" si="34"/>
        <v>Premium</v>
      </c>
      <c r="C132" s="1" t="s">
        <v>46</v>
      </c>
      <c r="D132" s="1" t="s">
        <v>80</v>
      </c>
      <c r="E132" s="1" t="s">
        <v>81</v>
      </c>
      <c r="F132" s="1" t="s">
        <v>115</v>
      </c>
      <c r="G132" s="1" t="s">
        <v>441</v>
      </c>
      <c r="H132" s="1" t="s">
        <v>84</v>
      </c>
      <c r="I132" s="1" t="s">
        <v>362</v>
      </c>
      <c r="J132" s="1" t="s">
        <v>442</v>
      </c>
      <c r="K132" s="1" t="s">
        <v>54</v>
      </c>
      <c r="L132" s="1" t="s">
        <v>70</v>
      </c>
      <c r="M132" s="1" t="s">
        <v>100</v>
      </c>
      <c r="N132" s="1" t="s">
        <v>57</v>
      </c>
      <c r="O132" s="1" t="s">
        <v>87</v>
      </c>
      <c r="P132" s="1" t="s">
        <v>238</v>
      </c>
      <c r="Q132" s="1" t="s">
        <v>127</v>
      </c>
      <c r="R132" s="8" t="s">
        <v>61</v>
      </c>
      <c r="S132" s="1">
        <v>0</v>
      </c>
      <c r="T132" s="2">
        <f>U132*0.965*0.98</f>
        <v>61994.417800000003</v>
      </c>
      <c r="U132" s="13">
        <v>65554</v>
      </c>
      <c r="V132" s="13">
        <v>1559</v>
      </c>
      <c r="W132" s="13"/>
      <c r="X132" s="13"/>
      <c r="Y132" s="2">
        <f>(U132*0.88-S132-V132-W132-X132)*1.18/0.92</f>
        <v>71990.927826086947</v>
      </c>
      <c r="Z132" s="1">
        <v>71990</v>
      </c>
      <c r="AA132" s="5"/>
      <c r="AB132" s="5"/>
      <c r="AC132" s="14">
        <v>71990</v>
      </c>
      <c r="AD132" s="5">
        <f t="shared" ref="AD132:AD195" si="39">(Y132-AC132)/1.18*0.92</f>
        <v>0.72338983050095695</v>
      </c>
      <c r="AE132" s="5"/>
      <c r="AF132" s="5">
        <f t="shared" ref="AF132:AF195" si="40">W132+X132</f>
        <v>0</v>
      </c>
      <c r="AG132" s="5"/>
      <c r="AH132" s="13">
        <v>1559</v>
      </c>
      <c r="AI132" s="13"/>
      <c r="AJ132" s="5"/>
      <c r="AL132" s="5"/>
      <c r="AM132" s="5">
        <v>68189.999999999985</v>
      </c>
      <c r="AN132" s="5">
        <f t="shared" si="35"/>
        <v>3800.9278260869614</v>
      </c>
      <c r="AO132" s="5"/>
      <c r="AP132" s="5">
        <f t="shared" si="30"/>
        <v>65554</v>
      </c>
      <c r="AQ132" s="20">
        <v>0</v>
      </c>
      <c r="AR132" s="20"/>
      <c r="AT132" s="3">
        <v>8</v>
      </c>
      <c r="AV132" s="5">
        <f t="shared" ref="AV132:AV196" si="41">ROUNDUP((AT132/8)*80,0)</f>
        <v>80</v>
      </c>
      <c r="AX132" s="38">
        <f t="shared" si="36"/>
        <v>0</v>
      </c>
      <c r="BA132" s="3">
        <v>680</v>
      </c>
      <c r="BB132" s="3">
        <v>71</v>
      </c>
      <c r="BC132" s="3">
        <v>117</v>
      </c>
      <c r="BD132" s="3">
        <f t="shared" ref="BD132:BD196" si="42">BC132+BB132+BA132</f>
        <v>868</v>
      </c>
      <c r="BE132" s="3">
        <v>325</v>
      </c>
      <c r="BF132" s="3">
        <v>0</v>
      </c>
      <c r="BH132" s="3">
        <f t="shared" ref="BH132:BH196" si="43">ROUNDUP(BD132*1.85,0)</f>
        <v>1606</v>
      </c>
      <c r="BJ132" s="38">
        <f t="shared" si="37"/>
        <v>2503754</v>
      </c>
      <c r="BL132" s="3">
        <f t="shared" si="38"/>
        <v>77353.72</v>
      </c>
    </row>
    <row r="133" spans="1:64" x14ac:dyDescent="0.35">
      <c r="A133" s="1" t="s">
        <v>443</v>
      </c>
      <c r="B133" s="1" t="str">
        <f>IF(BL133&lt;40000,"Entry",IF(BL133&gt;65000,"Premium","Mainstream"))</f>
        <v>Premium</v>
      </c>
      <c r="C133" s="1" t="s">
        <v>46</v>
      </c>
      <c r="D133" s="1" t="s">
        <v>80</v>
      </c>
      <c r="E133" s="1" t="s">
        <v>81</v>
      </c>
      <c r="F133" s="1" t="s">
        <v>115</v>
      </c>
      <c r="G133" s="1" t="s">
        <v>441</v>
      </c>
      <c r="H133" s="1" t="s">
        <v>84</v>
      </c>
      <c r="I133" s="1" t="s">
        <v>362</v>
      </c>
      <c r="J133" s="1" t="s">
        <v>442</v>
      </c>
      <c r="K133" s="1" t="s">
        <v>54</v>
      </c>
      <c r="L133" s="1" t="s">
        <v>70</v>
      </c>
      <c r="M133" s="1" t="s">
        <v>100</v>
      </c>
      <c r="N133" s="1" t="s">
        <v>57</v>
      </c>
      <c r="O133" s="1" t="s">
        <v>87</v>
      </c>
      <c r="P133" s="1" t="s">
        <v>238</v>
      </c>
      <c r="Q133" s="1" t="s">
        <v>127</v>
      </c>
      <c r="R133" s="39" t="s">
        <v>61</v>
      </c>
      <c r="S133" s="1">
        <v>725</v>
      </c>
      <c r="T133" s="2">
        <f>U133*0.965*0.98</f>
        <v>61097.374720724176</v>
      </c>
      <c r="U133" s="13">
        <v>64605.450693374412</v>
      </c>
      <c r="V133" s="13"/>
      <c r="W133" s="13"/>
      <c r="X133" s="13"/>
      <c r="Y133" s="2">
        <f>(U133*0.88-S133-V133-W133-X133)*1.18/0.92</f>
        <v>71989.999999999985</v>
      </c>
      <c r="Z133" s="1">
        <v>71990</v>
      </c>
      <c r="AA133" s="5"/>
      <c r="AB133" s="5"/>
      <c r="AC133" s="14">
        <v>71990</v>
      </c>
      <c r="AD133" s="5">
        <f t="shared" si="39"/>
        <v>-1.1345561025506361E-11</v>
      </c>
      <c r="AE133" s="5"/>
      <c r="AF133" s="5">
        <f t="shared" si="40"/>
        <v>0</v>
      </c>
      <c r="AG133" s="5"/>
      <c r="AH133" s="13">
        <v>1559</v>
      </c>
      <c r="AI133" s="13"/>
      <c r="AJ133" s="5"/>
      <c r="AL133" s="5"/>
      <c r="AM133" s="5">
        <v>68189.999999999985</v>
      </c>
      <c r="AN133" s="5">
        <f t="shared" si="35"/>
        <v>3800</v>
      </c>
      <c r="AO133" s="5"/>
      <c r="AP133" s="5">
        <f t="shared" si="30"/>
        <v>64605.450693374412</v>
      </c>
      <c r="AQ133" s="20">
        <v>0</v>
      </c>
      <c r="AR133" s="20"/>
      <c r="AT133" s="3">
        <v>8</v>
      </c>
      <c r="AV133" s="5">
        <f>ROUNDUP((AT133/8)*80,0)</f>
        <v>80</v>
      </c>
      <c r="AX133" s="38">
        <f t="shared" si="36"/>
        <v>0</v>
      </c>
      <c r="BA133" s="3">
        <v>680</v>
      </c>
      <c r="BB133" s="3">
        <v>71</v>
      </c>
      <c r="BC133" s="3">
        <v>117</v>
      </c>
      <c r="BD133" s="3">
        <f>BC133+BB133+BA133</f>
        <v>868</v>
      </c>
      <c r="BE133" s="3">
        <v>325</v>
      </c>
      <c r="BF133" s="3">
        <v>0</v>
      </c>
      <c r="BH133" s="3">
        <f>ROUNDUP(BD133*1.85,0)</f>
        <v>1606</v>
      </c>
      <c r="BJ133" s="38">
        <f t="shared" si="37"/>
        <v>0</v>
      </c>
      <c r="BL133" s="3">
        <f t="shared" si="38"/>
        <v>76234.431818181809</v>
      </c>
    </row>
    <row r="134" spans="1:64" x14ac:dyDescent="0.35">
      <c r="A134" s="1" t="s">
        <v>444</v>
      </c>
      <c r="B134" s="1" t="str">
        <f t="shared" si="34"/>
        <v>Premium</v>
      </c>
      <c r="C134" s="1" t="s">
        <v>46</v>
      </c>
      <c r="D134" s="1" t="s">
        <v>80</v>
      </c>
      <c r="E134" s="1" t="s">
        <v>81</v>
      </c>
      <c r="F134" s="1" t="s">
        <v>115</v>
      </c>
      <c r="G134" s="1" t="s">
        <v>436</v>
      </c>
      <c r="H134" s="1" t="s">
        <v>84</v>
      </c>
      <c r="I134" s="1" t="s">
        <v>154</v>
      </c>
      <c r="J134" s="1" t="s">
        <v>439</v>
      </c>
      <c r="K134" s="1" t="s">
        <v>54</v>
      </c>
      <c r="L134" s="1" t="s">
        <v>70</v>
      </c>
      <c r="M134" s="1" t="s">
        <v>100</v>
      </c>
      <c r="N134" s="1" t="s">
        <v>200</v>
      </c>
      <c r="O134" s="1" t="s">
        <v>87</v>
      </c>
      <c r="P134" s="1" t="s">
        <v>202</v>
      </c>
      <c r="Q134" s="1" t="s">
        <v>127</v>
      </c>
      <c r="R134" s="1" t="s">
        <v>73</v>
      </c>
      <c r="S134" s="1">
        <v>0</v>
      </c>
      <c r="T134" s="2">
        <f>U134*0.98*0.98</f>
        <v>56533.37627118644</v>
      </c>
      <c r="U134" s="13">
        <v>58864.406779661018</v>
      </c>
      <c r="V134" s="13">
        <v>1559</v>
      </c>
      <c r="W134" s="13"/>
      <c r="X134" s="13"/>
      <c r="Y134" s="2">
        <f>(U134*0.98-S134-V134-W134-X134)*1.18/0.92</f>
        <v>71990.413043478256</v>
      </c>
      <c r="Z134" s="18">
        <v>71990</v>
      </c>
      <c r="AA134" s="5"/>
      <c r="AB134" s="5"/>
      <c r="AC134" s="14">
        <v>71990</v>
      </c>
      <c r="AD134" s="5">
        <f t="shared" si="39"/>
        <v>0.32203389830163182</v>
      </c>
      <c r="AE134" s="5"/>
      <c r="AF134" s="5">
        <f t="shared" si="40"/>
        <v>0</v>
      </c>
      <c r="AG134" s="5"/>
      <c r="AH134" s="13">
        <v>1559</v>
      </c>
      <c r="AI134" s="13"/>
      <c r="AJ134" s="5"/>
      <c r="AL134" s="5"/>
      <c r="AM134" s="5">
        <v>72202.565217391297</v>
      </c>
      <c r="AN134" s="5">
        <f t="shared" si="35"/>
        <v>-212.15217391304031</v>
      </c>
      <c r="AO134" s="5"/>
      <c r="AP134" s="5">
        <f t="shared" si="30"/>
        <v>58864.406779661018</v>
      </c>
      <c r="AQ134" s="20">
        <v>0</v>
      </c>
      <c r="AR134" s="20"/>
      <c r="AT134" s="3">
        <v>3</v>
      </c>
      <c r="AV134" s="5">
        <f t="shared" si="41"/>
        <v>30</v>
      </c>
      <c r="AX134" s="38">
        <f t="shared" si="36"/>
        <v>0</v>
      </c>
      <c r="BA134" s="3">
        <v>0</v>
      </c>
      <c r="BB134" s="3">
        <v>0</v>
      </c>
      <c r="BC134" s="3">
        <v>3</v>
      </c>
      <c r="BD134" s="3">
        <f t="shared" si="42"/>
        <v>3</v>
      </c>
      <c r="BE134" s="3">
        <v>464</v>
      </c>
      <c r="BF134" s="3">
        <v>0</v>
      </c>
      <c r="BH134" s="3">
        <f t="shared" si="43"/>
        <v>6</v>
      </c>
      <c r="BJ134" s="38">
        <f t="shared" si="37"/>
        <v>9354</v>
      </c>
      <c r="BL134" s="3">
        <f t="shared" si="38"/>
        <v>69460</v>
      </c>
    </row>
    <row r="135" spans="1:64" x14ac:dyDescent="0.35">
      <c r="A135" s="4" t="s">
        <v>445</v>
      </c>
      <c r="B135" s="1" t="str">
        <f t="shared" si="34"/>
        <v>Premium</v>
      </c>
      <c r="C135" s="1" t="s">
        <v>46</v>
      </c>
      <c r="D135" s="1" t="s">
        <v>80</v>
      </c>
      <c r="E135" s="1" t="s">
        <v>81</v>
      </c>
      <c r="F135" s="1" t="s">
        <v>115</v>
      </c>
      <c r="G135" s="1" t="s">
        <v>436</v>
      </c>
      <c r="H135" s="1" t="s">
        <v>84</v>
      </c>
      <c r="I135" s="1" t="s">
        <v>362</v>
      </c>
      <c r="J135" s="1" t="s">
        <v>437</v>
      </c>
      <c r="K135" s="1" t="s">
        <v>54</v>
      </c>
      <c r="L135" s="1" t="s">
        <v>55</v>
      </c>
      <c r="M135" s="1" t="s">
        <v>100</v>
      </c>
      <c r="N135" s="1" t="s">
        <v>57</v>
      </c>
      <c r="O135" s="1" t="s">
        <v>87</v>
      </c>
      <c r="P135" s="1" t="s">
        <v>202</v>
      </c>
      <c r="Q135" s="1" t="s">
        <v>127</v>
      </c>
      <c r="R135" s="1" t="s">
        <v>73</v>
      </c>
      <c r="S135" s="1">
        <v>0</v>
      </c>
      <c r="T135" s="2">
        <f>U135*0.98*0.98</f>
        <v>58061.51186440677</v>
      </c>
      <c r="U135" s="13">
        <v>60455.551712210297</v>
      </c>
      <c r="V135" s="13">
        <v>1559</v>
      </c>
      <c r="W135" s="13"/>
      <c r="X135" s="13"/>
      <c r="Y135" s="2">
        <f>(U135*0.98-S135-V135-W135-X135)*1.18/0.92</f>
        <v>73990.413043478256</v>
      </c>
      <c r="Z135" s="2">
        <v>73990</v>
      </c>
      <c r="AA135" s="5"/>
      <c r="AB135" s="5"/>
      <c r="AC135" s="14">
        <v>73990</v>
      </c>
      <c r="AD135" s="5">
        <f t="shared" si="39"/>
        <v>0.32203389830163182</v>
      </c>
      <c r="AE135" s="5"/>
      <c r="AF135" s="5">
        <f t="shared" si="40"/>
        <v>0</v>
      </c>
      <c r="AG135" s="5"/>
      <c r="AH135" s="13">
        <v>1559</v>
      </c>
      <c r="AI135" s="13"/>
      <c r="AJ135" s="5"/>
      <c r="AL135" s="5"/>
      <c r="AM135" s="5">
        <v>74190</v>
      </c>
      <c r="AN135" s="5">
        <f t="shared" si="35"/>
        <v>-199.58695652174356</v>
      </c>
      <c r="AO135" s="5"/>
      <c r="AP135" s="5">
        <f t="shared" si="30"/>
        <v>60455.551712210297</v>
      </c>
      <c r="AQ135" s="20">
        <v>0</v>
      </c>
      <c r="AR135" s="20"/>
      <c r="AT135" s="3">
        <v>8</v>
      </c>
      <c r="AV135" s="5">
        <f t="shared" si="41"/>
        <v>80</v>
      </c>
      <c r="AX135" s="38">
        <f t="shared" si="36"/>
        <v>0</v>
      </c>
      <c r="BA135" s="3">
        <v>48</v>
      </c>
      <c r="BB135" s="3">
        <v>0</v>
      </c>
      <c r="BC135" s="3">
        <v>44</v>
      </c>
      <c r="BD135" s="3">
        <f t="shared" si="42"/>
        <v>92</v>
      </c>
      <c r="BE135" s="3">
        <v>328</v>
      </c>
      <c r="BF135" s="3">
        <v>18</v>
      </c>
      <c r="BH135" s="3">
        <f t="shared" si="43"/>
        <v>171</v>
      </c>
      <c r="BJ135" s="38">
        <f t="shared" si="37"/>
        <v>266589</v>
      </c>
      <c r="BL135" s="3">
        <f t="shared" si="38"/>
        <v>71337.551020408151</v>
      </c>
    </row>
    <row r="136" spans="1:64" x14ac:dyDescent="0.35">
      <c r="A136" s="4" t="s">
        <v>446</v>
      </c>
      <c r="B136" s="1" t="str">
        <f t="shared" si="34"/>
        <v>Premium</v>
      </c>
      <c r="C136" s="1" t="s">
        <v>46</v>
      </c>
      <c r="D136" s="1" t="s">
        <v>80</v>
      </c>
      <c r="E136" s="1" t="s">
        <v>81</v>
      </c>
      <c r="F136" s="1" t="s">
        <v>115</v>
      </c>
      <c r="G136" s="1" t="s">
        <v>441</v>
      </c>
      <c r="H136" s="1" t="s">
        <v>84</v>
      </c>
      <c r="I136" s="1" t="s">
        <v>362</v>
      </c>
      <c r="J136" s="1" t="s">
        <v>447</v>
      </c>
      <c r="K136" s="1" t="s">
        <v>54</v>
      </c>
      <c r="L136" s="1" t="s">
        <v>55</v>
      </c>
      <c r="M136" s="1" t="s">
        <v>100</v>
      </c>
      <c r="N136" s="1" t="s">
        <v>57</v>
      </c>
      <c r="O136" s="1" t="s">
        <v>87</v>
      </c>
      <c r="P136" s="1" t="s">
        <v>448</v>
      </c>
      <c r="Q136" s="1" t="s">
        <v>127</v>
      </c>
      <c r="R136" s="1" t="s">
        <v>61</v>
      </c>
      <c r="S136" s="1">
        <v>725</v>
      </c>
      <c r="T136" s="2">
        <f>U136*0.965*0.98</f>
        <v>66962.463318567025</v>
      </c>
      <c r="U136" s="13">
        <v>70807.299691833599</v>
      </c>
      <c r="V136" s="13">
        <v>1559</v>
      </c>
      <c r="W136" s="13"/>
      <c r="X136" s="13"/>
      <c r="Y136" s="2">
        <f>(U136*0.88-S136-V136-W136-X136)*1.18/0.92</f>
        <v>76990.413043478271</v>
      </c>
      <c r="Z136" s="1">
        <v>76990</v>
      </c>
      <c r="AA136" s="5"/>
      <c r="AB136" s="5"/>
      <c r="AC136" s="14">
        <v>76990</v>
      </c>
      <c r="AD136" s="5">
        <f t="shared" si="39"/>
        <v>0.32203389831297735</v>
      </c>
      <c r="AE136" s="5"/>
      <c r="AF136" s="5">
        <f t="shared" si="40"/>
        <v>0</v>
      </c>
      <c r="AG136" s="5"/>
      <c r="AH136" s="13">
        <v>1559</v>
      </c>
      <c r="AI136" s="13"/>
      <c r="AJ136" s="5"/>
      <c r="AL136" s="5"/>
      <c r="AM136" s="5">
        <v>73189.54347826085</v>
      </c>
      <c r="AN136" s="5">
        <f t="shared" si="35"/>
        <v>3800.869565217421</v>
      </c>
      <c r="AO136" s="5"/>
      <c r="AP136" s="5">
        <f t="shared" si="30"/>
        <v>70807.299691833599</v>
      </c>
      <c r="AQ136" s="20">
        <v>0</v>
      </c>
      <c r="AR136" s="20"/>
      <c r="AT136" s="3">
        <v>2</v>
      </c>
      <c r="AV136" s="5">
        <f t="shared" si="41"/>
        <v>20</v>
      </c>
      <c r="AX136" s="38">
        <f t="shared" si="36"/>
        <v>0</v>
      </c>
      <c r="BA136" s="3">
        <v>36</v>
      </c>
      <c r="BB136" s="3">
        <v>20</v>
      </c>
      <c r="BC136" s="3">
        <v>0</v>
      </c>
      <c r="BD136" s="3">
        <f t="shared" si="42"/>
        <v>56</v>
      </c>
      <c r="BE136" s="3">
        <v>1679</v>
      </c>
      <c r="BF136" s="3">
        <v>60</v>
      </c>
      <c r="BH136" s="3">
        <f t="shared" si="43"/>
        <v>104</v>
      </c>
      <c r="BJ136" s="38">
        <f t="shared" si="37"/>
        <v>162136</v>
      </c>
      <c r="BL136" s="3">
        <f t="shared" si="38"/>
        <v>83552.613636363647</v>
      </c>
    </row>
    <row r="137" spans="1:64" x14ac:dyDescent="0.35">
      <c r="A137" s="1" t="s">
        <v>449</v>
      </c>
      <c r="B137" s="1" t="str">
        <f t="shared" si="34"/>
        <v>Premium</v>
      </c>
      <c r="C137" s="1" t="s">
        <v>46</v>
      </c>
      <c r="D137" s="1" t="s">
        <v>450</v>
      </c>
      <c r="E137" s="1" t="s">
        <v>81</v>
      </c>
      <c r="F137" s="1" t="s">
        <v>115</v>
      </c>
      <c r="G137" s="1" t="s">
        <v>115</v>
      </c>
      <c r="H137" s="1" t="s">
        <v>450</v>
      </c>
      <c r="I137" s="1" t="s">
        <v>451</v>
      </c>
      <c r="J137" s="1" t="s">
        <v>450</v>
      </c>
      <c r="K137" s="1" t="s">
        <v>54</v>
      </c>
      <c r="L137" s="1" t="s">
        <v>55</v>
      </c>
      <c r="M137" s="1" t="s">
        <v>56</v>
      </c>
      <c r="N137" s="1" t="s">
        <v>57</v>
      </c>
      <c r="O137" s="1" t="s">
        <v>452</v>
      </c>
      <c r="P137" s="1" t="s">
        <v>238</v>
      </c>
      <c r="Q137" s="1" t="s">
        <v>127</v>
      </c>
      <c r="R137" s="1" t="s">
        <v>61</v>
      </c>
      <c r="S137" s="1">
        <v>0</v>
      </c>
      <c r="T137" s="18">
        <f>U137*0.98*0.965</f>
        <v>69534.483899999992</v>
      </c>
      <c r="U137" s="12">
        <v>73527</v>
      </c>
      <c r="V137" s="13">
        <v>2338.6752542372783</v>
      </c>
      <c r="W137" s="14"/>
      <c r="X137" s="14"/>
      <c r="Y137" s="2">
        <f>(U137*0.88-S137-V137-W137-X137)*1.18/0.92</f>
        <v>79990.000000000015</v>
      </c>
      <c r="Z137" s="1">
        <v>79990</v>
      </c>
      <c r="AA137" s="5"/>
      <c r="AB137" s="5"/>
      <c r="AC137" s="14">
        <v>79990</v>
      </c>
      <c r="AD137" s="5">
        <f t="shared" si="39"/>
        <v>1.1345561025506361E-11</v>
      </c>
      <c r="AF137" s="5">
        <f t="shared" si="40"/>
        <v>0</v>
      </c>
      <c r="AH137" s="13">
        <v>2338.6752542372783</v>
      </c>
      <c r="AI137" s="14"/>
      <c r="AL137" s="5"/>
      <c r="AM137" s="5">
        <v>75989.434782608689</v>
      </c>
      <c r="AN137" s="5">
        <f t="shared" si="35"/>
        <v>4000.5652173913259</v>
      </c>
      <c r="AO137" s="5"/>
      <c r="AP137" s="5">
        <f t="shared" si="30"/>
        <v>73527</v>
      </c>
      <c r="AQ137" s="22"/>
      <c r="AR137" s="22"/>
      <c r="AT137" s="3">
        <v>27</v>
      </c>
      <c r="AV137" s="5">
        <f t="shared" si="41"/>
        <v>270</v>
      </c>
      <c r="AX137" s="38">
        <f t="shared" si="36"/>
        <v>0</v>
      </c>
      <c r="BA137" s="3">
        <v>0</v>
      </c>
      <c r="BB137" s="3">
        <v>276</v>
      </c>
      <c r="BC137" s="3">
        <v>22</v>
      </c>
      <c r="BD137" s="3">
        <f t="shared" si="42"/>
        <v>298</v>
      </c>
      <c r="BE137" s="3">
        <v>0</v>
      </c>
      <c r="BF137" s="3">
        <v>1</v>
      </c>
      <c r="BH137" s="3">
        <f t="shared" si="43"/>
        <v>552</v>
      </c>
      <c r="BJ137" s="38">
        <f t="shared" si="37"/>
        <v>1290948.7403389777</v>
      </c>
      <c r="BL137" s="3">
        <f t="shared" si="38"/>
        <v>86761.86</v>
      </c>
    </row>
    <row r="138" spans="1:64" x14ac:dyDescent="0.35">
      <c r="A138" s="1" t="s">
        <v>453</v>
      </c>
      <c r="B138" s="1" t="str">
        <f t="shared" si="34"/>
        <v>Premium</v>
      </c>
      <c r="C138" s="1" t="s">
        <v>46</v>
      </c>
      <c r="D138" s="1" t="s">
        <v>450</v>
      </c>
      <c r="E138" s="1" t="s">
        <v>81</v>
      </c>
      <c r="F138" s="1" t="s">
        <v>115</v>
      </c>
      <c r="G138" s="1" t="s">
        <v>115</v>
      </c>
      <c r="H138" s="1" t="s">
        <v>450</v>
      </c>
      <c r="I138" s="1" t="s">
        <v>451</v>
      </c>
      <c r="J138" s="1" t="s">
        <v>450</v>
      </c>
      <c r="K138" s="1" t="s">
        <v>54</v>
      </c>
      <c r="L138" s="1" t="s">
        <v>55</v>
      </c>
      <c r="M138" s="1" t="s">
        <v>56</v>
      </c>
      <c r="N138" s="1" t="s">
        <v>57</v>
      </c>
      <c r="O138" s="1" t="s">
        <v>452</v>
      </c>
      <c r="P138" s="1" t="s">
        <v>238</v>
      </c>
      <c r="Q138" s="1" t="s">
        <v>127</v>
      </c>
      <c r="R138" s="1" t="s">
        <v>61</v>
      </c>
      <c r="S138" s="1">
        <v>725</v>
      </c>
      <c r="T138" s="18">
        <f>U138*0.98*0.965</f>
        <v>70313.942517334261</v>
      </c>
      <c r="U138" s="12">
        <v>74351.213405238726</v>
      </c>
      <c r="V138" s="13">
        <v>2338.9830508473497</v>
      </c>
      <c r="W138" s="14"/>
      <c r="X138" s="14"/>
      <c r="Y138" s="2">
        <f>(U138*0.88-S138-V138-W138-X138)*1.18/0.92</f>
        <v>79990.000000000015</v>
      </c>
      <c r="Z138" s="1">
        <v>79990</v>
      </c>
      <c r="AA138" s="5"/>
      <c r="AB138" s="5"/>
      <c r="AC138" s="14">
        <v>79990</v>
      </c>
      <c r="AD138" s="5">
        <f t="shared" si="39"/>
        <v>1.1345561025506361E-11</v>
      </c>
      <c r="AF138" s="5">
        <f t="shared" si="40"/>
        <v>0</v>
      </c>
      <c r="AH138" s="13">
        <v>2338.9830508473497</v>
      </c>
      <c r="AI138" s="14"/>
      <c r="AL138" s="5"/>
      <c r="AM138" s="5">
        <v>75990</v>
      </c>
      <c r="AN138" s="5">
        <f t="shared" si="35"/>
        <v>4000.0000000000146</v>
      </c>
      <c r="AO138" s="5"/>
      <c r="AP138" s="5">
        <f t="shared" si="30"/>
        <v>74351.213405238726</v>
      </c>
      <c r="AQ138" s="22"/>
      <c r="AR138" s="22"/>
      <c r="AT138" s="3">
        <v>0</v>
      </c>
      <c r="AV138" s="5">
        <f t="shared" si="41"/>
        <v>0</v>
      </c>
      <c r="AX138" s="38">
        <f t="shared" si="36"/>
        <v>0</v>
      </c>
      <c r="BA138" s="3">
        <v>0</v>
      </c>
      <c r="BB138" s="3">
        <v>0</v>
      </c>
      <c r="BC138" s="3">
        <v>48</v>
      </c>
      <c r="BD138" s="3">
        <f t="shared" si="42"/>
        <v>48</v>
      </c>
      <c r="BE138" s="3">
        <v>571</v>
      </c>
      <c r="BF138" s="3">
        <v>0</v>
      </c>
      <c r="BH138" s="3">
        <f t="shared" si="43"/>
        <v>89</v>
      </c>
      <c r="BJ138" s="38">
        <f t="shared" si="37"/>
        <v>208169.49152541411</v>
      </c>
      <c r="BL138" s="3">
        <f t="shared" si="38"/>
        <v>87734.431818181693</v>
      </c>
    </row>
    <row r="139" spans="1:64" x14ac:dyDescent="0.35">
      <c r="A139" s="1" t="s">
        <v>454</v>
      </c>
      <c r="B139" s="1" t="str">
        <f t="shared" si="34"/>
        <v>Premium</v>
      </c>
      <c r="C139" s="1" t="s">
        <v>46</v>
      </c>
      <c r="D139" s="1" t="s">
        <v>450</v>
      </c>
      <c r="E139" s="1" t="s">
        <v>81</v>
      </c>
      <c r="F139" s="1" t="s">
        <v>115</v>
      </c>
      <c r="G139" s="1" t="s">
        <v>115</v>
      </c>
      <c r="H139" s="1" t="s">
        <v>450</v>
      </c>
      <c r="I139" s="1" t="s">
        <v>451</v>
      </c>
      <c r="J139" s="1" t="s">
        <v>450</v>
      </c>
      <c r="K139" s="1" t="s">
        <v>54</v>
      </c>
      <c r="L139" s="1" t="s">
        <v>55</v>
      </c>
      <c r="M139" s="1" t="s">
        <v>56</v>
      </c>
      <c r="N139" s="1" t="s">
        <v>57</v>
      </c>
      <c r="O139" s="1" t="s">
        <v>452</v>
      </c>
      <c r="P139" s="1" t="s">
        <v>455</v>
      </c>
      <c r="Q139" s="1" t="s">
        <v>127</v>
      </c>
      <c r="R139" s="1" t="s">
        <v>73</v>
      </c>
      <c r="S139" s="1">
        <v>0</v>
      </c>
      <c r="T139" s="2">
        <f>U139*0.98*0.98</f>
        <v>64938.122033898289</v>
      </c>
      <c r="U139" s="12">
        <v>67615.703908682102</v>
      </c>
      <c r="V139" s="14">
        <v>2339</v>
      </c>
      <c r="W139" s="14"/>
      <c r="X139" s="14"/>
      <c r="Y139" s="2">
        <f>(U139*0.98-S139-V139-W139-X139)*1.18/0.92</f>
        <v>81989.978260869539</v>
      </c>
      <c r="Z139" s="1">
        <v>81990</v>
      </c>
      <c r="AA139" s="5"/>
      <c r="AB139" s="5"/>
      <c r="AC139" s="14">
        <v>81990</v>
      </c>
      <c r="AD139" s="5">
        <f t="shared" si="39"/>
        <v>-1.6949152563090864E-2</v>
      </c>
      <c r="AE139" s="5"/>
      <c r="AF139" s="5">
        <f t="shared" si="40"/>
        <v>0</v>
      </c>
      <c r="AG139" s="5"/>
      <c r="AH139" s="14">
        <v>2339</v>
      </c>
      <c r="AI139" s="14"/>
      <c r="AJ139" s="5"/>
      <c r="AL139" s="5"/>
      <c r="AM139" s="5">
        <v>76989.843913043471</v>
      </c>
      <c r="AN139" s="5">
        <f t="shared" si="35"/>
        <v>5000.1343478260678</v>
      </c>
      <c r="AO139" s="5"/>
      <c r="AP139" s="5">
        <f t="shared" si="30"/>
        <v>67615.703908682102</v>
      </c>
      <c r="AQ139" s="22"/>
      <c r="AR139" s="22"/>
      <c r="AT139" s="3">
        <v>39</v>
      </c>
      <c r="AV139" s="5">
        <f t="shared" si="41"/>
        <v>390</v>
      </c>
      <c r="AX139" s="38">
        <f t="shared" si="36"/>
        <v>0</v>
      </c>
      <c r="BA139" s="3">
        <v>0</v>
      </c>
      <c r="BB139" s="3">
        <v>175</v>
      </c>
      <c r="BC139" s="3">
        <v>23</v>
      </c>
      <c r="BD139" s="3">
        <f t="shared" si="42"/>
        <v>198</v>
      </c>
      <c r="BE139" s="3">
        <v>1</v>
      </c>
      <c r="BF139" s="3">
        <v>0</v>
      </c>
      <c r="BH139" s="3">
        <f t="shared" si="43"/>
        <v>367</v>
      </c>
      <c r="BJ139" s="38">
        <f t="shared" si="37"/>
        <v>858413</v>
      </c>
      <c r="BL139" s="3">
        <f t="shared" si="38"/>
        <v>79786.530612244882</v>
      </c>
    </row>
    <row r="140" spans="1:64" x14ac:dyDescent="0.35">
      <c r="A140" s="1" t="s">
        <v>456</v>
      </c>
      <c r="B140" s="1" t="str">
        <f t="shared" si="34"/>
        <v>Premium</v>
      </c>
      <c r="C140" s="1" t="s">
        <v>46</v>
      </c>
      <c r="D140" s="1" t="s">
        <v>450</v>
      </c>
      <c r="E140" s="1" t="s">
        <v>81</v>
      </c>
      <c r="F140" s="1" t="s">
        <v>115</v>
      </c>
      <c r="G140" s="1" t="s">
        <v>115</v>
      </c>
      <c r="H140" s="1" t="s">
        <v>450</v>
      </c>
      <c r="I140" s="1" t="s">
        <v>451</v>
      </c>
      <c r="J140" s="1" t="s">
        <v>450</v>
      </c>
      <c r="K140" s="1" t="s">
        <v>54</v>
      </c>
      <c r="L140" s="1" t="s">
        <v>55</v>
      </c>
      <c r="M140" s="1" t="s">
        <v>56</v>
      </c>
      <c r="N140" s="1" t="s">
        <v>57</v>
      </c>
      <c r="O140" s="1" t="s">
        <v>452</v>
      </c>
      <c r="P140" s="1" t="s">
        <v>455</v>
      </c>
      <c r="Q140" s="1" t="s">
        <v>127</v>
      </c>
      <c r="R140" s="1" t="s">
        <v>73</v>
      </c>
      <c r="S140" s="1">
        <v>0</v>
      </c>
      <c r="T140" s="2">
        <f>U140*0.98*0.98</f>
        <v>64938.138644067782</v>
      </c>
      <c r="U140" s="12">
        <v>67615.721203735724</v>
      </c>
      <c r="V140" s="14">
        <v>2339</v>
      </c>
      <c r="W140" s="14"/>
      <c r="X140" s="14"/>
      <c r="Y140" s="2">
        <f>(U140*0.98-S140-V140-W140-X140)*1.18/0.92</f>
        <v>81989.999999999971</v>
      </c>
      <c r="Z140" s="1">
        <v>81990</v>
      </c>
      <c r="AA140" s="5"/>
      <c r="AB140" s="5"/>
      <c r="AC140" s="14">
        <v>81990</v>
      </c>
      <c r="AD140" s="5">
        <f t="shared" si="39"/>
        <v>-2.2691122051012722E-11</v>
      </c>
      <c r="AE140" s="5"/>
      <c r="AF140" s="5">
        <f t="shared" si="40"/>
        <v>0</v>
      </c>
      <c r="AG140" s="5"/>
      <c r="AH140" s="14">
        <v>2339</v>
      </c>
      <c r="AI140" s="14"/>
      <c r="AJ140" s="5"/>
      <c r="AL140" s="5"/>
      <c r="AM140" s="5">
        <v>76989.843913043471</v>
      </c>
      <c r="AN140" s="5">
        <f t="shared" si="35"/>
        <v>5000.1560869565001</v>
      </c>
      <c r="AO140" s="5"/>
      <c r="AP140" s="5">
        <f t="shared" si="30"/>
        <v>67615.721203735724</v>
      </c>
      <c r="AQ140" s="22"/>
      <c r="AR140" s="22"/>
      <c r="AT140" s="3">
        <v>0</v>
      </c>
      <c r="AV140" s="5">
        <f t="shared" si="41"/>
        <v>0</v>
      </c>
      <c r="AX140" s="38">
        <f t="shared" si="36"/>
        <v>0</v>
      </c>
      <c r="BA140" s="3">
        <v>0</v>
      </c>
      <c r="BB140" s="3">
        <v>0</v>
      </c>
      <c r="BC140" s="3">
        <v>50</v>
      </c>
      <c r="BD140" s="3">
        <f t="shared" si="42"/>
        <v>50</v>
      </c>
      <c r="BE140" s="3">
        <v>429</v>
      </c>
      <c r="BF140" s="3">
        <v>0</v>
      </c>
      <c r="BH140" s="3">
        <f t="shared" si="43"/>
        <v>93</v>
      </c>
      <c r="BJ140" s="38">
        <f t="shared" si="37"/>
        <v>217527</v>
      </c>
      <c r="BL140" s="3">
        <f t="shared" si="38"/>
        <v>79786.551020408151</v>
      </c>
    </row>
    <row r="141" spans="1:64" x14ac:dyDescent="0.35">
      <c r="A141" s="1" t="s">
        <v>457</v>
      </c>
      <c r="B141" s="1" t="str">
        <f t="shared" si="34"/>
        <v>Premium</v>
      </c>
      <c r="C141" s="1" t="s">
        <v>46</v>
      </c>
      <c r="D141" s="1" t="s">
        <v>80</v>
      </c>
      <c r="E141" s="1" t="s">
        <v>81</v>
      </c>
      <c r="F141" s="1" t="s">
        <v>429</v>
      </c>
      <c r="G141" s="1" t="s">
        <v>458</v>
      </c>
      <c r="H141" s="1" t="s">
        <v>84</v>
      </c>
      <c r="I141" s="1" t="s">
        <v>154</v>
      </c>
      <c r="J141" s="1" t="s">
        <v>442</v>
      </c>
      <c r="K141" s="1" t="s">
        <v>54</v>
      </c>
      <c r="L141" s="1" t="s">
        <v>70</v>
      </c>
      <c r="M141" s="1" t="s">
        <v>100</v>
      </c>
      <c r="N141" s="1" t="s">
        <v>200</v>
      </c>
      <c r="O141" s="1" t="s">
        <v>87</v>
      </c>
      <c r="P141" s="1" t="s">
        <v>202</v>
      </c>
      <c r="Q141" s="1" t="s">
        <v>127</v>
      </c>
      <c r="R141" s="1" t="s">
        <v>61</v>
      </c>
      <c r="S141" s="1">
        <v>0</v>
      </c>
      <c r="T141" s="2">
        <f>U141*0.965*0.98</f>
        <v>71210.264299999995</v>
      </c>
      <c r="U141" s="13">
        <v>75299</v>
      </c>
      <c r="V141" s="13">
        <v>2339</v>
      </c>
      <c r="W141" s="13"/>
      <c r="X141" s="13"/>
      <c r="Y141" s="2">
        <f>(U141*0.88-S141-V141-W141-X141)*1.18/0.92</f>
        <v>81989.632173913036</v>
      </c>
      <c r="Z141" s="2">
        <v>81990</v>
      </c>
      <c r="AA141" s="5"/>
      <c r="AB141" s="5"/>
      <c r="AC141" s="14">
        <v>81990</v>
      </c>
      <c r="AD141" s="5">
        <f t="shared" si="39"/>
        <v>-0.28677966102259234</v>
      </c>
      <c r="AE141" s="5"/>
      <c r="AF141" s="5">
        <f t="shared" si="40"/>
        <v>0</v>
      </c>
      <c r="AG141" s="5"/>
      <c r="AH141" s="13">
        <v>2339</v>
      </c>
      <c r="AI141" s="13"/>
      <c r="AJ141" s="5"/>
      <c r="AL141" s="5"/>
      <c r="AM141" s="5">
        <v>80181.39130434781</v>
      </c>
      <c r="AN141" s="5">
        <f t="shared" si="35"/>
        <v>1808.2408695652266</v>
      </c>
      <c r="AO141" s="5"/>
      <c r="AP141" s="5">
        <f t="shared" si="30"/>
        <v>75299</v>
      </c>
      <c r="AQ141" s="20">
        <v>0</v>
      </c>
      <c r="AR141" s="20"/>
      <c r="AT141" s="3">
        <v>4</v>
      </c>
      <c r="AV141" s="5">
        <f t="shared" si="41"/>
        <v>40</v>
      </c>
      <c r="AX141" s="38">
        <f t="shared" si="36"/>
        <v>0</v>
      </c>
      <c r="BA141" s="3">
        <v>16</v>
      </c>
      <c r="BB141" s="3">
        <v>43</v>
      </c>
      <c r="BC141" s="3">
        <v>94</v>
      </c>
      <c r="BD141" s="3">
        <f t="shared" si="42"/>
        <v>153</v>
      </c>
      <c r="BE141" s="3">
        <v>51</v>
      </c>
      <c r="BF141" s="3">
        <v>0</v>
      </c>
      <c r="BH141" s="3">
        <f t="shared" si="43"/>
        <v>284</v>
      </c>
      <c r="BJ141" s="38">
        <f t="shared" si="37"/>
        <v>664276</v>
      </c>
      <c r="BL141" s="3">
        <f t="shared" si="38"/>
        <v>88852.819999999992</v>
      </c>
    </row>
    <row r="142" spans="1:64" x14ac:dyDescent="0.35">
      <c r="A142" s="1" t="s">
        <v>459</v>
      </c>
      <c r="B142" s="1" t="str">
        <f t="shared" si="34"/>
        <v>Premium</v>
      </c>
      <c r="C142" s="1" t="s">
        <v>46</v>
      </c>
      <c r="D142" s="1" t="s">
        <v>460</v>
      </c>
      <c r="E142" s="1" t="s">
        <v>81</v>
      </c>
      <c r="F142" s="1" t="s">
        <v>115</v>
      </c>
      <c r="G142" s="1" t="s">
        <v>441</v>
      </c>
      <c r="H142" s="1" t="s">
        <v>67</v>
      </c>
      <c r="I142" s="1" t="s">
        <v>362</v>
      </c>
      <c r="J142" s="1" t="s">
        <v>461</v>
      </c>
      <c r="K142" s="1" t="s">
        <v>54</v>
      </c>
      <c r="L142" s="1" t="s">
        <v>70</v>
      </c>
      <c r="M142" s="1" t="s">
        <v>100</v>
      </c>
      <c r="N142" s="1" t="s">
        <v>57</v>
      </c>
      <c r="O142" s="1" t="s">
        <v>87</v>
      </c>
      <c r="P142" s="1" t="s">
        <v>238</v>
      </c>
      <c r="Q142" s="1" t="s">
        <v>127</v>
      </c>
      <c r="R142" s="1" t="s">
        <v>61</v>
      </c>
      <c r="S142" s="1">
        <v>0</v>
      </c>
      <c r="T142" s="2">
        <f>U142*0.965*0.98</f>
        <v>72209.805084745763</v>
      </c>
      <c r="U142" s="13">
        <v>76355.932203389835</v>
      </c>
      <c r="V142" s="13">
        <v>0</v>
      </c>
      <c r="W142" s="13"/>
      <c r="X142" s="13"/>
      <c r="Y142" s="2">
        <f>(U142*0.88-S142-V142-W142-X142)*1.18/0.92</f>
        <v>86182.608695652176</v>
      </c>
      <c r="Z142" s="1">
        <v>86190</v>
      </c>
      <c r="AA142" s="5"/>
      <c r="AB142" s="5"/>
      <c r="AC142" s="14">
        <v>86190</v>
      </c>
      <c r="AD142" s="5">
        <f t="shared" si="39"/>
        <v>-5.7627118644053006</v>
      </c>
      <c r="AE142" s="5"/>
      <c r="AF142" s="5">
        <f t="shared" si="40"/>
        <v>0</v>
      </c>
      <c r="AG142" s="5"/>
      <c r="AH142" s="13">
        <v>0</v>
      </c>
      <c r="AI142" s="13"/>
      <c r="AJ142" s="5"/>
      <c r="AL142" s="5"/>
      <c r="AM142" s="5">
        <v>86182.608695652176</v>
      </c>
      <c r="AN142" s="5">
        <f t="shared" si="35"/>
        <v>0</v>
      </c>
      <c r="AO142" s="5"/>
      <c r="AP142" s="5">
        <f t="shared" si="30"/>
        <v>76355.932203389835</v>
      </c>
      <c r="AQ142" s="20">
        <v>0</v>
      </c>
      <c r="AR142" s="20"/>
      <c r="AT142" s="3">
        <v>3</v>
      </c>
      <c r="AV142" s="5">
        <f t="shared" si="41"/>
        <v>30</v>
      </c>
      <c r="AX142" s="38">
        <f t="shared" si="36"/>
        <v>0</v>
      </c>
      <c r="BA142" s="3">
        <v>0</v>
      </c>
      <c r="BB142" s="3">
        <v>0</v>
      </c>
      <c r="BC142" s="3">
        <v>2</v>
      </c>
      <c r="BD142" s="3">
        <f t="shared" si="42"/>
        <v>2</v>
      </c>
      <c r="BE142" s="3">
        <v>309</v>
      </c>
      <c r="BF142" s="3">
        <v>6</v>
      </c>
      <c r="BH142" s="3">
        <f t="shared" si="43"/>
        <v>4</v>
      </c>
      <c r="BJ142" s="38">
        <f t="shared" si="37"/>
        <v>0</v>
      </c>
      <c r="BL142" s="3">
        <f t="shared" si="38"/>
        <v>90100</v>
      </c>
    </row>
    <row r="143" spans="1:64" x14ac:dyDescent="0.35">
      <c r="A143" s="1" t="s">
        <v>462</v>
      </c>
      <c r="B143" s="1" t="str">
        <f t="shared" si="34"/>
        <v>Mainstream</v>
      </c>
      <c r="C143" s="1" t="s">
        <v>46</v>
      </c>
      <c r="D143" s="1" t="s">
        <v>210</v>
      </c>
      <c r="E143" s="1" t="s">
        <v>220</v>
      </c>
      <c r="F143" s="1" t="s">
        <v>221</v>
      </c>
      <c r="G143" s="1" t="s">
        <v>222</v>
      </c>
      <c r="H143" s="1" t="s">
        <v>212</v>
      </c>
      <c r="I143" s="1" t="s">
        <v>68</v>
      </c>
      <c r="J143" s="1" t="s">
        <v>213</v>
      </c>
      <c r="K143" s="1" t="s">
        <v>92</v>
      </c>
      <c r="L143" s="1" t="s">
        <v>70</v>
      </c>
      <c r="M143" s="1" t="s">
        <v>56</v>
      </c>
      <c r="N143" s="1" t="s">
        <v>57</v>
      </c>
      <c r="O143" s="1" t="s">
        <v>87</v>
      </c>
      <c r="P143" s="1" t="s">
        <v>223</v>
      </c>
      <c r="Q143" s="1" t="s">
        <v>72</v>
      </c>
      <c r="R143" s="1" t="s">
        <v>61</v>
      </c>
      <c r="S143" s="1">
        <v>725</v>
      </c>
      <c r="T143" s="2">
        <f t="shared" ref="T143:T173" si="44">U143*0.98*0.965</f>
        <v>48529.327725346688</v>
      </c>
      <c r="U143" s="13">
        <v>51315.774268104775</v>
      </c>
      <c r="V143" s="13">
        <v>0</v>
      </c>
      <c r="W143" s="13"/>
      <c r="X143" s="13"/>
      <c r="Y143" s="2">
        <f>(U143*0.89-S143-V143-W143-X143)*1.18/0.92</f>
        <v>57648.180583003937</v>
      </c>
      <c r="Z143" s="2">
        <v>56989.999999999993</v>
      </c>
      <c r="AA143" s="5"/>
      <c r="AB143" s="5"/>
      <c r="AC143" s="14">
        <v>0</v>
      </c>
      <c r="AD143" s="5">
        <f t="shared" si="39"/>
        <v>44946.039098613241</v>
      </c>
      <c r="AE143" s="5"/>
      <c r="AF143" s="5">
        <f t="shared" si="40"/>
        <v>0</v>
      </c>
      <c r="AG143" s="5"/>
      <c r="AH143" s="13">
        <v>0</v>
      </c>
      <c r="AI143" s="13"/>
      <c r="AJ143" s="5"/>
      <c r="AL143" s="5"/>
      <c r="AM143" s="5">
        <v>56989.999999999993</v>
      </c>
      <c r="AN143" s="5">
        <f t="shared" si="35"/>
        <v>658.18058300394478</v>
      </c>
      <c r="AO143" s="5"/>
      <c r="AP143" s="5"/>
      <c r="AQ143" s="20">
        <v>0</v>
      </c>
      <c r="AR143" s="20"/>
      <c r="AT143" s="3">
        <v>0</v>
      </c>
      <c r="AV143" s="5">
        <f t="shared" si="41"/>
        <v>0</v>
      </c>
      <c r="AX143" s="38">
        <f t="shared" si="36"/>
        <v>0</v>
      </c>
      <c r="BA143" s="3">
        <v>0</v>
      </c>
      <c r="BB143" s="3">
        <v>0</v>
      </c>
      <c r="BC143" s="3">
        <v>0</v>
      </c>
      <c r="BD143" s="3">
        <f t="shared" si="42"/>
        <v>0</v>
      </c>
      <c r="BE143" s="3">
        <v>1</v>
      </c>
      <c r="BF143" s="3">
        <v>0</v>
      </c>
      <c r="BH143" s="3">
        <f t="shared" si="43"/>
        <v>0</v>
      </c>
      <c r="BJ143" s="38">
        <f t="shared" si="37"/>
        <v>0</v>
      </c>
      <c r="BL143" s="3">
        <f t="shared" si="38"/>
        <v>60552.613636363632</v>
      </c>
    </row>
    <row r="144" spans="1:64" x14ac:dyDescent="0.35">
      <c r="A144" s="1" t="s">
        <v>463</v>
      </c>
      <c r="B144" s="1" t="str">
        <f t="shared" si="34"/>
        <v>Mainstream</v>
      </c>
      <c r="C144" s="1" t="s">
        <v>46</v>
      </c>
      <c r="D144" s="1" t="s">
        <v>210</v>
      </c>
      <c r="E144" s="1" t="s">
        <v>220</v>
      </c>
      <c r="F144" s="1" t="s">
        <v>221</v>
      </c>
      <c r="G144" s="1" t="s">
        <v>222</v>
      </c>
      <c r="H144" s="1" t="s">
        <v>212</v>
      </c>
      <c r="I144" s="1" t="s">
        <v>68</v>
      </c>
      <c r="J144" s="1" t="s">
        <v>213</v>
      </c>
      <c r="K144" s="1" t="s">
        <v>92</v>
      </c>
      <c r="L144" s="1" t="s">
        <v>70</v>
      </c>
      <c r="M144" s="1" t="s">
        <v>56</v>
      </c>
      <c r="N144" s="1" t="s">
        <v>57</v>
      </c>
      <c r="O144" s="1" t="s">
        <v>87</v>
      </c>
      <c r="P144" s="1" t="s">
        <v>223</v>
      </c>
      <c r="Q144" s="1" t="s">
        <v>72</v>
      </c>
      <c r="R144" s="1" t="s">
        <v>61</v>
      </c>
      <c r="S144" s="1">
        <v>725</v>
      </c>
      <c r="T144" s="2">
        <f t="shared" si="44"/>
        <v>48529.327725346695</v>
      </c>
      <c r="U144" s="13">
        <v>51315.774268104782</v>
      </c>
      <c r="V144" s="13">
        <v>0</v>
      </c>
      <c r="W144" s="13"/>
      <c r="X144" s="13"/>
      <c r="Y144" s="2">
        <f>(U144*0.89-S144-V144-W144-X144)*1.18/0.92</f>
        <v>57648.180583003952</v>
      </c>
      <c r="Z144" s="2">
        <v>56990</v>
      </c>
      <c r="AA144" s="5"/>
      <c r="AB144" s="5"/>
      <c r="AC144" s="14">
        <v>0</v>
      </c>
      <c r="AD144" s="5">
        <f t="shared" si="39"/>
        <v>44946.039098613255</v>
      </c>
      <c r="AE144" s="5"/>
      <c r="AF144" s="5">
        <f t="shared" si="40"/>
        <v>0</v>
      </c>
      <c r="AG144" s="5"/>
      <c r="AH144" s="13">
        <v>0</v>
      </c>
      <c r="AI144" s="13"/>
      <c r="AJ144" s="5"/>
      <c r="AL144" s="5"/>
      <c r="AM144" s="5">
        <v>56990</v>
      </c>
      <c r="AN144" s="5">
        <f t="shared" si="35"/>
        <v>658.18058300395205</v>
      </c>
      <c r="AO144" s="5"/>
      <c r="AP144" s="5"/>
      <c r="AQ144" s="20">
        <v>0</v>
      </c>
      <c r="AR144" s="20"/>
      <c r="AT144" s="3">
        <v>0</v>
      </c>
      <c r="AV144" s="5">
        <f t="shared" si="41"/>
        <v>0</v>
      </c>
      <c r="AX144" s="38">
        <f t="shared" si="36"/>
        <v>0</v>
      </c>
      <c r="BA144" s="3">
        <v>0</v>
      </c>
      <c r="BB144" s="3">
        <v>0</v>
      </c>
      <c r="BC144" s="3">
        <v>0</v>
      </c>
      <c r="BD144" s="3">
        <f t="shared" si="42"/>
        <v>0</v>
      </c>
      <c r="BE144" s="3">
        <v>0</v>
      </c>
      <c r="BF144" s="3">
        <v>0</v>
      </c>
      <c r="BH144" s="3">
        <f t="shared" si="43"/>
        <v>0</v>
      </c>
      <c r="BJ144" s="38">
        <f t="shared" si="37"/>
        <v>0</v>
      </c>
      <c r="BL144" s="3">
        <f t="shared" si="38"/>
        <v>60552.61363636364</v>
      </c>
    </row>
    <row r="145" spans="1:64" x14ac:dyDescent="0.35">
      <c r="A145" s="1" t="s">
        <v>464</v>
      </c>
      <c r="B145" s="1" t="str">
        <f t="shared" si="34"/>
        <v>Mainstream</v>
      </c>
      <c r="C145" s="1" t="s">
        <v>46</v>
      </c>
      <c r="D145" s="1" t="s">
        <v>121</v>
      </c>
      <c r="E145" s="1" t="s">
        <v>220</v>
      </c>
      <c r="F145" s="1" t="s">
        <v>221</v>
      </c>
      <c r="G145" s="1" t="s">
        <v>465</v>
      </c>
      <c r="H145" s="1" t="s">
        <v>123</v>
      </c>
      <c r="I145" s="1" t="s">
        <v>117</v>
      </c>
      <c r="J145" s="1" t="s">
        <v>160</v>
      </c>
      <c r="K145" s="1" t="s">
        <v>92</v>
      </c>
      <c r="L145" s="1" t="s">
        <v>70</v>
      </c>
      <c r="M145" s="1" t="s">
        <v>56</v>
      </c>
      <c r="N145" s="1" t="s">
        <v>57</v>
      </c>
      <c r="O145" s="1" t="s">
        <v>87</v>
      </c>
      <c r="P145" s="1" t="s">
        <v>466</v>
      </c>
      <c r="Q145" s="1" t="s">
        <v>72</v>
      </c>
      <c r="R145" s="1" t="s">
        <v>61</v>
      </c>
      <c r="S145" s="1">
        <v>725</v>
      </c>
      <c r="T145" s="2">
        <f t="shared" si="44"/>
        <v>50482.748305084744</v>
      </c>
      <c r="U145" s="13">
        <v>53381.355932203391</v>
      </c>
      <c r="V145" s="13">
        <v>0</v>
      </c>
      <c r="W145" s="13"/>
      <c r="X145" s="13"/>
      <c r="Y145" s="2">
        <f>(U145*0.89-S145-V145-W145-X145)*1.18/0.92</f>
        <v>60006.086956521736</v>
      </c>
      <c r="Z145" s="2">
        <v>59321.413043478256</v>
      </c>
      <c r="AA145" s="5"/>
      <c r="AB145" s="5"/>
      <c r="AC145" s="14">
        <v>0</v>
      </c>
      <c r="AD145" s="5">
        <f t="shared" si="39"/>
        <v>46784.406779661018</v>
      </c>
      <c r="AE145" s="5"/>
      <c r="AF145" s="5">
        <f t="shared" si="40"/>
        <v>0</v>
      </c>
      <c r="AG145" s="5"/>
      <c r="AH145" s="13">
        <v>0</v>
      </c>
      <c r="AI145" s="13"/>
      <c r="AJ145" s="5"/>
      <c r="AL145" s="5"/>
      <c r="AM145" s="5">
        <v>59321.413043478256</v>
      </c>
      <c r="AN145" s="5">
        <f t="shared" si="35"/>
        <v>684.67391304347984</v>
      </c>
      <c r="AO145" s="5"/>
      <c r="AP145" s="5"/>
      <c r="AQ145" s="20">
        <v>0</v>
      </c>
      <c r="AR145" s="20"/>
      <c r="AT145" s="3">
        <v>1</v>
      </c>
      <c r="AV145" s="5">
        <f t="shared" si="41"/>
        <v>10</v>
      </c>
      <c r="AX145" s="38">
        <f t="shared" si="36"/>
        <v>0</v>
      </c>
      <c r="BA145" s="3">
        <v>-1</v>
      </c>
      <c r="BB145" s="3">
        <v>0</v>
      </c>
      <c r="BC145" s="3">
        <v>0</v>
      </c>
      <c r="BD145" s="3">
        <f t="shared" si="42"/>
        <v>-1</v>
      </c>
      <c r="BE145" s="3">
        <v>1</v>
      </c>
      <c r="BF145" s="3">
        <v>0</v>
      </c>
      <c r="BH145" s="3">
        <f t="shared" si="43"/>
        <v>-2</v>
      </c>
      <c r="BJ145" s="38">
        <f t="shared" si="37"/>
        <v>0</v>
      </c>
      <c r="BL145" s="3">
        <f t="shared" si="38"/>
        <v>62990</v>
      </c>
    </row>
    <row r="146" spans="1:64" x14ac:dyDescent="0.35">
      <c r="A146" s="1" t="s">
        <v>467</v>
      </c>
      <c r="B146" s="1" t="str">
        <f t="shared" si="34"/>
        <v>Premium</v>
      </c>
      <c r="C146" s="1" t="s">
        <v>46</v>
      </c>
      <c r="D146" s="1" t="s">
        <v>121</v>
      </c>
      <c r="E146" s="1" t="s">
        <v>220</v>
      </c>
      <c r="F146" s="1" t="s">
        <v>221</v>
      </c>
      <c r="G146" s="1" t="s">
        <v>468</v>
      </c>
      <c r="H146" s="1" t="s">
        <v>123</v>
      </c>
      <c r="I146" s="1" t="s">
        <v>117</v>
      </c>
      <c r="J146" s="1" t="s">
        <v>160</v>
      </c>
      <c r="K146" s="1" t="s">
        <v>54</v>
      </c>
      <c r="L146" s="1" t="s">
        <v>70</v>
      </c>
      <c r="M146" s="1" t="s">
        <v>56</v>
      </c>
      <c r="N146" s="1" t="s">
        <v>57</v>
      </c>
      <c r="O146" s="1" t="s">
        <v>87</v>
      </c>
      <c r="P146" s="1" t="s">
        <v>223</v>
      </c>
      <c r="Q146" s="1" t="s">
        <v>72</v>
      </c>
      <c r="R146" s="1" t="s">
        <v>61</v>
      </c>
      <c r="S146" s="1">
        <v>725</v>
      </c>
      <c r="T146" s="2">
        <f t="shared" si="44"/>
        <v>55050.799881355932</v>
      </c>
      <c r="U146" s="13">
        <v>58211.694915254244</v>
      </c>
      <c r="V146" s="13">
        <v>610.78305084745807</v>
      </c>
      <c r="W146" s="13"/>
      <c r="X146" s="13"/>
      <c r="Y146" s="2">
        <f t="shared" ref="Y146:Y165" si="45">(U146*0.88-S146-V146-W146-X146)*1.18/0.92</f>
        <v>63990.000000000007</v>
      </c>
      <c r="Z146" s="2">
        <v>63990.000000000007</v>
      </c>
      <c r="AA146" s="5"/>
      <c r="AB146" s="5"/>
      <c r="AC146" s="14">
        <v>0</v>
      </c>
      <c r="AD146" s="5">
        <f t="shared" si="39"/>
        <v>49890.50847457628</v>
      </c>
      <c r="AE146" s="5"/>
      <c r="AF146" s="5">
        <f t="shared" si="40"/>
        <v>0</v>
      </c>
      <c r="AG146" s="5"/>
      <c r="AH146" s="13">
        <v>610.78305084745807</v>
      </c>
      <c r="AI146" s="13"/>
      <c r="AJ146" s="5"/>
      <c r="AL146" s="5"/>
      <c r="AM146" s="5">
        <v>63990.000000000007</v>
      </c>
      <c r="AN146" s="5">
        <f t="shared" si="35"/>
        <v>0</v>
      </c>
      <c r="AO146" s="5"/>
      <c r="AP146" s="5"/>
      <c r="AQ146" s="20">
        <v>610.78305084745807</v>
      </c>
      <c r="AR146" s="20"/>
      <c r="AT146" s="3">
        <v>0</v>
      </c>
      <c r="AV146" s="5">
        <f t="shared" si="41"/>
        <v>0</v>
      </c>
      <c r="AX146" s="38">
        <f t="shared" si="36"/>
        <v>0</v>
      </c>
      <c r="BA146" s="3">
        <v>0</v>
      </c>
      <c r="BB146" s="3">
        <v>0</v>
      </c>
      <c r="BC146" s="3">
        <v>0</v>
      </c>
      <c r="BD146" s="3">
        <f t="shared" si="42"/>
        <v>0</v>
      </c>
      <c r="BE146" s="3">
        <v>4</v>
      </c>
      <c r="BF146" s="3">
        <v>0</v>
      </c>
      <c r="BH146" s="3">
        <f t="shared" si="43"/>
        <v>0</v>
      </c>
      <c r="BJ146" s="38">
        <f t="shared" si="37"/>
        <v>0</v>
      </c>
      <c r="BL146" s="3">
        <f t="shared" si="38"/>
        <v>68689.8</v>
      </c>
    </row>
    <row r="147" spans="1:64" x14ac:dyDescent="0.35">
      <c r="A147" s="1" t="s">
        <v>469</v>
      </c>
      <c r="B147" s="1" t="str">
        <f t="shared" si="34"/>
        <v>Premium</v>
      </c>
      <c r="C147" s="1" t="s">
        <v>46</v>
      </c>
      <c r="D147" s="1" t="s">
        <v>121</v>
      </c>
      <c r="E147" s="1" t="s">
        <v>220</v>
      </c>
      <c r="F147" s="1" t="s">
        <v>221</v>
      </c>
      <c r="G147" s="1" t="s">
        <v>468</v>
      </c>
      <c r="H147" s="1" t="s">
        <v>123</v>
      </c>
      <c r="I147" s="1" t="s">
        <v>117</v>
      </c>
      <c r="J147" s="1" t="s">
        <v>160</v>
      </c>
      <c r="K147" s="1" t="s">
        <v>54</v>
      </c>
      <c r="L147" s="1" t="s">
        <v>70</v>
      </c>
      <c r="M147" s="1" t="s">
        <v>56</v>
      </c>
      <c r="N147" s="1" t="s">
        <v>57</v>
      </c>
      <c r="O147" s="1" t="s">
        <v>87</v>
      </c>
      <c r="P147" s="1" t="s">
        <v>223</v>
      </c>
      <c r="Q147" s="1" t="s">
        <v>72</v>
      </c>
      <c r="R147" s="1" t="s">
        <v>61</v>
      </c>
      <c r="S147" s="1">
        <v>725</v>
      </c>
      <c r="T147" s="2">
        <f t="shared" si="44"/>
        <v>58257.011399999988</v>
      </c>
      <c r="U147" s="13">
        <v>61601.999999999993</v>
      </c>
      <c r="V147" s="13">
        <v>3594.2515254237151</v>
      </c>
      <c r="W147" s="13"/>
      <c r="X147" s="13"/>
      <c r="Y147" s="2">
        <f t="shared" si="45"/>
        <v>63990.000000000007</v>
      </c>
      <c r="Z147" s="2">
        <v>64990</v>
      </c>
      <c r="AA147" s="5"/>
      <c r="AB147" s="5"/>
      <c r="AC147" s="14">
        <v>0</v>
      </c>
      <c r="AD147" s="5">
        <f t="shared" si="39"/>
        <v>49890.50847457628</v>
      </c>
      <c r="AE147" s="5"/>
      <c r="AF147" s="5">
        <f t="shared" si="40"/>
        <v>0</v>
      </c>
      <c r="AG147" s="5"/>
      <c r="AH147" s="13">
        <v>3594.2515254237151</v>
      </c>
      <c r="AI147" s="13"/>
      <c r="AJ147" s="5"/>
      <c r="AL147" s="5"/>
      <c r="AM147" s="5">
        <v>63990.000000000007</v>
      </c>
      <c r="AN147" s="5">
        <f t="shared" si="35"/>
        <v>0</v>
      </c>
      <c r="AO147" s="5"/>
      <c r="AP147" s="5"/>
      <c r="AQ147" s="20">
        <v>3594.2515254237151</v>
      </c>
      <c r="AR147" s="20"/>
      <c r="AT147" s="3">
        <v>0</v>
      </c>
      <c r="AV147" s="5">
        <f t="shared" si="41"/>
        <v>0</v>
      </c>
      <c r="AX147" s="38">
        <f t="shared" si="36"/>
        <v>0</v>
      </c>
      <c r="BA147" s="3">
        <v>0</v>
      </c>
      <c r="BB147" s="3">
        <v>0</v>
      </c>
      <c r="BC147" s="3">
        <v>0</v>
      </c>
      <c r="BD147" s="3">
        <f t="shared" si="42"/>
        <v>0</v>
      </c>
      <c r="BE147" s="3">
        <v>4</v>
      </c>
      <c r="BF147" s="3">
        <v>0</v>
      </c>
      <c r="BH147" s="3">
        <f t="shared" si="43"/>
        <v>0</v>
      </c>
      <c r="BJ147" s="38">
        <f t="shared" si="37"/>
        <v>0</v>
      </c>
      <c r="BL147" s="3">
        <f t="shared" si="38"/>
        <v>72690.359999999986</v>
      </c>
    </row>
    <row r="148" spans="1:64" x14ac:dyDescent="0.35">
      <c r="A148" s="1" t="s">
        <v>470</v>
      </c>
      <c r="B148" s="1" t="str">
        <f t="shared" si="34"/>
        <v>Premium</v>
      </c>
      <c r="C148" s="1" t="s">
        <v>46</v>
      </c>
      <c r="D148" s="1" t="s">
        <v>121</v>
      </c>
      <c r="E148" s="1" t="s">
        <v>220</v>
      </c>
      <c r="F148" s="1" t="s">
        <v>221</v>
      </c>
      <c r="G148" s="1" t="s">
        <v>468</v>
      </c>
      <c r="H148" s="1" t="s">
        <v>123</v>
      </c>
      <c r="I148" s="1" t="s">
        <v>117</v>
      </c>
      <c r="J148" s="1" t="s">
        <v>160</v>
      </c>
      <c r="K148" s="1" t="s">
        <v>54</v>
      </c>
      <c r="L148" s="1" t="s">
        <v>70</v>
      </c>
      <c r="M148" s="1" t="s">
        <v>56</v>
      </c>
      <c r="N148" s="1" t="s">
        <v>57</v>
      </c>
      <c r="O148" s="1" t="s">
        <v>87</v>
      </c>
      <c r="P148" s="1" t="s">
        <v>223</v>
      </c>
      <c r="Q148" s="1" t="s">
        <v>72</v>
      </c>
      <c r="R148" s="1" t="s">
        <v>61</v>
      </c>
      <c r="S148" s="1">
        <v>725</v>
      </c>
      <c r="T148" s="2">
        <f t="shared" si="44"/>
        <v>55051.745581355928</v>
      </c>
      <c r="U148" s="13">
        <v>58212.694915254237</v>
      </c>
      <c r="V148" s="13">
        <v>0</v>
      </c>
      <c r="W148" s="13"/>
      <c r="X148" s="13"/>
      <c r="Y148" s="2">
        <f t="shared" si="45"/>
        <v>64774.524347826082</v>
      </c>
      <c r="Z148" s="2">
        <v>64990</v>
      </c>
      <c r="AA148" s="5"/>
      <c r="AB148" s="5"/>
      <c r="AC148" s="14">
        <v>0</v>
      </c>
      <c r="AD148" s="5">
        <f t="shared" si="39"/>
        <v>50502.171525423735</v>
      </c>
      <c r="AE148" s="5"/>
      <c r="AF148" s="5">
        <f t="shared" si="40"/>
        <v>0</v>
      </c>
      <c r="AG148" s="5"/>
      <c r="AH148" s="13">
        <v>0</v>
      </c>
      <c r="AI148" s="13"/>
      <c r="AJ148" s="5"/>
      <c r="AL148" s="5"/>
      <c r="AM148" s="5">
        <v>64774.524347826082</v>
      </c>
      <c r="AN148" s="5">
        <f t="shared" si="35"/>
        <v>0</v>
      </c>
      <c r="AO148" s="5"/>
      <c r="AP148" s="5"/>
      <c r="AQ148" s="20">
        <v>0</v>
      </c>
      <c r="AR148" s="20"/>
      <c r="AT148" s="3">
        <v>0</v>
      </c>
      <c r="AV148" s="5">
        <f t="shared" si="41"/>
        <v>0</v>
      </c>
      <c r="AX148" s="38">
        <f t="shared" si="36"/>
        <v>0</v>
      </c>
      <c r="BA148" s="3">
        <v>0</v>
      </c>
      <c r="BB148" s="3">
        <v>0</v>
      </c>
      <c r="BC148" s="3">
        <v>-1</v>
      </c>
      <c r="BD148" s="3">
        <f t="shared" si="42"/>
        <v>-1</v>
      </c>
      <c r="BE148" s="3">
        <v>1</v>
      </c>
      <c r="BF148" s="3">
        <v>0</v>
      </c>
      <c r="BH148" s="3">
        <f t="shared" si="43"/>
        <v>-2</v>
      </c>
      <c r="BJ148" s="38">
        <f t="shared" si="37"/>
        <v>0</v>
      </c>
      <c r="BL148" s="3">
        <f t="shared" si="38"/>
        <v>68690.98</v>
      </c>
    </row>
    <row r="149" spans="1:64" x14ac:dyDescent="0.35">
      <c r="A149" s="1" t="s">
        <v>471</v>
      </c>
      <c r="B149" s="1" t="str">
        <f t="shared" si="34"/>
        <v>Premium</v>
      </c>
      <c r="C149" s="1" t="s">
        <v>46</v>
      </c>
      <c r="D149" s="1" t="s">
        <v>114</v>
      </c>
      <c r="E149" s="1" t="s">
        <v>220</v>
      </c>
      <c r="F149" s="1" t="s">
        <v>221</v>
      </c>
      <c r="G149" s="1" t="s">
        <v>468</v>
      </c>
      <c r="H149" s="1" t="s">
        <v>51</v>
      </c>
      <c r="I149" s="1" t="s">
        <v>117</v>
      </c>
      <c r="J149" s="1" t="s">
        <v>118</v>
      </c>
      <c r="K149" s="1" t="s">
        <v>54</v>
      </c>
      <c r="L149" s="1" t="s">
        <v>70</v>
      </c>
      <c r="M149" s="1" t="s">
        <v>56</v>
      </c>
      <c r="N149" s="1" t="s">
        <v>57</v>
      </c>
      <c r="O149" s="1" t="s">
        <v>87</v>
      </c>
      <c r="P149" s="1" t="s">
        <v>223</v>
      </c>
      <c r="Q149" s="1" t="s">
        <v>72</v>
      </c>
      <c r="R149" s="1" t="s">
        <v>61</v>
      </c>
      <c r="S149" s="1">
        <v>725</v>
      </c>
      <c r="T149" s="2">
        <f t="shared" si="44"/>
        <v>63065.366949152543</v>
      </c>
      <c r="U149" s="13">
        <v>66686.440677966108</v>
      </c>
      <c r="V149" s="13">
        <v>1051.6101694915196</v>
      </c>
      <c r="W149" s="13"/>
      <c r="X149" s="13"/>
      <c r="Y149" s="2">
        <f t="shared" si="45"/>
        <v>72990</v>
      </c>
      <c r="Z149" s="2">
        <v>72990</v>
      </c>
      <c r="AA149" s="5"/>
      <c r="AB149" s="5"/>
      <c r="AC149" s="14">
        <v>0</v>
      </c>
      <c r="AD149" s="5">
        <f t="shared" si="39"/>
        <v>56907.457627118652</v>
      </c>
      <c r="AE149" s="5"/>
      <c r="AF149" s="5">
        <f t="shared" si="40"/>
        <v>0</v>
      </c>
      <c r="AG149" s="5"/>
      <c r="AH149" s="13">
        <v>1051.6101694915196</v>
      </c>
      <c r="AI149" s="13"/>
      <c r="AJ149" s="5"/>
      <c r="AL149" s="5"/>
      <c r="AM149" s="5">
        <v>72990</v>
      </c>
      <c r="AN149" s="5">
        <f t="shared" si="35"/>
        <v>0</v>
      </c>
      <c r="AO149" s="5"/>
      <c r="AP149" s="5"/>
      <c r="AQ149" s="20">
        <v>1051.6101694915196</v>
      </c>
      <c r="AR149" s="20"/>
      <c r="AT149" s="3">
        <v>0</v>
      </c>
      <c r="AV149" s="5">
        <f t="shared" si="41"/>
        <v>0</v>
      </c>
      <c r="AX149" s="38">
        <f t="shared" si="36"/>
        <v>0</v>
      </c>
      <c r="BA149" s="3">
        <v>0</v>
      </c>
      <c r="BB149" s="3">
        <v>0</v>
      </c>
      <c r="BC149" s="3">
        <v>0</v>
      </c>
      <c r="BD149" s="3">
        <f t="shared" si="42"/>
        <v>0</v>
      </c>
      <c r="BE149" s="3">
        <v>1</v>
      </c>
      <c r="BF149" s="3">
        <v>2</v>
      </c>
      <c r="BH149" s="3">
        <f t="shared" si="43"/>
        <v>0</v>
      </c>
      <c r="BJ149" s="38">
        <f t="shared" si="37"/>
        <v>0</v>
      </c>
      <c r="BL149" s="3">
        <f t="shared" si="38"/>
        <v>78690</v>
      </c>
    </row>
    <row r="150" spans="1:64" x14ac:dyDescent="0.35">
      <c r="A150" s="1" t="s">
        <v>472</v>
      </c>
      <c r="B150" s="1" t="str">
        <f t="shared" si="34"/>
        <v>Premium</v>
      </c>
      <c r="C150" s="1" t="s">
        <v>46</v>
      </c>
      <c r="D150" s="1" t="s">
        <v>114</v>
      </c>
      <c r="E150" s="1" t="s">
        <v>220</v>
      </c>
      <c r="F150" s="1" t="s">
        <v>473</v>
      </c>
      <c r="G150" s="1" t="s">
        <v>474</v>
      </c>
      <c r="H150" s="1" t="s">
        <v>51</v>
      </c>
      <c r="I150" s="1" t="s">
        <v>117</v>
      </c>
      <c r="J150" s="1" t="s">
        <v>118</v>
      </c>
      <c r="K150" s="1" t="s">
        <v>54</v>
      </c>
      <c r="L150" s="1" t="s">
        <v>70</v>
      </c>
      <c r="M150" s="1" t="s">
        <v>56</v>
      </c>
      <c r="N150" s="1" t="s">
        <v>57</v>
      </c>
      <c r="O150" s="1" t="s">
        <v>87</v>
      </c>
      <c r="P150" s="1" t="s">
        <v>475</v>
      </c>
      <c r="Q150" s="1" t="s">
        <v>476</v>
      </c>
      <c r="R150" s="1" t="s">
        <v>61</v>
      </c>
      <c r="S150" s="1">
        <v>1881</v>
      </c>
      <c r="T150" s="2">
        <f t="shared" si="44"/>
        <v>71320.205932203389</v>
      </c>
      <c r="U150" s="13">
        <v>75415.254237288143</v>
      </c>
      <c r="V150" s="13">
        <v>0</v>
      </c>
      <c r="W150" s="13"/>
      <c r="X150" s="13"/>
      <c r="Y150" s="2">
        <f t="shared" si="45"/>
        <v>82708.282608695648</v>
      </c>
      <c r="Z150" s="2">
        <v>82708.282608695648</v>
      </c>
      <c r="AA150" s="5"/>
      <c r="AB150" s="5"/>
      <c r="AC150" s="14">
        <v>0</v>
      </c>
      <c r="AD150" s="5">
        <f t="shared" si="39"/>
        <v>64484.423728813563</v>
      </c>
      <c r="AE150" s="5"/>
      <c r="AF150" s="5">
        <f t="shared" si="40"/>
        <v>0</v>
      </c>
      <c r="AG150" s="5"/>
      <c r="AH150" s="13">
        <v>0</v>
      </c>
      <c r="AI150" s="13"/>
      <c r="AJ150" s="5"/>
      <c r="AL150" s="5"/>
      <c r="AM150" s="5">
        <v>82708.282608695648</v>
      </c>
      <c r="AN150" s="5">
        <f t="shared" si="35"/>
        <v>0</v>
      </c>
      <c r="AO150" s="5"/>
      <c r="AP150" s="5"/>
      <c r="AQ150" s="20">
        <v>0</v>
      </c>
      <c r="AR150" s="20"/>
      <c r="AT150" s="3">
        <v>0</v>
      </c>
      <c r="AV150" s="5">
        <f t="shared" si="41"/>
        <v>0</v>
      </c>
      <c r="AX150" s="38">
        <f t="shared" si="36"/>
        <v>0</v>
      </c>
      <c r="BA150" s="3">
        <v>7</v>
      </c>
      <c r="BB150" s="3">
        <v>0</v>
      </c>
      <c r="BC150" s="3">
        <v>0</v>
      </c>
      <c r="BD150" s="3">
        <f t="shared" si="42"/>
        <v>7</v>
      </c>
      <c r="BE150" s="3">
        <v>10</v>
      </c>
      <c r="BF150" s="3">
        <v>2</v>
      </c>
      <c r="BH150" s="3">
        <f t="shared" si="43"/>
        <v>13</v>
      </c>
      <c r="BJ150" s="38">
        <f t="shared" si="37"/>
        <v>0</v>
      </c>
      <c r="BL150" s="3">
        <f t="shared" si="38"/>
        <v>88990</v>
      </c>
    </row>
    <row r="151" spans="1:64" x14ac:dyDescent="0.35">
      <c r="A151" s="1" t="s">
        <v>477</v>
      </c>
      <c r="B151" s="1" t="str">
        <f t="shared" si="34"/>
        <v>Premium</v>
      </c>
      <c r="C151" s="1" t="s">
        <v>46</v>
      </c>
      <c r="D151" s="1" t="s">
        <v>114</v>
      </c>
      <c r="E151" s="1" t="s">
        <v>220</v>
      </c>
      <c r="F151" s="1" t="s">
        <v>473</v>
      </c>
      <c r="G151" s="1" t="s">
        <v>474</v>
      </c>
      <c r="H151" s="1" t="s">
        <v>51</v>
      </c>
      <c r="I151" s="1" t="s">
        <v>117</v>
      </c>
      <c r="J151" s="1" t="s">
        <v>118</v>
      </c>
      <c r="K151" s="1" t="s">
        <v>54</v>
      </c>
      <c r="L151" s="1" t="s">
        <v>70</v>
      </c>
      <c r="M151" s="1" t="s">
        <v>56</v>
      </c>
      <c r="N151" s="1" t="s">
        <v>57</v>
      </c>
      <c r="O151" s="1" t="s">
        <v>87</v>
      </c>
      <c r="P151" s="1" t="s">
        <v>475</v>
      </c>
      <c r="Q151" s="1" t="s">
        <v>476</v>
      </c>
      <c r="R151" s="1" t="s">
        <v>61</v>
      </c>
      <c r="S151" s="1">
        <v>1881</v>
      </c>
      <c r="T151" s="2">
        <f t="shared" si="44"/>
        <v>71320.205932203389</v>
      </c>
      <c r="U151" s="13">
        <v>75415.254237288143</v>
      </c>
      <c r="V151" s="13">
        <v>0</v>
      </c>
      <c r="W151" s="13"/>
      <c r="X151" s="13"/>
      <c r="Y151" s="2">
        <f t="shared" si="45"/>
        <v>82708.282608695648</v>
      </c>
      <c r="Z151" s="2">
        <v>82708.282608695648</v>
      </c>
      <c r="AA151" s="5"/>
      <c r="AB151" s="5"/>
      <c r="AC151" s="14">
        <v>0</v>
      </c>
      <c r="AD151" s="5">
        <f t="shared" si="39"/>
        <v>64484.423728813563</v>
      </c>
      <c r="AE151" s="5"/>
      <c r="AF151" s="5">
        <f t="shared" si="40"/>
        <v>0</v>
      </c>
      <c r="AG151" s="5"/>
      <c r="AH151" s="13">
        <v>0</v>
      </c>
      <c r="AI151" s="13"/>
      <c r="AJ151" s="5"/>
      <c r="AL151" s="5"/>
      <c r="AM151" s="5">
        <v>82708.282608695648</v>
      </c>
      <c r="AN151" s="5">
        <f t="shared" si="35"/>
        <v>0</v>
      </c>
      <c r="AO151" s="5"/>
      <c r="AP151" s="5"/>
      <c r="AQ151" s="20">
        <v>0</v>
      </c>
      <c r="AR151" s="20"/>
      <c r="AT151" s="3">
        <v>0</v>
      </c>
      <c r="AV151" s="5">
        <f t="shared" si="41"/>
        <v>0</v>
      </c>
      <c r="AX151" s="38">
        <f t="shared" si="36"/>
        <v>0</v>
      </c>
      <c r="BA151" s="3">
        <v>0</v>
      </c>
      <c r="BB151" s="3">
        <v>0</v>
      </c>
      <c r="BC151" s="3">
        <v>0</v>
      </c>
      <c r="BD151" s="3">
        <f t="shared" si="42"/>
        <v>0</v>
      </c>
      <c r="BE151" s="3">
        <v>0</v>
      </c>
      <c r="BF151" s="3">
        <v>0</v>
      </c>
      <c r="BH151" s="3">
        <f t="shared" si="43"/>
        <v>0</v>
      </c>
      <c r="BJ151" s="38">
        <f t="shared" si="37"/>
        <v>0</v>
      </c>
      <c r="BL151" s="3">
        <f t="shared" si="38"/>
        <v>88990</v>
      </c>
    </row>
    <row r="152" spans="1:64" x14ac:dyDescent="0.35">
      <c r="A152" s="1" t="s">
        <v>478</v>
      </c>
      <c r="B152" s="1" t="str">
        <f t="shared" si="34"/>
        <v>Premium</v>
      </c>
      <c r="C152" s="1" t="s">
        <v>46</v>
      </c>
      <c r="D152" s="1" t="s">
        <v>114</v>
      </c>
      <c r="E152" s="1" t="s">
        <v>220</v>
      </c>
      <c r="F152" s="1" t="s">
        <v>479</v>
      </c>
      <c r="G152" s="1" t="s">
        <v>480</v>
      </c>
      <c r="H152" s="1" t="s">
        <v>51</v>
      </c>
      <c r="I152" s="1" t="s">
        <v>117</v>
      </c>
      <c r="J152" s="1" t="s">
        <v>481</v>
      </c>
      <c r="K152" s="1" t="s">
        <v>54</v>
      </c>
      <c r="L152" s="1" t="s">
        <v>70</v>
      </c>
      <c r="M152" s="1" t="s">
        <v>56</v>
      </c>
      <c r="N152" s="1" t="s">
        <v>57</v>
      </c>
      <c r="O152" s="1" t="s">
        <v>87</v>
      </c>
      <c r="P152" s="1" t="s">
        <v>482</v>
      </c>
      <c r="Q152" s="1" t="s">
        <v>483</v>
      </c>
      <c r="R152" s="1" t="s">
        <v>61</v>
      </c>
      <c r="S152" s="1">
        <v>1881</v>
      </c>
      <c r="T152" s="2">
        <f t="shared" si="44"/>
        <v>79334.612711864407</v>
      </c>
      <c r="U152" s="13">
        <v>83889.830508474581</v>
      </c>
      <c r="V152" s="13">
        <v>0</v>
      </c>
      <c r="W152" s="13"/>
      <c r="X152" s="13"/>
      <c r="Y152" s="2">
        <f t="shared" si="45"/>
        <v>92273.5</v>
      </c>
      <c r="Z152" s="2">
        <v>92273.5</v>
      </c>
      <c r="AA152" s="5"/>
      <c r="AB152" s="5"/>
      <c r="AC152" s="14">
        <v>0</v>
      </c>
      <c r="AD152" s="5">
        <f t="shared" si="39"/>
        <v>71942.050847457635</v>
      </c>
      <c r="AE152" s="5"/>
      <c r="AF152" s="5">
        <f t="shared" si="40"/>
        <v>0</v>
      </c>
      <c r="AG152" s="5"/>
      <c r="AH152" s="13">
        <v>0</v>
      </c>
      <c r="AI152" s="13"/>
      <c r="AJ152" s="5"/>
      <c r="AL152" s="5"/>
      <c r="AM152" s="5">
        <v>92273.5</v>
      </c>
      <c r="AN152" s="5">
        <f t="shared" si="35"/>
        <v>0</v>
      </c>
      <c r="AO152" s="5"/>
      <c r="AP152" s="5"/>
      <c r="AQ152" s="20">
        <v>0</v>
      </c>
      <c r="AR152" s="20"/>
      <c r="AT152" s="3">
        <v>0</v>
      </c>
      <c r="AV152" s="5">
        <f t="shared" si="41"/>
        <v>0</v>
      </c>
      <c r="AX152" s="38">
        <f t="shared" si="36"/>
        <v>0</v>
      </c>
      <c r="BA152" s="3">
        <v>0</v>
      </c>
      <c r="BB152" s="3">
        <v>0</v>
      </c>
      <c r="BC152" s="3">
        <v>0</v>
      </c>
      <c r="BD152" s="3">
        <f t="shared" si="42"/>
        <v>0</v>
      </c>
      <c r="BE152" s="3">
        <v>1</v>
      </c>
      <c r="BF152" s="3">
        <v>0</v>
      </c>
      <c r="BH152" s="3">
        <f t="shared" si="43"/>
        <v>0</v>
      </c>
      <c r="BJ152" s="38">
        <f t="shared" si="37"/>
        <v>0</v>
      </c>
      <c r="BL152" s="3">
        <f t="shared" si="38"/>
        <v>98990</v>
      </c>
    </row>
    <row r="153" spans="1:64" x14ac:dyDescent="0.35">
      <c r="A153" s="1" t="s">
        <v>484</v>
      </c>
      <c r="B153" s="1" t="str">
        <f t="shared" si="34"/>
        <v>Premium</v>
      </c>
      <c r="C153" s="1" t="s">
        <v>46</v>
      </c>
      <c r="D153" s="1" t="s">
        <v>114</v>
      </c>
      <c r="E153" s="1" t="s">
        <v>220</v>
      </c>
      <c r="F153" s="1" t="s">
        <v>479</v>
      </c>
      <c r="G153" s="1" t="s">
        <v>480</v>
      </c>
      <c r="H153" s="1" t="s">
        <v>51</v>
      </c>
      <c r="I153" s="1" t="s">
        <v>117</v>
      </c>
      <c r="J153" s="1" t="s">
        <v>485</v>
      </c>
      <c r="K153" s="1" t="s">
        <v>54</v>
      </c>
      <c r="L153" s="1" t="s">
        <v>70</v>
      </c>
      <c r="M153" s="1" t="s">
        <v>228</v>
      </c>
      <c r="N153" s="1" t="s">
        <v>229</v>
      </c>
      <c r="O153" s="1" t="s">
        <v>486</v>
      </c>
      <c r="P153" s="1" t="s">
        <v>487</v>
      </c>
      <c r="Q153" s="1" t="s">
        <v>483</v>
      </c>
      <c r="R153" s="1" t="s">
        <v>61</v>
      </c>
      <c r="S153" s="1">
        <v>1881</v>
      </c>
      <c r="T153" s="2">
        <f t="shared" si="44"/>
        <v>79334.612711864407</v>
      </c>
      <c r="U153" s="13">
        <v>83889.830508474581</v>
      </c>
      <c r="V153" s="13">
        <v>1780.355932203398</v>
      </c>
      <c r="W153" s="13"/>
      <c r="X153" s="13"/>
      <c r="Y153" s="2">
        <f t="shared" si="45"/>
        <v>89989.999999999985</v>
      </c>
      <c r="Z153" s="2">
        <v>89989.999999999985</v>
      </c>
      <c r="AA153" s="5"/>
      <c r="AB153" s="5"/>
      <c r="AC153" s="14">
        <v>0</v>
      </c>
      <c r="AD153" s="5">
        <f t="shared" si="39"/>
        <v>70161.694915254222</v>
      </c>
      <c r="AE153" s="5"/>
      <c r="AF153" s="5">
        <f t="shared" si="40"/>
        <v>0</v>
      </c>
      <c r="AG153" s="5"/>
      <c r="AH153" s="13">
        <v>1780.355932203398</v>
      </c>
      <c r="AI153" s="13">
        <v>5457.6271186440372</v>
      </c>
      <c r="AJ153" s="5"/>
      <c r="AL153" s="5"/>
      <c r="AM153" s="5">
        <v>82990.000000000029</v>
      </c>
      <c r="AN153" s="5">
        <f t="shared" si="35"/>
        <v>6999.9999999999563</v>
      </c>
      <c r="AO153" s="5"/>
      <c r="AP153" s="5"/>
      <c r="AQ153" s="20">
        <v>1780.355932203398</v>
      </c>
      <c r="AR153" s="20">
        <v>5457.6271186440372</v>
      </c>
      <c r="AT153" s="3">
        <v>0</v>
      </c>
      <c r="AV153" s="5">
        <f t="shared" si="41"/>
        <v>0</v>
      </c>
      <c r="AX153" s="38">
        <f t="shared" si="36"/>
        <v>0</v>
      </c>
      <c r="BA153" s="3">
        <v>0</v>
      </c>
      <c r="BB153" s="3">
        <v>0</v>
      </c>
      <c r="BC153" s="3">
        <v>0</v>
      </c>
      <c r="BD153" s="3">
        <f t="shared" si="42"/>
        <v>0</v>
      </c>
      <c r="BE153" s="3">
        <v>22</v>
      </c>
      <c r="BF153" s="3">
        <v>0</v>
      </c>
      <c r="BH153" s="3">
        <f t="shared" si="43"/>
        <v>0</v>
      </c>
      <c r="BJ153" s="38">
        <f t="shared" si="37"/>
        <v>0</v>
      </c>
      <c r="BL153" s="3">
        <f t="shared" si="38"/>
        <v>98990</v>
      </c>
    </row>
    <row r="154" spans="1:64" x14ac:dyDescent="0.35">
      <c r="A154" s="1" t="s">
        <v>488</v>
      </c>
      <c r="B154" s="1" t="str">
        <f t="shared" si="34"/>
        <v>Premium</v>
      </c>
      <c r="C154" s="1" t="s">
        <v>46</v>
      </c>
      <c r="D154" s="1" t="s">
        <v>460</v>
      </c>
      <c r="E154" s="1" t="s">
        <v>220</v>
      </c>
      <c r="F154" s="1" t="s">
        <v>479</v>
      </c>
      <c r="G154" s="1" t="s">
        <v>489</v>
      </c>
      <c r="H154" s="1" t="s">
        <v>67</v>
      </c>
      <c r="I154" s="1" t="s">
        <v>68</v>
      </c>
      <c r="J154" s="1" t="s">
        <v>490</v>
      </c>
      <c r="K154" s="1" t="s">
        <v>54</v>
      </c>
      <c r="L154" s="1" t="s">
        <v>70</v>
      </c>
      <c r="M154" s="1" t="s">
        <v>56</v>
      </c>
      <c r="N154" s="1" t="s">
        <v>57</v>
      </c>
      <c r="O154" s="1" t="s">
        <v>87</v>
      </c>
      <c r="P154" s="1" t="s">
        <v>491</v>
      </c>
      <c r="Q154" s="1" t="s">
        <v>476</v>
      </c>
      <c r="R154" s="1" t="s">
        <v>61</v>
      </c>
      <c r="S154" s="1">
        <v>1881</v>
      </c>
      <c r="T154" s="2">
        <f t="shared" si="44"/>
        <v>89989.384019645571</v>
      </c>
      <c r="U154" s="13">
        <v>95156.375192603969</v>
      </c>
      <c r="V154" s="13">
        <v>0</v>
      </c>
      <c r="W154" s="13"/>
      <c r="X154" s="13"/>
      <c r="Y154" s="2">
        <f t="shared" si="45"/>
        <v>104989.99999999996</v>
      </c>
      <c r="Z154" s="2">
        <v>104989.99999999996</v>
      </c>
      <c r="AA154" s="5"/>
      <c r="AB154" s="5"/>
      <c r="AC154" s="14">
        <v>0</v>
      </c>
      <c r="AD154" s="5">
        <f t="shared" si="39"/>
        <v>81856.610169491498</v>
      </c>
      <c r="AE154" s="5"/>
      <c r="AF154" s="5">
        <f t="shared" si="40"/>
        <v>0</v>
      </c>
      <c r="AG154" s="5"/>
      <c r="AH154" s="13">
        <v>0</v>
      </c>
      <c r="AI154" s="13"/>
      <c r="AJ154" s="5"/>
      <c r="AL154" s="5"/>
      <c r="AM154" s="5">
        <v>104989.99999999996</v>
      </c>
      <c r="AN154" s="5">
        <f t="shared" si="35"/>
        <v>0</v>
      </c>
      <c r="AO154" s="5"/>
      <c r="AP154" s="5"/>
      <c r="AQ154" s="20">
        <v>0</v>
      </c>
      <c r="AR154" s="20"/>
      <c r="AT154" s="3">
        <v>0</v>
      </c>
      <c r="AV154" s="5">
        <f t="shared" si="41"/>
        <v>0</v>
      </c>
      <c r="AX154" s="38">
        <f t="shared" si="36"/>
        <v>0</v>
      </c>
      <c r="BA154" s="3">
        <v>4</v>
      </c>
      <c r="BB154" s="3">
        <v>0</v>
      </c>
      <c r="BC154" s="3">
        <v>0</v>
      </c>
      <c r="BD154" s="3">
        <f t="shared" si="42"/>
        <v>4</v>
      </c>
      <c r="BE154" s="3">
        <v>0</v>
      </c>
      <c r="BF154" s="3">
        <v>0</v>
      </c>
      <c r="BH154" s="3">
        <f t="shared" si="43"/>
        <v>8</v>
      </c>
      <c r="BJ154" s="38">
        <f t="shared" si="37"/>
        <v>0</v>
      </c>
      <c r="BL154" s="3">
        <f t="shared" si="38"/>
        <v>112284.52272727268</v>
      </c>
    </row>
    <row r="155" spans="1:64" x14ac:dyDescent="0.35">
      <c r="A155" s="1" t="s">
        <v>492</v>
      </c>
      <c r="B155" s="1" t="str">
        <f t="shared" si="34"/>
        <v>Premium</v>
      </c>
      <c r="C155" s="1" t="s">
        <v>46</v>
      </c>
      <c r="D155" s="1" t="s">
        <v>460</v>
      </c>
      <c r="E155" s="1" t="s">
        <v>220</v>
      </c>
      <c r="F155" s="1" t="s">
        <v>479</v>
      </c>
      <c r="G155" s="1" t="s">
        <v>489</v>
      </c>
      <c r="H155" s="1" t="s">
        <v>67</v>
      </c>
      <c r="I155" s="1" t="s">
        <v>68</v>
      </c>
      <c r="J155" s="1" t="s">
        <v>490</v>
      </c>
      <c r="K155" s="1" t="s">
        <v>54</v>
      </c>
      <c r="L155" s="1" t="s">
        <v>70</v>
      </c>
      <c r="M155" s="1" t="s">
        <v>56</v>
      </c>
      <c r="N155" s="1" t="s">
        <v>57</v>
      </c>
      <c r="O155" s="1" t="s">
        <v>87</v>
      </c>
      <c r="P155" s="1" t="s">
        <v>491</v>
      </c>
      <c r="Q155" s="1" t="s">
        <v>476</v>
      </c>
      <c r="R155" s="1" t="s">
        <v>61</v>
      </c>
      <c r="S155" s="1">
        <v>1881</v>
      </c>
      <c r="T155" s="2">
        <f t="shared" si="44"/>
        <v>97767.748305084751</v>
      </c>
      <c r="U155" s="13">
        <v>103381.3559322034</v>
      </c>
      <c r="V155" s="13">
        <v>0</v>
      </c>
      <c r="W155" s="13"/>
      <c r="X155" s="13"/>
      <c r="Y155" s="2">
        <f t="shared" si="45"/>
        <v>114273.5</v>
      </c>
      <c r="Z155" s="2">
        <v>114273.5</v>
      </c>
      <c r="AA155" s="5"/>
      <c r="AB155" s="5"/>
      <c r="AC155" s="14">
        <v>0</v>
      </c>
      <c r="AD155" s="5">
        <f t="shared" si="39"/>
        <v>89094.593220338997</v>
      </c>
      <c r="AE155" s="5"/>
      <c r="AF155" s="5">
        <f t="shared" si="40"/>
        <v>0</v>
      </c>
      <c r="AG155" s="5"/>
      <c r="AH155" s="13">
        <v>0</v>
      </c>
      <c r="AI155" s="13"/>
      <c r="AJ155" s="5"/>
      <c r="AL155" s="5"/>
      <c r="AM155" s="5">
        <v>114273.5</v>
      </c>
      <c r="AN155" s="5">
        <f t="shared" si="35"/>
        <v>0</v>
      </c>
      <c r="AO155" s="5"/>
      <c r="AP155" s="5"/>
      <c r="AQ155" s="20">
        <v>0</v>
      </c>
      <c r="AR155" s="20"/>
      <c r="AT155" s="3">
        <v>0</v>
      </c>
      <c r="AV155" s="5">
        <f t="shared" si="41"/>
        <v>0</v>
      </c>
      <c r="AX155" s="38">
        <f t="shared" si="36"/>
        <v>0</v>
      </c>
      <c r="BA155" s="3">
        <v>0</v>
      </c>
      <c r="BB155" s="3">
        <v>0</v>
      </c>
      <c r="BC155" s="3">
        <v>0</v>
      </c>
      <c r="BD155" s="3">
        <f t="shared" si="42"/>
        <v>0</v>
      </c>
      <c r="BE155" s="3">
        <v>0</v>
      </c>
      <c r="BF155" s="3">
        <v>0</v>
      </c>
      <c r="BH155" s="3">
        <f t="shared" si="43"/>
        <v>0</v>
      </c>
      <c r="BJ155" s="38">
        <f t="shared" si="37"/>
        <v>0</v>
      </c>
      <c r="BL155" s="3">
        <f t="shared" si="38"/>
        <v>121990</v>
      </c>
    </row>
    <row r="156" spans="1:64" x14ac:dyDescent="0.35">
      <c r="A156" s="1" t="s">
        <v>493</v>
      </c>
      <c r="B156" s="1" t="str">
        <f t="shared" si="34"/>
        <v>Premium</v>
      </c>
      <c r="C156" s="1" t="s">
        <v>46</v>
      </c>
      <c r="D156" s="1" t="s">
        <v>460</v>
      </c>
      <c r="E156" s="1" t="s">
        <v>220</v>
      </c>
      <c r="F156" s="1" t="s">
        <v>494</v>
      </c>
      <c r="G156" s="1" t="s">
        <v>495</v>
      </c>
      <c r="H156" s="1" t="s">
        <v>67</v>
      </c>
      <c r="I156" s="1" t="s">
        <v>85</v>
      </c>
      <c r="J156" s="1" t="s">
        <v>496</v>
      </c>
      <c r="K156" s="1" t="s">
        <v>54</v>
      </c>
      <c r="L156" s="1" t="s">
        <v>55</v>
      </c>
      <c r="M156" s="1" t="s">
        <v>228</v>
      </c>
      <c r="N156" s="1" t="s">
        <v>497</v>
      </c>
      <c r="O156" s="1" t="s">
        <v>498</v>
      </c>
      <c r="P156" s="1" t="s">
        <v>499</v>
      </c>
      <c r="Q156" s="1" t="s">
        <v>483</v>
      </c>
      <c r="R156" s="1" t="s">
        <v>61</v>
      </c>
      <c r="S156" s="1">
        <v>1881</v>
      </c>
      <c r="T156" s="2">
        <f t="shared" si="44"/>
        <v>140244.10423728815</v>
      </c>
      <c r="U156" s="13">
        <v>148296.61016949153</v>
      </c>
      <c r="V156" s="13">
        <v>0</v>
      </c>
      <c r="W156" s="13"/>
      <c r="X156" s="13"/>
      <c r="Y156" s="2">
        <f t="shared" si="45"/>
        <v>164969.15217391303</v>
      </c>
      <c r="Z156" s="2">
        <v>164969.15217391303</v>
      </c>
      <c r="AA156" s="5"/>
      <c r="AB156" s="5"/>
      <c r="AC156" s="14">
        <v>0</v>
      </c>
      <c r="AD156" s="5">
        <f t="shared" si="39"/>
        <v>128620.01694915256</v>
      </c>
      <c r="AE156" s="5"/>
      <c r="AF156" s="5">
        <f t="shared" si="40"/>
        <v>0</v>
      </c>
      <c r="AG156" s="5"/>
      <c r="AH156" s="13">
        <v>0</v>
      </c>
      <c r="AI156" s="13"/>
      <c r="AJ156" s="5"/>
      <c r="AL156" s="5"/>
      <c r="AM156" s="5">
        <v>164969.15217391303</v>
      </c>
      <c r="AN156" s="5">
        <f t="shared" si="35"/>
        <v>0</v>
      </c>
      <c r="AO156" s="5"/>
      <c r="AP156" s="5"/>
      <c r="AQ156" s="20">
        <v>0</v>
      </c>
      <c r="AR156" s="20"/>
      <c r="AT156" s="3">
        <v>0</v>
      </c>
      <c r="AV156" s="5">
        <f t="shared" si="41"/>
        <v>0</v>
      </c>
      <c r="AX156" s="38">
        <f t="shared" si="36"/>
        <v>0</v>
      </c>
      <c r="BA156" s="3">
        <v>0</v>
      </c>
      <c r="BB156" s="3">
        <v>0</v>
      </c>
      <c r="BC156" s="3">
        <v>0</v>
      </c>
      <c r="BD156" s="3">
        <f t="shared" si="42"/>
        <v>0</v>
      </c>
      <c r="BE156" s="3">
        <v>0</v>
      </c>
      <c r="BF156" s="3">
        <v>0</v>
      </c>
      <c r="BH156" s="3">
        <f t="shared" si="43"/>
        <v>0</v>
      </c>
      <c r="BJ156" s="38">
        <f t="shared" si="37"/>
        <v>0</v>
      </c>
      <c r="BL156" s="3">
        <f t="shared" si="38"/>
        <v>174990</v>
      </c>
    </row>
    <row r="157" spans="1:64" x14ac:dyDescent="0.35">
      <c r="A157" s="1" t="s">
        <v>500</v>
      </c>
      <c r="B157" s="1" t="str">
        <f t="shared" si="34"/>
        <v>Premium</v>
      </c>
      <c r="C157" s="1" t="s">
        <v>46</v>
      </c>
      <c r="D157" s="1" t="s">
        <v>460</v>
      </c>
      <c r="E157" s="1" t="s">
        <v>220</v>
      </c>
      <c r="F157" s="1" t="s">
        <v>494</v>
      </c>
      <c r="G157" s="1" t="s">
        <v>501</v>
      </c>
      <c r="H157" s="1" t="s">
        <v>67</v>
      </c>
      <c r="I157" s="1" t="s">
        <v>85</v>
      </c>
      <c r="J157" s="1" t="s">
        <v>502</v>
      </c>
      <c r="K157" s="1" t="s">
        <v>54</v>
      </c>
      <c r="L157" s="1" t="s">
        <v>55</v>
      </c>
      <c r="M157" s="1" t="s">
        <v>56</v>
      </c>
      <c r="N157" s="1" t="s">
        <v>57</v>
      </c>
      <c r="O157" s="1" t="s">
        <v>87</v>
      </c>
      <c r="P157" s="1" t="s">
        <v>503</v>
      </c>
      <c r="Q157" s="1" t="s">
        <v>483</v>
      </c>
      <c r="R157" s="1" t="s">
        <v>61</v>
      </c>
      <c r="S157" s="1">
        <v>1881</v>
      </c>
      <c r="T157" s="2">
        <f t="shared" si="44"/>
        <v>140244.10423728815</v>
      </c>
      <c r="U157" s="13">
        <v>148296.61016949153</v>
      </c>
      <c r="V157" s="13">
        <v>0</v>
      </c>
      <c r="W157" s="13"/>
      <c r="X157" s="13"/>
      <c r="Y157" s="2">
        <f t="shared" si="45"/>
        <v>164969.15217391303</v>
      </c>
      <c r="Z157" s="2">
        <v>164969.15217391303</v>
      </c>
      <c r="AA157" s="5"/>
      <c r="AB157" s="5"/>
      <c r="AC157" s="14">
        <v>0</v>
      </c>
      <c r="AD157" s="5">
        <f t="shared" si="39"/>
        <v>128620.01694915256</v>
      </c>
      <c r="AE157" s="5"/>
      <c r="AF157" s="5">
        <f t="shared" si="40"/>
        <v>0</v>
      </c>
      <c r="AG157" s="5"/>
      <c r="AH157" s="13">
        <v>0</v>
      </c>
      <c r="AI157" s="13"/>
      <c r="AJ157" s="5"/>
      <c r="AL157" s="5"/>
      <c r="AM157" s="5">
        <v>164969.15217391303</v>
      </c>
      <c r="AN157" s="5">
        <f t="shared" si="35"/>
        <v>0</v>
      </c>
      <c r="AO157" s="5"/>
      <c r="AP157" s="5"/>
      <c r="AQ157" s="20">
        <v>0</v>
      </c>
      <c r="AR157" s="20"/>
      <c r="AT157" s="3">
        <v>0</v>
      </c>
      <c r="AV157" s="5">
        <f t="shared" si="41"/>
        <v>0</v>
      </c>
      <c r="AX157" s="38">
        <f t="shared" si="36"/>
        <v>0</v>
      </c>
      <c r="BA157" s="3">
        <v>0</v>
      </c>
      <c r="BB157" s="3">
        <v>0</v>
      </c>
      <c r="BC157" s="3">
        <v>0</v>
      </c>
      <c r="BD157" s="3">
        <f t="shared" si="42"/>
        <v>0</v>
      </c>
      <c r="BE157" s="3">
        <v>0</v>
      </c>
      <c r="BF157" s="3">
        <v>0</v>
      </c>
      <c r="BH157" s="3">
        <f t="shared" si="43"/>
        <v>0</v>
      </c>
      <c r="BJ157" s="38">
        <f t="shared" si="37"/>
        <v>0</v>
      </c>
      <c r="BL157" s="3">
        <f t="shared" si="38"/>
        <v>174990</v>
      </c>
    </row>
    <row r="158" spans="1:64" x14ac:dyDescent="0.35">
      <c r="A158" s="1" t="s">
        <v>504</v>
      </c>
      <c r="B158" s="1" t="str">
        <f t="shared" si="34"/>
        <v>Premium</v>
      </c>
      <c r="C158" s="1" t="s">
        <v>46</v>
      </c>
      <c r="D158" s="1" t="s">
        <v>460</v>
      </c>
      <c r="E158" s="1" t="s">
        <v>220</v>
      </c>
      <c r="F158" s="1" t="s">
        <v>494</v>
      </c>
      <c r="G158" s="1" t="s">
        <v>505</v>
      </c>
      <c r="H158" s="1" t="s">
        <v>67</v>
      </c>
      <c r="I158" s="1" t="s">
        <v>68</v>
      </c>
      <c r="J158" s="1" t="s">
        <v>506</v>
      </c>
      <c r="K158" s="1" t="s">
        <v>54</v>
      </c>
      <c r="L158" s="1" t="s">
        <v>55</v>
      </c>
      <c r="M158" s="1" t="s">
        <v>56</v>
      </c>
      <c r="N158" s="1" t="s">
        <v>200</v>
      </c>
      <c r="O158" s="1" t="s">
        <v>87</v>
      </c>
      <c r="P158" s="1" t="s">
        <v>507</v>
      </c>
      <c r="Q158" s="1" t="s">
        <v>476</v>
      </c>
      <c r="R158" s="1" t="s">
        <v>61</v>
      </c>
      <c r="S158" s="1">
        <v>1881</v>
      </c>
      <c r="T158" s="2">
        <f t="shared" si="44"/>
        <v>145854.18898305084</v>
      </c>
      <c r="U158" s="13">
        <v>154228.81355932204</v>
      </c>
      <c r="V158" s="13">
        <v>0</v>
      </c>
      <c r="W158" s="13"/>
      <c r="X158" s="13"/>
      <c r="Y158" s="2">
        <f t="shared" si="45"/>
        <v>171664.80434782608</v>
      </c>
      <c r="Z158" s="2">
        <v>171664.80434782608</v>
      </c>
      <c r="AA158" s="5"/>
      <c r="AB158" s="5"/>
      <c r="AC158" s="14">
        <v>0</v>
      </c>
      <c r="AD158" s="5">
        <f t="shared" si="39"/>
        <v>133840.35593220338</v>
      </c>
      <c r="AE158" s="5"/>
      <c r="AF158" s="5">
        <f t="shared" si="40"/>
        <v>0</v>
      </c>
      <c r="AG158" s="5"/>
      <c r="AH158" s="13">
        <v>0</v>
      </c>
      <c r="AI158" s="13"/>
      <c r="AJ158" s="5"/>
      <c r="AL158" s="5"/>
      <c r="AM158" s="5">
        <v>171664.80434782608</v>
      </c>
      <c r="AN158" s="5">
        <f t="shared" si="35"/>
        <v>0</v>
      </c>
      <c r="AO158" s="5"/>
      <c r="AP158" s="5"/>
      <c r="AQ158" s="20">
        <v>0</v>
      </c>
      <c r="AR158" s="20"/>
      <c r="AT158" s="3">
        <v>0</v>
      </c>
      <c r="AV158" s="5">
        <f t="shared" si="41"/>
        <v>0</v>
      </c>
      <c r="AX158" s="38">
        <f t="shared" si="36"/>
        <v>0</v>
      </c>
      <c r="BA158" s="3">
        <v>0</v>
      </c>
      <c r="BB158" s="3">
        <v>0</v>
      </c>
      <c r="BC158" s="3">
        <v>0</v>
      </c>
      <c r="BD158" s="3">
        <f t="shared" si="42"/>
        <v>0</v>
      </c>
      <c r="BE158" s="3">
        <v>0</v>
      </c>
      <c r="BF158" s="3">
        <v>0</v>
      </c>
      <c r="BH158" s="3">
        <f t="shared" si="43"/>
        <v>0</v>
      </c>
      <c r="BJ158" s="38">
        <f t="shared" si="37"/>
        <v>0</v>
      </c>
      <c r="BL158" s="3">
        <f t="shared" si="38"/>
        <v>181990</v>
      </c>
    </row>
    <row r="159" spans="1:64" x14ac:dyDescent="0.35">
      <c r="A159" s="1" t="s">
        <v>508</v>
      </c>
      <c r="B159" s="1" t="str">
        <f t="shared" si="34"/>
        <v>Premium</v>
      </c>
      <c r="C159" s="1" t="s">
        <v>46</v>
      </c>
      <c r="D159" s="1" t="s">
        <v>121</v>
      </c>
      <c r="E159" s="1" t="s">
        <v>220</v>
      </c>
      <c r="F159" s="1" t="s">
        <v>221</v>
      </c>
      <c r="G159" s="1" t="s">
        <v>509</v>
      </c>
      <c r="H159" s="1" t="s">
        <v>123</v>
      </c>
      <c r="I159" s="1" t="s">
        <v>124</v>
      </c>
      <c r="J159" s="1" t="s">
        <v>125</v>
      </c>
      <c r="K159" s="1" t="s">
        <v>54</v>
      </c>
      <c r="L159" s="1" t="s">
        <v>70</v>
      </c>
      <c r="M159" s="1" t="s">
        <v>100</v>
      </c>
      <c r="N159" s="1" t="s">
        <v>57</v>
      </c>
      <c r="O159" s="1" t="s">
        <v>87</v>
      </c>
      <c r="P159" s="1" t="s">
        <v>223</v>
      </c>
      <c r="Q159" s="1" t="s">
        <v>127</v>
      </c>
      <c r="R159" s="1" t="s">
        <v>61</v>
      </c>
      <c r="S159" s="1"/>
      <c r="T159" s="2">
        <f t="shared" si="44"/>
        <v>54613.446417565487</v>
      </c>
      <c r="U159" s="13">
        <v>57749.22958397535</v>
      </c>
      <c r="V159" s="13">
        <v>0</v>
      </c>
      <c r="W159" s="13"/>
      <c r="X159" s="13"/>
      <c r="Y159" s="2">
        <f t="shared" si="45"/>
        <v>65181.304347826088</v>
      </c>
      <c r="Z159" s="2">
        <v>65190</v>
      </c>
      <c r="AA159" s="5"/>
      <c r="AB159" s="5"/>
      <c r="AC159" s="14">
        <v>0</v>
      </c>
      <c r="AD159" s="5">
        <f t="shared" si="39"/>
        <v>50819.322033898308</v>
      </c>
      <c r="AE159" s="5"/>
      <c r="AF159" s="5">
        <f t="shared" si="40"/>
        <v>0</v>
      </c>
      <c r="AG159" s="5"/>
      <c r="AH159" s="13">
        <v>0</v>
      </c>
      <c r="AI159" s="13"/>
      <c r="AJ159" s="5"/>
      <c r="AL159" s="5"/>
      <c r="AM159" s="5">
        <v>65181.304347826088</v>
      </c>
      <c r="AN159" s="5">
        <f t="shared" si="35"/>
        <v>0</v>
      </c>
      <c r="AO159" s="5"/>
      <c r="AP159" s="5"/>
      <c r="AQ159" s="20">
        <v>0</v>
      </c>
      <c r="AR159" s="20"/>
      <c r="AT159" s="3">
        <v>12</v>
      </c>
      <c r="AV159" s="5">
        <f t="shared" si="41"/>
        <v>120</v>
      </c>
      <c r="AX159" s="38">
        <f t="shared" si="36"/>
        <v>0</v>
      </c>
      <c r="BA159" s="3">
        <v>10</v>
      </c>
      <c r="BB159" s="3">
        <v>0</v>
      </c>
      <c r="BC159" s="3">
        <v>0</v>
      </c>
      <c r="BD159" s="3">
        <f t="shared" si="42"/>
        <v>10</v>
      </c>
      <c r="BE159" s="3">
        <v>414</v>
      </c>
      <c r="BF159" s="3">
        <v>0</v>
      </c>
      <c r="BH159" s="3">
        <f t="shared" si="43"/>
        <v>19</v>
      </c>
      <c r="BJ159" s="38">
        <f t="shared" si="37"/>
        <v>0</v>
      </c>
      <c r="BL159" s="3">
        <f t="shared" si="38"/>
        <v>68144.090909090912</v>
      </c>
    </row>
    <row r="160" spans="1:64" x14ac:dyDescent="0.35">
      <c r="A160" s="1" t="s">
        <v>510</v>
      </c>
      <c r="B160" s="1" t="str">
        <f t="shared" si="34"/>
        <v>Premium</v>
      </c>
      <c r="C160" s="1" t="s">
        <v>46</v>
      </c>
      <c r="D160" s="1" t="s">
        <v>121</v>
      </c>
      <c r="E160" s="1" t="s">
        <v>220</v>
      </c>
      <c r="F160" s="1" t="s">
        <v>473</v>
      </c>
      <c r="G160" s="1" t="s">
        <v>511</v>
      </c>
      <c r="H160" s="1" t="s">
        <v>123</v>
      </c>
      <c r="I160" s="1" t="s">
        <v>124</v>
      </c>
      <c r="J160" s="1" t="s">
        <v>125</v>
      </c>
      <c r="K160" s="1" t="s">
        <v>54</v>
      </c>
      <c r="L160" s="1" t="s">
        <v>70</v>
      </c>
      <c r="M160" s="1" t="s">
        <v>100</v>
      </c>
      <c r="N160" s="1" t="s">
        <v>57</v>
      </c>
      <c r="O160" s="1" t="s">
        <v>87</v>
      </c>
      <c r="P160" s="1" t="s">
        <v>475</v>
      </c>
      <c r="Q160" s="1" t="s">
        <v>127</v>
      </c>
      <c r="R160" s="1" t="s">
        <v>61</v>
      </c>
      <c r="S160" s="1"/>
      <c r="T160" s="2">
        <f t="shared" si="44"/>
        <v>62154.274614791982</v>
      </c>
      <c r="U160" s="13">
        <v>65723.035439137137</v>
      </c>
      <c r="V160" s="13">
        <v>0</v>
      </c>
      <c r="W160" s="13"/>
      <c r="X160" s="13"/>
      <c r="Y160" s="2">
        <f t="shared" si="45"/>
        <v>74181.304347826081</v>
      </c>
      <c r="Z160" s="2">
        <v>74190</v>
      </c>
      <c r="AA160" s="5"/>
      <c r="AB160" s="5"/>
      <c r="AC160" s="14">
        <v>0</v>
      </c>
      <c r="AD160" s="5">
        <f t="shared" si="39"/>
        <v>57836.271186440681</v>
      </c>
      <c r="AE160" s="5"/>
      <c r="AF160" s="5">
        <f t="shared" si="40"/>
        <v>0</v>
      </c>
      <c r="AG160" s="5"/>
      <c r="AH160" s="13">
        <v>0</v>
      </c>
      <c r="AI160" s="13"/>
      <c r="AJ160" s="5"/>
      <c r="AL160" s="5"/>
      <c r="AM160" s="5">
        <v>74181.304347826081</v>
      </c>
      <c r="AN160" s="5">
        <f t="shared" si="35"/>
        <v>0</v>
      </c>
      <c r="AO160" s="5"/>
      <c r="AP160" s="5"/>
      <c r="AQ160" s="20">
        <v>0</v>
      </c>
      <c r="AR160" s="20"/>
      <c r="AT160" s="3">
        <v>4</v>
      </c>
      <c r="AV160" s="5">
        <f t="shared" si="41"/>
        <v>40</v>
      </c>
      <c r="AX160" s="38">
        <f t="shared" si="36"/>
        <v>0</v>
      </c>
      <c r="BA160" s="3">
        <v>10</v>
      </c>
      <c r="BB160" s="3">
        <v>21</v>
      </c>
      <c r="BC160" s="3">
        <v>41</v>
      </c>
      <c r="BD160" s="3">
        <f t="shared" si="42"/>
        <v>72</v>
      </c>
      <c r="BE160" s="3">
        <v>77</v>
      </c>
      <c r="BF160" s="3">
        <v>0</v>
      </c>
      <c r="BH160" s="3">
        <f t="shared" si="43"/>
        <v>134</v>
      </c>
      <c r="BJ160" s="38">
        <f t="shared" si="37"/>
        <v>0</v>
      </c>
      <c r="BL160" s="3">
        <f t="shared" si="38"/>
        <v>77553.181818181823</v>
      </c>
    </row>
    <row r="161" spans="1:64" x14ac:dyDescent="0.35">
      <c r="A161" s="1" t="s">
        <v>512</v>
      </c>
      <c r="B161" s="1" t="str">
        <f t="shared" si="34"/>
        <v>Premium</v>
      </c>
      <c r="C161" s="1" t="s">
        <v>46</v>
      </c>
      <c r="D161" s="1" t="s">
        <v>460</v>
      </c>
      <c r="E161" s="1" t="s">
        <v>220</v>
      </c>
      <c r="F161" s="1" t="s">
        <v>221</v>
      </c>
      <c r="G161" s="1" t="s">
        <v>513</v>
      </c>
      <c r="H161" s="1" t="s">
        <v>67</v>
      </c>
      <c r="I161" s="1" t="s">
        <v>362</v>
      </c>
      <c r="J161" s="1" t="s">
        <v>514</v>
      </c>
      <c r="K161" s="1" t="s">
        <v>54</v>
      </c>
      <c r="L161" s="1" t="s">
        <v>70</v>
      </c>
      <c r="M161" s="1" t="s">
        <v>100</v>
      </c>
      <c r="N161" s="1" t="s">
        <v>57</v>
      </c>
      <c r="O161" s="1" t="s">
        <v>87</v>
      </c>
      <c r="P161" s="1" t="s">
        <v>223</v>
      </c>
      <c r="Q161" s="1" t="s">
        <v>127</v>
      </c>
      <c r="R161" s="1" t="s">
        <v>61</v>
      </c>
      <c r="S161" s="1"/>
      <c r="T161" s="2">
        <f t="shared" si="44"/>
        <v>73812.686440677964</v>
      </c>
      <c r="U161" s="13">
        <v>78050.847457627126</v>
      </c>
      <c r="V161" s="13">
        <v>0</v>
      </c>
      <c r="W161" s="13"/>
      <c r="X161" s="13"/>
      <c r="Y161" s="2">
        <f t="shared" si="45"/>
        <v>88095.65217391304</v>
      </c>
      <c r="Z161" s="2">
        <v>82190</v>
      </c>
      <c r="AA161" s="5"/>
      <c r="AB161" s="5"/>
      <c r="AC161" s="14">
        <v>0</v>
      </c>
      <c r="AD161" s="5">
        <f t="shared" si="39"/>
        <v>68684.745762711871</v>
      </c>
      <c r="AE161" s="5"/>
      <c r="AF161" s="5">
        <f t="shared" si="40"/>
        <v>0</v>
      </c>
      <c r="AG161" s="5"/>
      <c r="AH161" s="13">
        <v>0</v>
      </c>
      <c r="AI161" s="13">
        <v>4604.4067796610143</v>
      </c>
      <c r="AJ161" s="5"/>
      <c r="AL161" s="5"/>
      <c r="AM161" s="5">
        <v>82190</v>
      </c>
      <c r="AN161" s="5">
        <f t="shared" si="35"/>
        <v>5905.6521739130403</v>
      </c>
      <c r="AO161" s="5"/>
      <c r="AP161" s="5"/>
      <c r="AQ161" s="20">
        <v>0</v>
      </c>
      <c r="AR161" s="20"/>
      <c r="AT161" s="3">
        <v>13</v>
      </c>
      <c r="AV161" s="5">
        <f t="shared" si="41"/>
        <v>130</v>
      </c>
      <c r="AX161" s="38">
        <f t="shared" si="36"/>
        <v>0</v>
      </c>
      <c r="BA161" s="3">
        <v>38</v>
      </c>
      <c r="BB161" s="3">
        <v>33</v>
      </c>
      <c r="BC161" s="3">
        <v>3</v>
      </c>
      <c r="BD161" s="3">
        <f t="shared" si="42"/>
        <v>74</v>
      </c>
      <c r="BE161" s="3">
        <v>13</v>
      </c>
      <c r="BF161" s="3">
        <v>11</v>
      </c>
      <c r="BH161" s="3">
        <f t="shared" si="43"/>
        <v>137</v>
      </c>
      <c r="BJ161" s="38">
        <f t="shared" si="37"/>
        <v>0</v>
      </c>
      <c r="BL161" s="3">
        <f t="shared" si="38"/>
        <v>92100</v>
      </c>
    </row>
    <row r="162" spans="1:64" x14ac:dyDescent="0.35">
      <c r="A162" s="1" t="s">
        <v>515</v>
      </c>
      <c r="B162" s="1" t="str">
        <f t="shared" si="34"/>
        <v>Premium</v>
      </c>
      <c r="C162" s="1" t="s">
        <v>46</v>
      </c>
      <c r="D162" s="1" t="s">
        <v>114</v>
      </c>
      <c r="E162" s="1" t="s">
        <v>220</v>
      </c>
      <c r="F162" s="1" t="s">
        <v>479</v>
      </c>
      <c r="G162" s="1" t="s">
        <v>516</v>
      </c>
      <c r="H162" s="1" t="s">
        <v>51</v>
      </c>
      <c r="I162" s="1" t="s">
        <v>124</v>
      </c>
      <c r="J162" s="1" t="s">
        <v>517</v>
      </c>
      <c r="K162" s="1" t="s">
        <v>54</v>
      </c>
      <c r="L162" s="1" t="s">
        <v>70</v>
      </c>
      <c r="M162" s="1" t="s">
        <v>100</v>
      </c>
      <c r="N162" s="1" t="s">
        <v>57</v>
      </c>
      <c r="O162" s="1" t="s">
        <v>87</v>
      </c>
      <c r="P162" s="1" t="s">
        <v>518</v>
      </c>
      <c r="Q162" s="1" t="s">
        <v>127</v>
      </c>
      <c r="R162" s="1" t="s">
        <v>61</v>
      </c>
      <c r="S162" s="1">
        <v>0</v>
      </c>
      <c r="T162" s="2">
        <f t="shared" si="44"/>
        <v>77280.520254237272</v>
      </c>
      <c r="U162" s="13">
        <v>81717.796610169491</v>
      </c>
      <c r="V162" s="13">
        <v>0</v>
      </c>
      <c r="W162" s="13"/>
      <c r="X162" s="13"/>
      <c r="Y162" s="2">
        <f t="shared" si="45"/>
        <v>92234.521739130432</v>
      </c>
      <c r="Z162" s="2">
        <v>91990</v>
      </c>
      <c r="AA162" s="5"/>
      <c r="AB162" s="5"/>
      <c r="AC162" s="14">
        <v>0</v>
      </c>
      <c r="AD162" s="5">
        <f t="shared" si="39"/>
        <v>71911.661016949161</v>
      </c>
      <c r="AE162" s="5"/>
      <c r="AF162" s="5">
        <f t="shared" si="40"/>
        <v>0</v>
      </c>
      <c r="AG162" s="5"/>
      <c r="AH162" s="13">
        <v>0</v>
      </c>
      <c r="AI162" s="13"/>
      <c r="AJ162" s="5"/>
      <c r="AL162" s="5"/>
      <c r="AM162" s="5">
        <v>92234.521739130432</v>
      </c>
      <c r="AN162" s="5">
        <f t="shared" si="35"/>
        <v>0</v>
      </c>
      <c r="AO162" s="5"/>
      <c r="AP162" s="5"/>
      <c r="AQ162" s="20">
        <v>0</v>
      </c>
      <c r="AR162" s="20"/>
      <c r="AT162" s="3">
        <v>0</v>
      </c>
      <c r="AV162" s="5">
        <f t="shared" si="41"/>
        <v>0</v>
      </c>
      <c r="AX162" s="38">
        <f t="shared" si="36"/>
        <v>0</v>
      </c>
      <c r="BA162" s="3">
        <v>0</v>
      </c>
      <c r="BB162" s="3">
        <v>0</v>
      </c>
      <c r="BC162" s="3">
        <v>0</v>
      </c>
      <c r="BD162" s="3">
        <f t="shared" si="42"/>
        <v>0</v>
      </c>
      <c r="BE162" s="3">
        <v>1</v>
      </c>
      <c r="BF162" s="3">
        <v>0</v>
      </c>
      <c r="BH162" s="3">
        <f t="shared" si="43"/>
        <v>0</v>
      </c>
      <c r="BJ162" s="38">
        <f t="shared" si="37"/>
        <v>0</v>
      </c>
      <c r="BL162" s="3">
        <f t="shared" si="38"/>
        <v>96427</v>
      </c>
    </row>
    <row r="163" spans="1:64" x14ac:dyDescent="0.35">
      <c r="A163" s="1" t="s">
        <v>519</v>
      </c>
      <c r="B163" s="1" t="str">
        <f t="shared" si="34"/>
        <v>Premium</v>
      </c>
      <c r="C163" s="1" t="s">
        <v>46</v>
      </c>
      <c r="D163" s="1" t="s">
        <v>460</v>
      </c>
      <c r="E163" s="1" t="s">
        <v>220</v>
      </c>
      <c r="F163" s="1" t="s">
        <v>479</v>
      </c>
      <c r="G163" s="1" t="s">
        <v>520</v>
      </c>
      <c r="H163" s="1" t="s">
        <v>67</v>
      </c>
      <c r="I163" s="1" t="s">
        <v>362</v>
      </c>
      <c r="J163" s="1" t="s">
        <v>521</v>
      </c>
      <c r="K163" s="1" t="s">
        <v>54</v>
      </c>
      <c r="L163" s="1" t="s">
        <v>70</v>
      </c>
      <c r="M163" s="1" t="s">
        <v>100</v>
      </c>
      <c r="N163" s="1" t="s">
        <v>57</v>
      </c>
      <c r="O163" s="1" t="s">
        <v>87</v>
      </c>
      <c r="P163" s="1" t="s">
        <v>518</v>
      </c>
      <c r="Q163" s="1" t="s">
        <v>127</v>
      </c>
      <c r="R163" s="1" t="s">
        <v>61</v>
      </c>
      <c r="S163" s="1">
        <v>0</v>
      </c>
      <c r="T163" s="2">
        <f t="shared" si="44"/>
        <v>93183.507627118641</v>
      </c>
      <c r="U163" s="13">
        <v>98533.898305084746</v>
      </c>
      <c r="V163" s="13">
        <v>0</v>
      </c>
      <c r="W163" s="13"/>
      <c r="X163" s="13"/>
      <c r="Y163" s="2">
        <f t="shared" si="45"/>
        <v>111214.78260869565</v>
      </c>
      <c r="Z163" s="2">
        <v>113990</v>
      </c>
      <c r="AA163" s="5"/>
      <c r="AB163" s="5"/>
      <c r="AC163" s="14">
        <v>0</v>
      </c>
      <c r="AD163" s="5">
        <f t="shared" si="39"/>
        <v>86709.830508474581</v>
      </c>
      <c r="AE163" s="5"/>
      <c r="AF163" s="5">
        <f t="shared" si="40"/>
        <v>0</v>
      </c>
      <c r="AG163" s="5"/>
      <c r="AH163" s="13">
        <v>0</v>
      </c>
      <c r="AI163" s="13"/>
      <c r="AJ163" s="5"/>
      <c r="AL163" s="5"/>
      <c r="AM163" s="5">
        <v>111214.78260869565</v>
      </c>
      <c r="AN163" s="5">
        <f t="shared" si="35"/>
        <v>0</v>
      </c>
      <c r="AO163" s="5"/>
      <c r="AP163" s="5"/>
      <c r="AQ163" s="20">
        <v>0</v>
      </c>
      <c r="AR163" s="20"/>
      <c r="AT163" s="3">
        <v>0</v>
      </c>
      <c r="AV163" s="5">
        <f t="shared" si="41"/>
        <v>0</v>
      </c>
      <c r="AX163" s="38">
        <f t="shared" si="36"/>
        <v>0</v>
      </c>
      <c r="BA163" s="3">
        <v>0</v>
      </c>
      <c r="BB163" s="3">
        <v>0</v>
      </c>
      <c r="BC163" s="3">
        <v>0</v>
      </c>
      <c r="BD163" s="3">
        <f t="shared" si="42"/>
        <v>0</v>
      </c>
      <c r="BE163" s="3">
        <v>0</v>
      </c>
      <c r="BF163" s="3">
        <v>0</v>
      </c>
      <c r="BH163" s="3">
        <f t="shared" si="43"/>
        <v>0</v>
      </c>
      <c r="BJ163" s="38">
        <f t="shared" si="37"/>
        <v>0</v>
      </c>
      <c r="BL163" s="3">
        <f t="shared" si="38"/>
        <v>116270</v>
      </c>
    </row>
    <row r="164" spans="1:64" x14ac:dyDescent="0.35">
      <c r="A164" s="1" t="s">
        <v>522</v>
      </c>
      <c r="B164" s="1" t="str">
        <f t="shared" si="34"/>
        <v>Premium</v>
      </c>
      <c r="C164" s="1" t="s">
        <v>46</v>
      </c>
      <c r="D164" s="1" t="s">
        <v>460</v>
      </c>
      <c r="E164" s="1" t="s">
        <v>220</v>
      </c>
      <c r="F164" s="1" t="s">
        <v>221</v>
      </c>
      <c r="G164" s="1" t="s">
        <v>222</v>
      </c>
      <c r="H164" s="1" t="s">
        <v>67</v>
      </c>
      <c r="I164" s="1" t="s">
        <v>68</v>
      </c>
      <c r="J164" s="1" t="s">
        <v>523</v>
      </c>
      <c r="K164" s="1" t="s">
        <v>54</v>
      </c>
      <c r="L164" s="1" t="s">
        <v>70</v>
      </c>
      <c r="M164" s="1" t="s">
        <v>100</v>
      </c>
      <c r="N164" s="1" t="s">
        <v>200</v>
      </c>
      <c r="O164" s="1" t="s">
        <v>87</v>
      </c>
      <c r="P164" s="1" t="s">
        <v>223</v>
      </c>
      <c r="Q164" s="1" t="s">
        <v>127</v>
      </c>
      <c r="R164" s="1" t="s">
        <v>61</v>
      </c>
      <c r="S164" s="1">
        <v>725</v>
      </c>
      <c r="T164" s="2">
        <f t="shared" si="44"/>
        <v>69717.004000000001</v>
      </c>
      <c r="U164" s="13">
        <v>73720</v>
      </c>
      <c r="V164" s="13">
        <v>0</v>
      </c>
      <c r="W164" s="13"/>
      <c r="X164" s="13"/>
      <c r="Y164" s="2">
        <f t="shared" si="45"/>
        <v>82277.552173913034</v>
      </c>
      <c r="Z164" s="2">
        <v>82277.552173913034</v>
      </c>
      <c r="AA164" s="5"/>
      <c r="AB164" s="5"/>
      <c r="AC164" s="14">
        <v>0</v>
      </c>
      <c r="AD164" s="5">
        <f t="shared" si="39"/>
        <v>64148.600000000006</v>
      </c>
      <c r="AE164" s="5"/>
      <c r="AF164" s="5">
        <f t="shared" si="40"/>
        <v>0</v>
      </c>
      <c r="AG164" s="5"/>
      <c r="AH164" s="13">
        <v>0</v>
      </c>
      <c r="AI164" s="13"/>
      <c r="AJ164" s="5"/>
      <c r="AL164" s="5"/>
      <c r="AM164" s="5">
        <v>82277.552173913034</v>
      </c>
      <c r="AN164" s="5">
        <f t="shared" si="35"/>
        <v>0</v>
      </c>
      <c r="AO164" s="5"/>
      <c r="AP164" s="5"/>
      <c r="AQ164" s="20">
        <v>0</v>
      </c>
      <c r="AR164" s="20"/>
      <c r="AT164" s="3">
        <v>0</v>
      </c>
      <c r="AV164" s="5">
        <f t="shared" si="41"/>
        <v>0</v>
      </c>
      <c r="AX164" s="38">
        <f t="shared" si="36"/>
        <v>0</v>
      </c>
      <c r="BA164" s="3">
        <v>0</v>
      </c>
      <c r="BB164" s="3">
        <v>0</v>
      </c>
      <c r="BC164" s="3">
        <v>0</v>
      </c>
      <c r="BD164" s="3">
        <f t="shared" si="42"/>
        <v>0</v>
      </c>
      <c r="BE164" s="3">
        <v>0</v>
      </c>
      <c r="BF164" s="3">
        <v>0</v>
      </c>
      <c r="BH164" s="3">
        <f t="shared" si="43"/>
        <v>0</v>
      </c>
      <c r="BJ164" s="38">
        <f t="shared" si="37"/>
        <v>0</v>
      </c>
      <c r="BL164" s="3">
        <f t="shared" si="38"/>
        <v>86989.599999999991</v>
      </c>
    </row>
    <row r="165" spans="1:64" x14ac:dyDescent="0.35">
      <c r="A165" s="1" t="s">
        <v>524</v>
      </c>
      <c r="B165" s="1" t="str">
        <f t="shared" si="34"/>
        <v>Premium</v>
      </c>
      <c r="C165" s="1" t="s">
        <v>46</v>
      </c>
      <c r="D165" s="1" t="s">
        <v>460</v>
      </c>
      <c r="E165" s="1" t="s">
        <v>220</v>
      </c>
      <c r="F165" s="1" t="s">
        <v>494</v>
      </c>
      <c r="G165" s="1" t="s">
        <v>525</v>
      </c>
      <c r="H165" s="1" t="s">
        <v>67</v>
      </c>
      <c r="I165" s="1" t="s">
        <v>362</v>
      </c>
      <c r="J165" s="1" t="s">
        <v>521</v>
      </c>
      <c r="K165" s="1" t="s">
        <v>54</v>
      </c>
      <c r="L165" s="1" t="s">
        <v>55</v>
      </c>
      <c r="M165" s="1" t="s">
        <v>100</v>
      </c>
      <c r="N165" s="1" t="s">
        <v>57</v>
      </c>
      <c r="O165" s="1" t="s">
        <v>87</v>
      </c>
      <c r="P165" s="1" t="s">
        <v>507</v>
      </c>
      <c r="Q165" s="1" t="s">
        <v>127</v>
      </c>
      <c r="R165" s="1" t="s">
        <v>61</v>
      </c>
      <c r="S165" s="1">
        <v>1881</v>
      </c>
      <c r="T165" s="2">
        <f t="shared" si="44"/>
        <v>148807.84395801229</v>
      </c>
      <c r="U165" s="13">
        <v>157352.06086286594</v>
      </c>
      <c r="V165" s="13">
        <v>0</v>
      </c>
      <c r="W165" s="13"/>
      <c r="X165" s="13"/>
      <c r="Y165" s="2">
        <f t="shared" si="45"/>
        <v>175189.99999999997</v>
      </c>
      <c r="Z165" s="2">
        <v>175190</v>
      </c>
      <c r="AA165" s="5"/>
      <c r="AB165" s="5"/>
      <c r="AC165" s="14">
        <v>0</v>
      </c>
      <c r="AD165" s="5">
        <f t="shared" si="39"/>
        <v>136588.81355932204</v>
      </c>
      <c r="AE165" s="5"/>
      <c r="AF165" s="5">
        <f t="shared" si="40"/>
        <v>0</v>
      </c>
      <c r="AG165" s="5"/>
      <c r="AH165" s="13">
        <v>0</v>
      </c>
      <c r="AI165" s="13"/>
      <c r="AJ165" s="5"/>
      <c r="AL165" s="5"/>
      <c r="AM165" s="5">
        <v>175189.99999999997</v>
      </c>
      <c r="AN165" s="5">
        <f t="shared" si="35"/>
        <v>0</v>
      </c>
      <c r="AO165" s="5"/>
      <c r="AP165" s="5"/>
      <c r="AQ165" s="20">
        <v>0</v>
      </c>
      <c r="AR165" s="20"/>
      <c r="AT165" s="3">
        <v>1</v>
      </c>
      <c r="AV165" s="5">
        <f t="shared" si="41"/>
        <v>10</v>
      </c>
      <c r="AX165" s="38">
        <f t="shared" si="36"/>
        <v>0</v>
      </c>
      <c r="BA165" s="3">
        <v>0</v>
      </c>
      <c r="BB165" s="3">
        <v>0</v>
      </c>
      <c r="BC165" s="3">
        <v>12</v>
      </c>
      <c r="BD165" s="3">
        <f t="shared" si="42"/>
        <v>12</v>
      </c>
      <c r="BE165" s="3">
        <v>60</v>
      </c>
      <c r="BF165" s="3">
        <v>57</v>
      </c>
      <c r="BH165" s="3">
        <f t="shared" si="43"/>
        <v>23</v>
      </c>
      <c r="BJ165" s="38">
        <f t="shared" si="37"/>
        <v>0</v>
      </c>
      <c r="BL165" s="3">
        <f t="shared" si="38"/>
        <v>185675.43181818179</v>
      </c>
    </row>
    <row r="166" spans="1:64" x14ac:dyDescent="0.35">
      <c r="A166" s="1" t="s">
        <v>526</v>
      </c>
      <c r="B166" s="1" t="str">
        <f t="shared" si="34"/>
        <v>Mainstream</v>
      </c>
      <c r="C166" s="1" t="s">
        <v>46</v>
      </c>
      <c r="D166" s="1" t="s">
        <v>210</v>
      </c>
      <c r="E166" s="1" t="s">
        <v>220</v>
      </c>
      <c r="F166" s="1" t="s">
        <v>221</v>
      </c>
      <c r="G166" s="1" t="s">
        <v>513</v>
      </c>
      <c r="H166" s="1" t="s">
        <v>212</v>
      </c>
      <c r="I166" s="1" t="s">
        <v>154</v>
      </c>
      <c r="J166" s="1" t="s">
        <v>527</v>
      </c>
      <c r="K166" s="1" t="s">
        <v>92</v>
      </c>
      <c r="L166" s="1" t="s">
        <v>70</v>
      </c>
      <c r="M166" s="1" t="s">
        <v>100</v>
      </c>
      <c r="N166" s="1" t="s">
        <v>57</v>
      </c>
      <c r="O166" s="1" t="s">
        <v>87</v>
      </c>
      <c r="P166" s="1" t="s">
        <v>223</v>
      </c>
      <c r="Q166" s="1" t="s">
        <v>528</v>
      </c>
      <c r="R166" s="1" t="s">
        <v>61</v>
      </c>
      <c r="S166" s="1">
        <v>0</v>
      </c>
      <c r="T166" s="2">
        <f t="shared" si="44"/>
        <v>49586.227619414494</v>
      </c>
      <c r="U166" s="13">
        <v>52433.359013867499</v>
      </c>
      <c r="V166" s="13">
        <v>0</v>
      </c>
      <c r="W166" s="13"/>
      <c r="X166" s="13"/>
      <c r="Y166" s="2">
        <f>(U166*0.89-S166-V166-W166-X166)*1.18/0.92</f>
        <v>59853.819169960479</v>
      </c>
      <c r="Z166" s="2">
        <v>59190</v>
      </c>
      <c r="AA166" s="5"/>
      <c r="AB166" s="5"/>
      <c r="AC166" s="14">
        <v>0</v>
      </c>
      <c r="AD166" s="5">
        <f t="shared" si="39"/>
        <v>46665.68952234208</v>
      </c>
      <c r="AE166" s="5"/>
      <c r="AF166" s="5">
        <f t="shared" si="40"/>
        <v>0</v>
      </c>
      <c r="AG166" s="5"/>
      <c r="AH166" s="13">
        <v>0</v>
      </c>
      <c r="AI166" s="13"/>
      <c r="AJ166" s="5"/>
      <c r="AL166" s="5"/>
      <c r="AM166" s="5">
        <v>59181.304347826095</v>
      </c>
      <c r="AN166" s="5">
        <f t="shared" si="35"/>
        <v>672.5148221343843</v>
      </c>
      <c r="AO166" s="5"/>
      <c r="AP166" s="5"/>
      <c r="AQ166" s="20">
        <v>0</v>
      </c>
      <c r="AR166" s="20"/>
      <c r="AT166" s="3">
        <v>3</v>
      </c>
      <c r="AV166" s="5">
        <f t="shared" si="41"/>
        <v>30</v>
      </c>
      <c r="AX166" s="38">
        <f t="shared" si="36"/>
        <v>0</v>
      </c>
      <c r="BA166" s="3">
        <v>2</v>
      </c>
      <c r="BB166" s="3">
        <v>8</v>
      </c>
      <c r="BC166" s="3">
        <v>0</v>
      </c>
      <c r="BD166" s="3">
        <f t="shared" si="42"/>
        <v>10</v>
      </c>
      <c r="BE166" s="3">
        <v>280</v>
      </c>
      <c r="BF166" s="3">
        <v>0</v>
      </c>
      <c r="BH166" s="3">
        <f t="shared" si="43"/>
        <v>19</v>
      </c>
      <c r="BJ166" s="38">
        <f t="shared" si="37"/>
        <v>0</v>
      </c>
      <c r="BL166" s="3">
        <f t="shared" si="38"/>
        <v>61871.363636363647</v>
      </c>
    </row>
    <row r="167" spans="1:64" x14ac:dyDescent="0.35">
      <c r="A167" s="1" t="s">
        <v>529</v>
      </c>
      <c r="B167" s="1" t="str">
        <f t="shared" si="34"/>
        <v>Premium</v>
      </c>
      <c r="C167" s="1" t="s">
        <v>46</v>
      </c>
      <c r="D167" s="1" t="s">
        <v>80</v>
      </c>
      <c r="E167" s="1" t="s">
        <v>220</v>
      </c>
      <c r="F167" s="1" t="s">
        <v>221</v>
      </c>
      <c r="G167" s="1" t="s">
        <v>513</v>
      </c>
      <c r="H167" s="1" t="s">
        <v>84</v>
      </c>
      <c r="I167" s="1" t="s">
        <v>154</v>
      </c>
      <c r="J167" s="1" t="s">
        <v>530</v>
      </c>
      <c r="K167" s="1" t="s">
        <v>54</v>
      </c>
      <c r="L167" s="1" t="s">
        <v>70</v>
      </c>
      <c r="M167" s="1" t="s">
        <v>100</v>
      </c>
      <c r="N167" s="1" t="s">
        <v>57</v>
      </c>
      <c r="O167" s="1" t="s">
        <v>87</v>
      </c>
      <c r="P167" s="1" t="s">
        <v>223</v>
      </c>
      <c r="Q167" s="1" t="s">
        <v>127</v>
      </c>
      <c r="R167" s="1" t="s">
        <v>61</v>
      </c>
      <c r="S167" s="1"/>
      <c r="T167" s="2">
        <f t="shared" si="44"/>
        <v>64631.454892141744</v>
      </c>
      <c r="U167" s="13">
        <v>68342.449922958389</v>
      </c>
      <c r="V167" s="13">
        <v>0</v>
      </c>
      <c r="W167" s="13"/>
      <c r="X167" s="13"/>
      <c r="Y167" s="2">
        <f t="shared" ref="Y167:Y173" si="46">(U167*0.88-S167-V167-W167-X167)*1.18/0.92</f>
        <v>77137.826086956513</v>
      </c>
      <c r="Z167" s="2">
        <v>77190</v>
      </c>
      <c r="AA167" s="5"/>
      <c r="AB167" s="5"/>
      <c r="AC167" s="14">
        <v>0</v>
      </c>
      <c r="AD167" s="5">
        <f t="shared" si="39"/>
        <v>60141.355932203391</v>
      </c>
      <c r="AE167" s="5"/>
      <c r="AF167" s="5">
        <f t="shared" si="40"/>
        <v>0</v>
      </c>
      <c r="AG167" s="5"/>
      <c r="AH167" s="13">
        <v>0</v>
      </c>
      <c r="AI167" s="13"/>
      <c r="AJ167" s="5"/>
      <c r="AL167" s="5"/>
      <c r="AM167" s="5">
        <v>77137.826086956513</v>
      </c>
      <c r="AN167" s="5">
        <f t="shared" si="35"/>
        <v>0</v>
      </c>
      <c r="AO167" s="5"/>
      <c r="AP167" s="5"/>
      <c r="AQ167" s="20">
        <v>0</v>
      </c>
      <c r="AR167" s="20"/>
      <c r="AT167" s="3">
        <v>4</v>
      </c>
      <c r="AV167" s="5">
        <f t="shared" si="41"/>
        <v>40</v>
      </c>
      <c r="AX167" s="38">
        <f t="shared" si="36"/>
        <v>0</v>
      </c>
      <c r="BA167" s="3">
        <v>0</v>
      </c>
      <c r="BB167" s="3">
        <v>44</v>
      </c>
      <c r="BC167" s="3">
        <v>110</v>
      </c>
      <c r="BD167" s="3">
        <f t="shared" si="42"/>
        <v>154</v>
      </c>
      <c r="BE167" s="3">
        <v>68</v>
      </c>
      <c r="BF167" s="3">
        <v>1</v>
      </c>
      <c r="BH167" s="3">
        <f t="shared" si="43"/>
        <v>285</v>
      </c>
      <c r="BJ167" s="38">
        <f t="shared" si="37"/>
        <v>0</v>
      </c>
      <c r="BL167" s="3">
        <f t="shared" si="38"/>
        <v>80644.090909090897</v>
      </c>
    </row>
    <row r="168" spans="1:64" x14ac:dyDescent="0.35">
      <c r="A168" s="1" t="s">
        <v>531</v>
      </c>
      <c r="B168" s="1" t="str">
        <f t="shared" si="34"/>
        <v>Premium</v>
      </c>
      <c r="C168" s="1" t="s">
        <v>46</v>
      </c>
      <c r="D168" s="1" t="s">
        <v>114</v>
      </c>
      <c r="E168" s="1" t="s">
        <v>220</v>
      </c>
      <c r="F168" s="1" t="s">
        <v>221</v>
      </c>
      <c r="G168" s="1" t="s">
        <v>468</v>
      </c>
      <c r="H168" s="1" t="s">
        <v>51</v>
      </c>
      <c r="I168" s="1" t="s">
        <v>117</v>
      </c>
      <c r="J168" s="1" t="s">
        <v>118</v>
      </c>
      <c r="K168" s="1" t="s">
        <v>54</v>
      </c>
      <c r="L168" s="1" t="s">
        <v>70</v>
      </c>
      <c r="M168" s="1" t="s">
        <v>56</v>
      </c>
      <c r="N168" s="1" t="s">
        <v>57</v>
      </c>
      <c r="O168" s="1" t="s">
        <v>87</v>
      </c>
      <c r="P168" s="1" t="s">
        <v>223</v>
      </c>
      <c r="Q168" s="1" t="s">
        <v>127</v>
      </c>
      <c r="R168" s="1" t="s">
        <v>61</v>
      </c>
      <c r="S168" s="1"/>
      <c r="T168" s="2">
        <f t="shared" si="44"/>
        <v>54453.158281972261</v>
      </c>
      <c r="U168" s="13">
        <v>57579.738058551622</v>
      </c>
      <c r="V168" s="13">
        <v>0</v>
      </c>
      <c r="W168" s="13"/>
      <c r="X168" s="13"/>
      <c r="Y168" s="2">
        <f t="shared" si="46"/>
        <v>64990</v>
      </c>
      <c r="Z168" s="2">
        <v>64990</v>
      </c>
      <c r="AA168" s="5"/>
      <c r="AB168" s="5"/>
      <c r="AC168" s="14">
        <v>0</v>
      </c>
      <c r="AD168" s="5">
        <f t="shared" si="39"/>
        <v>50670.169491525427</v>
      </c>
      <c r="AE168" s="5"/>
      <c r="AF168" s="5">
        <f t="shared" si="40"/>
        <v>0</v>
      </c>
      <c r="AG168" s="5"/>
      <c r="AH168" s="13">
        <v>0</v>
      </c>
      <c r="AI168" s="13"/>
      <c r="AJ168" s="5"/>
      <c r="AL168" s="5"/>
      <c r="AM168" s="5">
        <v>64990</v>
      </c>
      <c r="AN168" s="5">
        <f t="shared" si="35"/>
        <v>0</v>
      </c>
      <c r="AO168" s="5"/>
      <c r="AP168" s="5"/>
      <c r="AQ168" s="20">
        <v>0</v>
      </c>
      <c r="AR168" s="20"/>
      <c r="AT168" s="3">
        <v>0</v>
      </c>
      <c r="AV168" s="5">
        <f t="shared" si="41"/>
        <v>0</v>
      </c>
      <c r="AX168" s="38">
        <f t="shared" si="36"/>
        <v>0</v>
      </c>
      <c r="BA168" s="3">
        <v>0</v>
      </c>
      <c r="BB168" s="3">
        <v>1</v>
      </c>
      <c r="BC168" s="3">
        <v>0</v>
      </c>
      <c r="BD168" s="3">
        <f t="shared" si="42"/>
        <v>1</v>
      </c>
      <c r="BE168" s="3">
        <v>6</v>
      </c>
      <c r="BF168" s="3">
        <v>0</v>
      </c>
      <c r="BH168" s="3">
        <f t="shared" si="43"/>
        <v>2</v>
      </c>
      <c r="BJ168" s="38">
        <f t="shared" si="37"/>
        <v>0</v>
      </c>
      <c r="BL168" s="3">
        <f t="shared" si="38"/>
        <v>67944.090909090912</v>
      </c>
    </row>
    <row r="169" spans="1:64" x14ac:dyDescent="0.35">
      <c r="A169" s="1" t="s">
        <v>532</v>
      </c>
      <c r="B169" s="1" t="str">
        <f t="shared" si="34"/>
        <v>Premium</v>
      </c>
      <c r="C169" s="1" t="s">
        <v>46</v>
      </c>
      <c r="D169" s="1" t="s">
        <v>114</v>
      </c>
      <c r="E169" s="1" t="s">
        <v>220</v>
      </c>
      <c r="F169" s="1" t="s">
        <v>221</v>
      </c>
      <c r="G169" s="1" t="s">
        <v>509</v>
      </c>
      <c r="H169" s="1" t="s">
        <v>51</v>
      </c>
      <c r="I169" s="1" t="s">
        <v>124</v>
      </c>
      <c r="J169" s="1" t="s">
        <v>199</v>
      </c>
      <c r="K169" s="1" t="s">
        <v>54</v>
      </c>
      <c r="L169" s="1" t="s">
        <v>70</v>
      </c>
      <c r="M169" s="1" t="s">
        <v>100</v>
      </c>
      <c r="N169" s="1" t="s">
        <v>57</v>
      </c>
      <c r="O169" s="1" t="s">
        <v>87</v>
      </c>
      <c r="P169" s="1" t="s">
        <v>223</v>
      </c>
      <c r="Q169" s="1" t="s">
        <v>127</v>
      </c>
      <c r="R169" s="1" t="s">
        <v>61</v>
      </c>
      <c r="S169" s="1"/>
      <c r="T169" s="2">
        <f t="shared" si="44"/>
        <v>58449.068644067796</v>
      </c>
      <c r="U169" s="13">
        <v>61805.084745762717</v>
      </c>
      <c r="V169" s="13">
        <v>0</v>
      </c>
      <c r="W169" s="13"/>
      <c r="X169" s="13"/>
      <c r="Y169" s="2">
        <f t="shared" si="46"/>
        <v>69759.130434782608</v>
      </c>
      <c r="Z169" s="2">
        <v>69190</v>
      </c>
      <c r="AA169" s="5"/>
      <c r="AB169" s="5"/>
      <c r="AC169" s="14">
        <v>0</v>
      </c>
      <c r="AD169" s="5">
        <f t="shared" si="39"/>
        <v>54388.47457627119</v>
      </c>
      <c r="AE169" s="5"/>
      <c r="AF169" s="5">
        <f t="shared" si="40"/>
        <v>0</v>
      </c>
      <c r="AG169" s="5"/>
      <c r="AH169" s="13">
        <v>0</v>
      </c>
      <c r="AI169" s="13"/>
      <c r="AJ169" s="5"/>
      <c r="AL169" s="5"/>
      <c r="AM169" s="5">
        <v>69759.130434782608</v>
      </c>
      <c r="AN169" s="5">
        <f t="shared" si="35"/>
        <v>0</v>
      </c>
      <c r="AO169" s="5"/>
      <c r="AP169" s="5"/>
      <c r="AQ169" s="20">
        <v>0</v>
      </c>
      <c r="AR169" s="20"/>
      <c r="AT169" s="3">
        <v>2</v>
      </c>
      <c r="AV169" s="5">
        <f t="shared" si="41"/>
        <v>20</v>
      </c>
      <c r="AX169" s="38">
        <f t="shared" si="36"/>
        <v>0</v>
      </c>
      <c r="BA169" s="3">
        <v>0</v>
      </c>
      <c r="BB169" s="3">
        <v>0</v>
      </c>
      <c r="BC169" s="3">
        <v>0</v>
      </c>
      <c r="BD169" s="3">
        <f t="shared" si="42"/>
        <v>0</v>
      </c>
      <c r="BE169" s="3">
        <v>0</v>
      </c>
      <c r="BF169" s="3">
        <v>0</v>
      </c>
      <c r="BH169" s="3">
        <f t="shared" si="43"/>
        <v>0</v>
      </c>
      <c r="BJ169" s="38">
        <f t="shared" si="37"/>
        <v>0</v>
      </c>
      <c r="BL169" s="3">
        <f t="shared" si="38"/>
        <v>72930</v>
      </c>
    </row>
    <row r="170" spans="1:64" x14ac:dyDescent="0.35">
      <c r="A170" s="1" t="s">
        <v>533</v>
      </c>
      <c r="B170" s="1" t="str">
        <f t="shared" si="34"/>
        <v>Premium</v>
      </c>
      <c r="C170" s="1" t="s">
        <v>46</v>
      </c>
      <c r="D170" s="1" t="s">
        <v>114</v>
      </c>
      <c r="E170" s="1" t="s">
        <v>220</v>
      </c>
      <c r="F170" s="1" t="s">
        <v>479</v>
      </c>
      <c r="G170" s="1" t="s">
        <v>516</v>
      </c>
      <c r="H170" s="1" t="s">
        <v>51</v>
      </c>
      <c r="I170" s="1" t="s">
        <v>124</v>
      </c>
      <c r="J170" s="1" t="s">
        <v>517</v>
      </c>
      <c r="K170" s="1" t="s">
        <v>54</v>
      </c>
      <c r="L170" s="1" t="s">
        <v>70</v>
      </c>
      <c r="M170" s="1" t="s">
        <v>100</v>
      </c>
      <c r="N170" s="1" t="s">
        <v>57</v>
      </c>
      <c r="O170" s="1" t="s">
        <v>87</v>
      </c>
      <c r="P170" s="1" t="s">
        <v>534</v>
      </c>
      <c r="Q170" s="1" t="s">
        <v>127</v>
      </c>
      <c r="R170" s="1" t="s">
        <v>61</v>
      </c>
      <c r="S170" s="1"/>
      <c r="T170" s="2">
        <f t="shared" si="44"/>
        <v>78751.382473035454</v>
      </c>
      <c r="U170" s="13">
        <v>83273.112480739612</v>
      </c>
      <c r="V170" s="13">
        <v>0</v>
      </c>
      <c r="W170" s="13"/>
      <c r="X170" s="13"/>
      <c r="Y170" s="2">
        <f t="shared" si="46"/>
        <v>93990</v>
      </c>
      <c r="Z170" s="2">
        <v>94190</v>
      </c>
      <c r="AA170" s="5"/>
      <c r="AB170" s="5"/>
      <c r="AC170" s="14">
        <v>0</v>
      </c>
      <c r="AD170" s="5">
        <f t="shared" si="39"/>
        <v>73280.338983050853</v>
      </c>
      <c r="AE170" s="5"/>
      <c r="AF170" s="5">
        <f t="shared" si="40"/>
        <v>0</v>
      </c>
      <c r="AG170" s="5"/>
      <c r="AH170" s="13">
        <v>0</v>
      </c>
      <c r="AI170" s="13"/>
      <c r="AJ170" s="5"/>
      <c r="AL170" s="5"/>
      <c r="AM170" s="5">
        <v>93990</v>
      </c>
      <c r="AN170" s="5">
        <f t="shared" si="35"/>
        <v>0</v>
      </c>
      <c r="AO170" s="5"/>
      <c r="AP170" s="5"/>
      <c r="AQ170" s="20">
        <v>0</v>
      </c>
      <c r="AR170" s="20"/>
      <c r="AT170" s="3">
        <v>1</v>
      </c>
      <c r="AV170" s="5">
        <f t="shared" si="41"/>
        <v>10</v>
      </c>
      <c r="AX170" s="38">
        <f t="shared" si="36"/>
        <v>0</v>
      </c>
      <c r="BA170" s="3">
        <v>1</v>
      </c>
      <c r="BB170" s="3">
        <v>0</v>
      </c>
      <c r="BC170" s="3">
        <v>0</v>
      </c>
      <c r="BD170" s="3">
        <f t="shared" si="42"/>
        <v>1</v>
      </c>
      <c r="BE170" s="3">
        <v>0</v>
      </c>
      <c r="BF170" s="3">
        <v>0</v>
      </c>
      <c r="BH170" s="3">
        <f t="shared" si="43"/>
        <v>2</v>
      </c>
      <c r="BJ170" s="38">
        <f t="shared" si="37"/>
        <v>0</v>
      </c>
      <c r="BL170" s="3">
        <f t="shared" si="38"/>
        <v>98262.272727272735</v>
      </c>
    </row>
    <row r="171" spans="1:64" x14ac:dyDescent="0.35">
      <c r="A171" s="1" t="s">
        <v>535</v>
      </c>
      <c r="B171" s="1" t="str">
        <f t="shared" si="34"/>
        <v>Premium</v>
      </c>
      <c r="C171" s="1" t="s">
        <v>46</v>
      </c>
      <c r="D171" s="1" t="s">
        <v>114</v>
      </c>
      <c r="E171" s="1" t="s">
        <v>220</v>
      </c>
      <c r="F171" s="1" t="s">
        <v>473</v>
      </c>
      <c r="G171" s="1" t="s">
        <v>511</v>
      </c>
      <c r="H171" s="1" t="s">
        <v>51</v>
      </c>
      <c r="I171" s="1" t="s">
        <v>124</v>
      </c>
      <c r="J171" s="1" t="s">
        <v>199</v>
      </c>
      <c r="K171" s="1" t="s">
        <v>54</v>
      </c>
      <c r="L171" s="1" t="s">
        <v>55</v>
      </c>
      <c r="M171" s="1" t="s">
        <v>100</v>
      </c>
      <c r="N171" s="1" t="s">
        <v>57</v>
      </c>
      <c r="O171" s="1" t="s">
        <v>87</v>
      </c>
      <c r="P171" s="1" t="s">
        <v>475</v>
      </c>
      <c r="Q171" s="1" t="s">
        <v>127</v>
      </c>
      <c r="R171" s="1" t="s">
        <v>61</v>
      </c>
      <c r="S171" s="1"/>
      <c r="T171" s="2">
        <f t="shared" si="44"/>
        <v>72172.283089368255</v>
      </c>
      <c r="U171" s="13">
        <v>76316.255778120176</v>
      </c>
      <c r="V171" s="13">
        <v>0</v>
      </c>
      <c r="W171" s="13"/>
      <c r="X171" s="13"/>
      <c r="Y171" s="2">
        <f t="shared" si="46"/>
        <v>86137.826086956484</v>
      </c>
      <c r="Z171" s="2">
        <v>86690</v>
      </c>
      <c r="AA171" s="5"/>
      <c r="AB171" s="5"/>
      <c r="AC171" s="14">
        <v>86690</v>
      </c>
      <c r="AD171" s="5">
        <v>0</v>
      </c>
      <c r="AE171" s="5"/>
      <c r="AF171" s="5">
        <f t="shared" si="40"/>
        <v>0</v>
      </c>
      <c r="AG171" s="5"/>
      <c r="AH171" s="13">
        <v>0</v>
      </c>
      <c r="AI171" s="13"/>
      <c r="AJ171" s="5"/>
      <c r="AL171" s="5"/>
      <c r="AM171" s="5">
        <v>86137.826086956484</v>
      </c>
      <c r="AN171" s="5">
        <f t="shared" si="35"/>
        <v>0</v>
      </c>
      <c r="AO171" s="5"/>
      <c r="AP171" s="5"/>
      <c r="AQ171" s="20">
        <v>0</v>
      </c>
      <c r="AR171" s="20"/>
      <c r="AT171" s="3">
        <v>7</v>
      </c>
      <c r="AV171" s="5">
        <f t="shared" si="41"/>
        <v>70</v>
      </c>
      <c r="AX171" s="38">
        <f t="shared" si="36"/>
        <v>0</v>
      </c>
      <c r="BA171" s="3">
        <v>10</v>
      </c>
      <c r="BB171" s="3">
        <v>0</v>
      </c>
      <c r="BC171" s="3">
        <v>35</v>
      </c>
      <c r="BD171" s="3">
        <f t="shared" si="42"/>
        <v>45</v>
      </c>
      <c r="BE171" s="3">
        <v>90</v>
      </c>
      <c r="BF171" s="3">
        <v>0</v>
      </c>
      <c r="BH171" s="3">
        <f t="shared" si="43"/>
        <v>84</v>
      </c>
      <c r="BJ171" s="38">
        <f t="shared" si="37"/>
        <v>0</v>
      </c>
      <c r="BL171" s="3">
        <f t="shared" si="38"/>
        <v>90053.181818181809</v>
      </c>
    </row>
    <row r="172" spans="1:64" x14ac:dyDescent="0.35">
      <c r="A172" s="1" t="s">
        <v>536</v>
      </c>
      <c r="B172" s="1" t="str">
        <f t="shared" si="34"/>
        <v>Premium</v>
      </c>
      <c r="C172" s="1" t="s">
        <v>46</v>
      </c>
      <c r="D172" s="1" t="s">
        <v>460</v>
      </c>
      <c r="E172" s="1" t="s">
        <v>220</v>
      </c>
      <c r="F172" s="1" t="s">
        <v>479</v>
      </c>
      <c r="G172" s="1" t="s">
        <v>520</v>
      </c>
      <c r="H172" s="1" t="s">
        <v>67</v>
      </c>
      <c r="I172" s="1" t="s">
        <v>154</v>
      </c>
      <c r="J172" s="1" t="s">
        <v>521</v>
      </c>
      <c r="K172" s="1" t="s">
        <v>54</v>
      </c>
      <c r="L172" s="1" t="s">
        <v>55</v>
      </c>
      <c r="M172" s="1" t="s">
        <v>100</v>
      </c>
      <c r="N172" s="1" t="s">
        <v>57</v>
      </c>
      <c r="O172" s="1" t="s">
        <v>87</v>
      </c>
      <c r="P172" s="1" t="s">
        <v>537</v>
      </c>
      <c r="Q172" s="1" t="s">
        <v>127</v>
      </c>
      <c r="R172" s="1" t="s">
        <v>61</v>
      </c>
      <c r="S172" s="1"/>
      <c r="T172" s="2">
        <f t="shared" si="44"/>
        <v>95632.637480739533</v>
      </c>
      <c r="U172" s="13">
        <v>101123.65177195679</v>
      </c>
      <c r="V172" s="13">
        <v>0</v>
      </c>
      <c r="W172" s="13"/>
      <c r="X172" s="13"/>
      <c r="Y172" s="2">
        <f t="shared" si="46"/>
        <v>114137.82608695644</v>
      </c>
      <c r="Z172" s="2">
        <v>114190</v>
      </c>
      <c r="AA172" s="5"/>
      <c r="AB172" s="5"/>
      <c r="AC172" s="14">
        <v>0</v>
      </c>
      <c r="AD172" s="5">
        <f t="shared" si="39"/>
        <v>88988.813559321992</v>
      </c>
      <c r="AE172" s="5"/>
      <c r="AF172" s="5">
        <f t="shared" si="40"/>
        <v>0</v>
      </c>
      <c r="AG172" s="5"/>
      <c r="AH172" s="13">
        <v>0</v>
      </c>
      <c r="AI172" s="13"/>
      <c r="AJ172" s="5"/>
      <c r="AL172" s="5"/>
      <c r="AM172" s="5">
        <v>114137.82608695644</v>
      </c>
      <c r="AN172" s="5">
        <f t="shared" si="35"/>
        <v>0</v>
      </c>
      <c r="AO172" s="5"/>
      <c r="AP172" s="5"/>
      <c r="AQ172" s="20">
        <v>0</v>
      </c>
      <c r="AR172" s="20"/>
      <c r="AT172" s="3">
        <v>1</v>
      </c>
      <c r="AV172" s="5">
        <f t="shared" si="41"/>
        <v>10</v>
      </c>
      <c r="AX172" s="38">
        <f t="shared" si="36"/>
        <v>0</v>
      </c>
      <c r="BA172" s="3">
        <v>0</v>
      </c>
      <c r="BB172" s="3">
        <v>8</v>
      </c>
      <c r="BC172" s="3">
        <v>-1</v>
      </c>
      <c r="BD172" s="3">
        <f t="shared" si="42"/>
        <v>7</v>
      </c>
      <c r="BE172" s="3">
        <v>168</v>
      </c>
      <c r="BF172" s="3">
        <v>0</v>
      </c>
      <c r="BH172" s="3">
        <f t="shared" si="43"/>
        <v>13</v>
      </c>
      <c r="BJ172" s="38">
        <f t="shared" si="37"/>
        <v>0</v>
      </c>
      <c r="BL172" s="3">
        <f t="shared" si="38"/>
        <v>119325.90909090902</v>
      </c>
    </row>
    <row r="173" spans="1:64" x14ac:dyDescent="0.35">
      <c r="A173" s="1" t="s">
        <v>538</v>
      </c>
      <c r="B173" s="1" t="str">
        <f t="shared" si="34"/>
        <v>Premium</v>
      </c>
      <c r="C173" s="1" t="s">
        <v>46</v>
      </c>
      <c r="D173" s="1" t="s">
        <v>80</v>
      </c>
      <c r="E173" s="1" t="s">
        <v>220</v>
      </c>
      <c r="F173" s="1" t="s">
        <v>479</v>
      </c>
      <c r="G173" s="1" t="s">
        <v>520</v>
      </c>
      <c r="H173" s="1" t="s">
        <v>84</v>
      </c>
      <c r="I173" s="1" t="s">
        <v>154</v>
      </c>
      <c r="J173" s="1" t="s">
        <v>539</v>
      </c>
      <c r="K173" s="1" t="s">
        <v>54</v>
      </c>
      <c r="L173" s="1" t="s">
        <v>55</v>
      </c>
      <c r="M173" s="1" t="s">
        <v>100</v>
      </c>
      <c r="N173" s="1" t="s">
        <v>57</v>
      </c>
      <c r="O173" s="1" t="s">
        <v>87</v>
      </c>
      <c r="P173" s="1" t="s">
        <v>537</v>
      </c>
      <c r="Q173" s="1" t="s">
        <v>127</v>
      </c>
      <c r="R173" s="1" t="s">
        <v>61</v>
      </c>
      <c r="S173" s="1">
        <v>1881</v>
      </c>
      <c r="T173" s="2">
        <f t="shared" si="44"/>
        <v>78426.780783898299</v>
      </c>
      <c r="U173" s="13">
        <v>82929.872881355943</v>
      </c>
      <c r="V173" s="13">
        <v>0</v>
      </c>
      <c r="W173" s="13"/>
      <c r="X173" s="13"/>
      <c r="Y173" s="2">
        <f t="shared" si="46"/>
        <v>91190.000000000015</v>
      </c>
      <c r="Z173" s="2">
        <v>91190</v>
      </c>
      <c r="AA173" s="5"/>
      <c r="AB173" s="5"/>
      <c r="AC173" s="14">
        <v>0</v>
      </c>
      <c r="AD173" s="5">
        <f t="shared" si="39"/>
        <v>71097.288135593248</v>
      </c>
      <c r="AE173" s="5"/>
      <c r="AF173" s="5">
        <f t="shared" si="40"/>
        <v>0</v>
      </c>
      <c r="AG173" s="5"/>
      <c r="AH173" s="13">
        <v>0</v>
      </c>
      <c r="AI173" s="13"/>
      <c r="AJ173" s="5"/>
      <c r="AL173" s="5"/>
      <c r="AM173" s="5">
        <v>91190.000000000015</v>
      </c>
      <c r="AN173" s="5">
        <f t="shared" si="35"/>
        <v>0</v>
      </c>
      <c r="AO173" s="5"/>
      <c r="AP173" s="5"/>
      <c r="AQ173" s="20">
        <v>0</v>
      </c>
      <c r="AR173" s="20"/>
      <c r="AT173" s="3">
        <v>3</v>
      </c>
      <c r="AV173" s="5">
        <f t="shared" si="41"/>
        <v>30</v>
      </c>
      <c r="AX173" s="38">
        <f t="shared" si="36"/>
        <v>0</v>
      </c>
      <c r="BA173" s="3">
        <v>3</v>
      </c>
      <c r="BB173" s="3">
        <v>12</v>
      </c>
      <c r="BC173" s="3">
        <v>0</v>
      </c>
      <c r="BD173" s="3">
        <f t="shared" si="42"/>
        <v>15</v>
      </c>
      <c r="BE173" s="3">
        <v>7</v>
      </c>
      <c r="BF173" s="3">
        <v>10</v>
      </c>
      <c r="BH173" s="3">
        <f t="shared" si="43"/>
        <v>28</v>
      </c>
      <c r="BJ173" s="38">
        <f t="shared" si="37"/>
        <v>0</v>
      </c>
      <c r="BL173" s="3">
        <f t="shared" si="38"/>
        <v>97857.250000000015</v>
      </c>
    </row>
    <row r="174" spans="1:64" x14ac:dyDescent="0.35">
      <c r="A174" s="1" t="s">
        <v>540</v>
      </c>
      <c r="B174" s="1" t="str">
        <f t="shared" si="34"/>
        <v>Mainstream</v>
      </c>
      <c r="C174" s="1" t="s">
        <v>46</v>
      </c>
      <c r="D174" s="1" t="s">
        <v>80</v>
      </c>
      <c r="E174" s="1" t="s">
        <v>81</v>
      </c>
      <c r="F174" s="1" t="s">
        <v>82</v>
      </c>
      <c r="G174" s="1" t="s">
        <v>268</v>
      </c>
      <c r="H174" s="1" t="s">
        <v>84</v>
      </c>
      <c r="I174" s="1" t="s">
        <v>68</v>
      </c>
      <c r="J174" s="1" t="s">
        <v>168</v>
      </c>
      <c r="K174" s="1" t="s">
        <v>54</v>
      </c>
      <c r="L174" s="1" t="s">
        <v>70</v>
      </c>
      <c r="M174" s="1" t="s">
        <v>56</v>
      </c>
      <c r="N174" s="1" t="s">
        <v>57</v>
      </c>
      <c r="O174" s="1" t="s">
        <v>87</v>
      </c>
      <c r="P174" s="1" t="s">
        <v>88</v>
      </c>
      <c r="Q174" s="1" t="s">
        <v>89</v>
      </c>
      <c r="R174" s="1" t="s">
        <v>61</v>
      </c>
      <c r="S174" s="1">
        <v>725</v>
      </c>
      <c r="T174" s="2">
        <v>52048.3808840524</v>
      </c>
      <c r="U174" s="13">
        <v>55036.883667180286</v>
      </c>
      <c r="V174" s="13">
        <v>0</v>
      </c>
      <c r="W174" s="13">
        <v>5384</v>
      </c>
      <c r="X174" s="13"/>
      <c r="Y174" s="2">
        <f>(U174*0.89-S174-V174-W174-X174)*1.18/0.92</f>
        <v>54990.342638339927</v>
      </c>
      <c r="Z174" s="18">
        <f>AC174</f>
        <v>54990</v>
      </c>
      <c r="AA174" s="5"/>
      <c r="AB174" s="5"/>
      <c r="AC174" s="14">
        <v>54990</v>
      </c>
      <c r="AD174" s="5">
        <f t="shared" si="39"/>
        <v>0.26714175655353634</v>
      </c>
      <c r="AE174" s="5" t="s">
        <v>90</v>
      </c>
      <c r="AF174" s="5">
        <f t="shared" si="40"/>
        <v>5384</v>
      </c>
      <c r="AG174" s="5"/>
      <c r="AH174" s="13">
        <v>0</v>
      </c>
      <c r="AI174" s="13">
        <v>4833.8983050847528</v>
      </c>
      <c r="AJ174" s="5"/>
      <c r="AL174" s="5"/>
      <c r="AM174" s="5">
        <v>54989.999999999993</v>
      </c>
      <c r="AN174" s="5">
        <f t="shared" si="35"/>
        <v>0.34263833993463777</v>
      </c>
      <c r="AO174" s="5"/>
      <c r="AP174" s="5">
        <f t="shared" ref="AP174:AP223" si="47">U174-AL174</f>
        <v>55036.883667180286</v>
      </c>
      <c r="AQ174" s="20">
        <v>0</v>
      </c>
      <c r="AR174" s="20">
        <v>4833.8983050847528</v>
      </c>
      <c r="AT174" s="3">
        <v>0</v>
      </c>
      <c r="AV174" s="5">
        <f t="shared" si="41"/>
        <v>0</v>
      </c>
      <c r="AX174" s="38">
        <f t="shared" si="36"/>
        <v>0</v>
      </c>
      <c r="BA174" s="3">
        <v>0</v>
      </c>
      <c r="BB174" s="3">
        <v>0</v>
      </c>
      <c r="BC174" s="3">
        <v>0</v>
      </c>
      <c r="BD174" s="3">
        <f t="shared" si="42"/>
        <v>0</v>
      </c>
      <c r="BE174" s="3">
        <v>2</v>
      </c>
      <c r="BF174" s="3">
        <v>0</v>
      </c>
      <c r="BH174" s="3">
        <f t="shared" si="43"/>
        <v>0</v>
      </c>
      <c r="BJ174" s="38">
        <f t="shared" si="37"/>
        <v>0</v>
      </c>
      <c r="BL174" s="3">
        <f t="shared" si="38"/>
        <v>64943.522727272735</v>
      </c>
    </row>
    <row r="175" spans="1:64" x14ac:dyDescent="0.35">
      <c r="A175" s="1" t="s">
        <v>541</v>
      </c>
      <c r="B175" s="1" t="str">
        <f t="shared" si="34"/>
        <v>Mainstream</v>
      </c>
      <c r="C175" s="1" t="s">
        <v>46</v>
      </c>
      <c r="D175" s="1" t="s">
        <v>80</v>
      </c>
      <c r="E175" s="1" t="s">
        <v>81</v>
      </c>
      <c r="F175" s="1" t="s">
        <v>82</v>
      </c>
      <c r="G175" s="1" t="s">
        <v>268</v>
      </c>
      <c r="H175" s="1" t="s">
        <v>84</v>
      </c>
      <c r="I175" s="1" t="s">
        <v>68</v>
      </c>
      <c r="J175" s="1" t="s">
        <v>168</v>
      </c>
      <c r="K175" s="1" t="s">
        <v>54</v>
      </c>
      <c r="L175" s="1" t="s">
        <v>70</v>
      </c>
      <c r="M175" s="1" t="s">
        <v>56</v>
      </c>
      <c r="N175" s="1" t="s">
        <v>57</v>
      </c>
      <c r="O175" s="1" t="s">
        <v>87</v>
      </c>
      <c r="P175" s="1" t="s">
        <v>88</v>
      </c>
      <c r="Q175" s="1" t="s">
        <v>89</v>
      </c>
      <c r="R175" s="1" t="s">
        <v>61</v>
      </c>
      <c r="S175" s="1">
        <v>725</v>
      </c>
      <c r="T175" s="2">
        <v>52048.3808840524</v>
      </c>
      <c r="U175" s="13">
        <v>55036.883667180286</v>
      </c>
      <c r="V175" s="13">
        <v>0</v>
      </c>
      <c r="W175" s="13">
        <v>5384</v>
      </c>
      <c r="X175" s="13"/>
      <c r="Y175" s="2">
        <f>(U175*0.89-S175-V175-W175-X175)*1.18/0.92</f>
        <v>54990.342638339927</v>
      </c>
      <c r="Z175" s="18">
        <f>AC175</f>
        <v>54990</v>
      </c>
      <c r="AA175" s="5"/>
      <c r="AB175" s="5"/>
      <c r="AC175" s="14">
        <v>54990</v>
      </c>
      <c r="AD175" s="5">
        <f t="shared" si="39"/>
        <v>0.26714175655353634</v>
      </c>
      <c r="AE175" s="5" t="s">
        <v>90</v>
      </c>
      <c r="AF175" s="5">
        <f t="shared" si="40"/>
        <v>5384</v>
      </c>
      <c r="AG175" s="5"/>
      <c r="AH175" s="13">
        <v>0</v>
      </c>
      <c r="AI175" s="13">
        <v>4833.8983050847528</v>
      </c>
      <c r="AJ175" s="5"/>
      <c r="AL175" s="5"/>
      <c r="AM175" s="5">
        <v>54989.999999999993</v>
      </c>
      <c r="AN175" s="5">
        <f t="shared" si="35"/>
        <v>0.34263833993463777</v>
      </c>
      <c r="AO175" s="5"/>
      <c r="AP175" s="5">
        <f t="shared" si="47"/>
        <v>55036.883667180286</v>
      </c>
      <c r="AQ175" s="20">
        <v>0</v>
      </c>
      <c r="AR175" s="20">
        <v>4833.8983050847528</v>
      </c>
      <c r="AT175" s="3">
        <v>0</v>
      </c>
      <c r="AV175" s="5">
        <f t="shared" si="41"/>
        <v>0</v>
      </c>
      <c r="AX175" s="38">
        <f t="shared" si="36"/>
        <v>0</v>
      </c>
      <c r="BA175" s="3">
        <v>0</v>
      </c>
      <c r="BB175" s="3">
        <v>0</v>
      </c>
      <c r="BC175" s="3">
        <v>0</v>
      </c>
      <c r="BD175" s="3">
        <f t="shared" si="42"/>
        <v>0</v>
      </c>
      <c r="BE175" s="3">
        <v>0</v>
      </c>
      <c r="BF175" s="3">
        <v>0</v>
      </c>
      <c r="BH175" s="3">
        <f t="shared" si="43"/>
        <v>0</v>
      </c>
      <c r="BJ175" s="38">
        <f t="shared" si="37"/>
        <v>0</v>
      </c>
      <c r="BL175" s="3">
        <f t="shared" si="38"/>
        <v>64943.522727272735</v>
      </c>
    </row>
    <row r="176" spans="1:64" x14ac:dyDescent="0.35">
      <c r="A176" s="1" t="s">
        <v>542</v>
      </c>
      <c r="B176" s="1" t="str">
        <f t="shared" si="34"/>
        <v>Premium</v>
      </c>
      <c r="C176" s="1" t="s">
        <v>46</v>
      </c>
      <c r="D176" s="1" t="s">
        <v>47</v>
      </c>
      <c r="E176" s="1" t="s">
        <v>48</v>
      </c>
      <c r="F176" s="1" t="s">
        <v>193</v>
      </c>
      <c r="G176" s="1" t="s">
        <v>543</v>
      </c>
      <c r="H176" s="1" t="s">
        <v>51</v>
      </c>
      <c r="I176" s="1" t="s">
        <v>108</v>
      </c>
      <c r="J176" s="1" t="s">
        <v>109</v>
      </c>
      <c r="K176" s="1" t="s">
        <v>54</v>
      </c>
      <c r="L176" s="1" t="s">
        <v>55</v>
      </c>
      <c r="M176" s="1" t="s">
        <v>100</v>
      </c>
      <c r="N176" s="1" t="s">
        <v>200</v>
      </c>
      <c r="O176" s="1" t="s">
        <v>58</v>
      </c>
      <c r="P176" s="1" t="s">
        <v>195</v>
      </c>
      <c r="Q176" s="1" t="s">
        <v>338</v>
      </c>
      <c r="R176" s="1" t="s">
        <v>61</v>
      </c>
      <c r="S176" s="1">
        <v>2457</v>
      </c>
      <c r="T176" s="2">
        <f>U176*0.98*0.965</f>
        <v>106374.30754406778</v>
      </c>
      <c r="U176" s="13">
        <v>112482.08474576271</v>
      </c>
      <c r="V176" s="13">
        <v>0</v>
      </c>
      <c r="W176" s="13">
        <v>10772.319322033902</v>
      </c>
      <c r="X176" s="13"/>
      <c r="Y176" s="2">
        <f>(U176*0.88-S176-V176-W176-X176)*1.18/0.92</f>
        <v>109990</v>
      </c>
      <c r="Z176" s="1">
        <v>109990</v>
      </c>
      <c r="AA176" s="5"/>
      <c r="AB176" s="5"/>
      <c r="AC176" s="14">
        <v>109990</v>
      </c>
      <c r="AD176" s="5">
        <f t="shared" si="39"/>
        <v>0</v>
      </c>
      <c r="AE176" s="5"/>
      <c r="AF176" s="5">
        <f t="shared" si="40"/>
        <v>10772.319322033902</v>
      </c>
      <c r="AG176" s="5"/>
      <c r="AH176" s="13">
        <v>0</v>
      </c>
      <c r="AI176" s="13">
        <v>10772.319322033902</v>
      </c>
      <c r="AJ176" s="5"/>
      <c r="AL176" s="5"/>
      <c r="AM176" s="5">
        <v>109990</v>
      </c>
      <c r="AN176" s="5">
        <f t="shared" si="35"/>
        <v>0</v>
      </c>
      <c r="AO176" s="5"/>
      <c r="AP176" s="5">
        <f t="shared" si="47"/>
        <v>112482.08474576271</v>
      </c>
      <c r="AQ176" s="20">
        <v>0</v>
      </c>
      <c r="AR176" s="20">
        <v>10772.319322033902</v>
      </c>
      <c r="AT176" s="3">
        <v>3</v>
      </c>
      <c r="AV176" s="5">
        <f t="shared" si="41"/>
        <v>30</v>
      </c>
      <c r="AX176" s="38">
        <f t="shared" si="36"/>
        <v>323169.57966101705</v>
      </c>
      <c r="BA176" s="3">
        <v>0</v>
      </c>
      <c r="BB176" s="3">
        <v>0</v>
      </c>
      <c r="BC176" s="3">
        <v>0</v>
      </c>
      <c r="BD176" s="3">
        <f t="shared" si="42"/>
        <v>0</v>
      </c>
      <c r="BE176" s="3">
        <v>0</v>
      </c>
      <c r="BF176" s="3">
        <v>0</v>
      </c>
      <c r="BH176" s="3">
        <f t="shared" si="43"/>
        <v>0</v>
      </c>
      <c r="BJ176" s="38">
        <f t="shared" si="37"/>
        <v>0</v>
      </c>
      <c r="BL176" s="3">
        <f t="shared" si="38"/>
        <v>132728.85999999999</v>
      </c>
    </row>
    <row r="177" spans="1:64" x14ac:dyDescent="0.35">
      <c r="A177" s="1" t="s">
        <v>544</v>
      </c>
      <c r="B177" s="1" t="str">
        <f t="shared" si="34"/>
        <v>Premium</v>
      </c>
      <c r="C177" s="1" t="s">
        <v>46</v>
      </c>
      <c r="D177" s="1" t="s">
        <v>47</v>
      </c>
      <c r="E177" s="1" t="s">
        <v>48</v>
      </c>
      <c r="F177" s="1" t="s">
        <v>193</v>
      </c>
      <c r="G177" s="1" t="s">
        <v>543</v>
      </c>
      <c r="H177" s="1" t="s">
        <v>51</v>
      </c>
      <c r="I177" s="1" t="s">
        <v>108</v>
      </c>
      <c r="J177" s="1" t="s">
        <v>545</v>
      </c>
      <c r="K177" s="1" t="s">
        <v>54</v>
      </c>
      <c r="L177" s="1" t="s">
        <v>55</v>
      </c>
      <c r="M177" s="1" t="s">
        <v>56</v>
      </c>
      <c r="N177" s="1" t="s">
        <v>57</v>
      </c>
      <c r="O177" s="1" t="s">
        <v>58</v>
      </c>
      <c r="P177" s="1" t="s">
        <v>341</v>
      </c>
      <c r="Q177" s="1" t="s">
        <v>342</v>
      </c>
      <c r="R177" s="1" t="s">
        <v>61</v>
      </c>
      <c r="S177" s="1">
        <v>2457</v>
      </c>
      <c r="T177" s="2">
        <f>U177*0.98*0.965</f>
        <v>106374.30754406778</v>
      </c>
      <c r="U177" s="13">
        <v>112482.08474576271</v>
      </c>
      <c r="V177" s="13">
        <v>0</v>
      </c>
      <c r="W177" s="13">
        <v>10772.319322033902</v>
      </c>
      <c r="X177" s="13"/>
      <c r="Y177" s="2">
        <f>(U177*0.88-S177-V177-W177-X177)*1.18/0.92</f>
        <v>109990</v>
      </c>
      <c r="Z177" s="1">
        <v>109990</v>
      </c>
      <c r="AA177" s="5"/>
      <c r="AB177" s="5"/>
      <c r="AC177" s="14">
        <v>109990</v>
      </c>
      <c r="AD177" s="5">
        <f t="shared" si="39"/>
        <v>0</v>
      </c>
      <c r="AE177" s="5"/>
      <c r="AF177" s="5">
        <f t="shared" si="40"/>
        <v>10772.319322033902</v>
      </c>
      <c r="AG177" s="5"/>
      <c r="AH177" s="13">
        <v>0</v>
      </c>
      <c r="AI177" s="13">
        <v>10772.319322033902</v>
      </c>
      <c r="AJ177" s="5"/>
      <c r="AL177" s="5"/>
      <c r="AM177" s="5">
        <v>109990</v>
      </c>
      <c r="AN177" s="5">
        <f t="shared" si="35"/>
        <v>0</v>
      </c>
      <c r="AO177" s="5"/>
      <c r="AP177" s="5">
        <f t="shared" si="47"/>
        <v>112482.08474576271</v>
      </c>
      <c r="AQ177" s="20">
        <v>0</v>
      </c>
      <c r="AR177" s="20">
        <v>10772.319322033902</v>
      </c>
      <c r="AT177" s="3">
        <v>1</v>
      </c>
      <c r="AV177" s="5">
        <f t="shared" si="41"/>
        <v>10</v>
      </c>
      <c r="AX177" s="38">
        <f t="shared" si="36"/>
        <v>107723.19322033902</v>
      </c>
      <c r="BA177" s="3">
        <v>0</v>
      </c>
      <c r="BB177" s="3">
        <v>2</v>
      </c>
      <c r="BC177" s="3">
        <v>3</v>
      </c>
      <c r="BD177" s="3">
        <f t="shared" si="42"/>
        <v>5</v>
      </c>
      <c r="BE177" s="3">
        <v>12</v>
      </c>
      <c r="BF177" s="3">
        <v>0</v>
      </c>
      <c r="BH177" s="3">
        <f t="shared" si="43"/>
        <v>10</v>
      </c>
      <c r="BJ177" s="38">
        <f t="shared" si="37"/>
        <v>0</v>
      </c>
      <c r="BL177" s="3">
        <f t="shared" si="38"/>
        <v>132728.85999999999</v>
      </c>
    </row>
    <row r="178" spans="1:64" x14ac:dyDescent="0.35">
      <c r="A178" s="1" t="s">
        <v>546</v>
      </c>
      <c r="B178" s="1" t="str">
        <f t="shared" si="34"/>
        <v>Mainstream</v>
      </c>
      <c r="C178" s="1" t="s">
        <v>46</v>
      </c>
      <c r="D178" s="1" t="s">
        <v>80</v>
      </c>
      <c r="E178" s="1" t="s">
        <v>81</v>
      </c>
      <c r="F178" s="1" t="s">
        <v>82</v>
      </c>
      <c r="G178" s="1" t="s">
        <v>268</v>
      </c>
      <c r="H178" s="1" t="s">
        <v>84</v>
      </c>
      <c r="I178" s="1" t="s">
        <v>68</v>
      </c>
      <c r="J178" s="1" t="s">
        <v>168</v>
      </c>
      <c r="K178" s="1" t="s">
        <v>92</v>
      </c>
      <c r="L178" s="1" t="s">
        <v>70</v>
      </c>
      <c r="M178" s="1" t="s">
        <v>56</v>
      </c>
      <c r="N178" s="1" t="s">
        <v>57</v>
      </c>
      <c r="O178" s="1" t="s">
        <v>87</v>
      </c>
      <c r="P178" s="1" t="s">
        <v>88</v>
      </c>
      <c r="Q178" s="1" t="s">
        <v>89</v>
      </c>
      <c r="R178" s="1" t="s">
        <v>61</v>
      </c>
      <c r="S178" s="1">
        <v>725</v>
      </c>
      <c r="T178" s="2">
        <v>48696.901685285047</v>
      </c>
      <c r="U178" s="13">
        <v>51492.969953775035</v>
      </c>
      <c r="V178" s="13">
        <v>0</v>
      </c>
      <c r="W178" s="13">
        <v>5349</v>
      </c>
      <c r="X178" s="13"/>
      <c r="Y178" s="2">
        <f>(U178*0.89-S178-V178-W178-X178)*1.18/0.92</f>
        <v>50989.779397233193</v>
      </c>
      <c r="Z178" s="18">
        <f>AC178</f>
        <v>50990</v>
      </c>
      <c r="AA178" s="5"/>
      <c r="AB178" s="5"/>
      <c r="AC178" s="14">
        <v>50990</v>
      </c>
      <c r="AD178" s="5">
        <f t="shared" si="39"/>
        <v>-0.17199537751064597</v>
      </c>
      <c r="AE178" s="5" t="s">
        <v>90</v>
      </c>
      <c r="AF178" s="5">
        <f t="shared" si="40"/>
        <v>5349</v>
      </c>
      <c r="AG178" s="5"/>
      <c r="AH178" s="13">
        <v>0</v>
      </c>
      <c r="AI178" s="13">
        <v>4833.8983050847382</v>
      </c>
      <c r="AJ178" s="5"/>
      <c r="AL178" s="5"/>
      <c r="AM178" s="5">
        <v>50990</v>
      </c>
      <c r="AN178" s="5">
        <f t="shared" si="35"/>
        <v>-0.22060276680713287</v>
      </c>
      <c r="AO178" s="5"/>
      <c r="AP178" s="5">
        <f t="shared" si="47"/>
        <v>51492.969953775035</v>
      </c>
      <c r="AQ178" s="20">
        <v>0</v>
      </c>
      <c r="AR178" s="20">
        <v>4833.8983050847382</v>
      </c>
      <c r="AT178" s="3">
        <v>286</v>
      </c>
      <c r="AV178" s="5">
        <f t="shared" si="41"/>
        <v>2860</v>
      </c>
      <c r="AX178" s="38">
        <f t="shared" si="36"/>
        <v>15298140</v>
      </c>
      <c r="BA178" s="3">
        <v>0</v>
      </c>
      <c r="BB178" s="3">
        <v>0</v>
      </c>
      <c r="BC178" s="3">
        <v>0</v>
      </c>
      <c r="BD178" s="3">
        <f t="shared" si="42"/>
        <v>0</v>
      </c>
      <c r="BE178" s="3">
        <v>25</v>
      </c>
      <c r="BF178" s="3">
        <v>0</v>
      </c>
      <c r="BH178" s="3">
        <f t="shared" si="43"/>
        <v>0</v>
      </c>
      <c r="BJ178" s="38">
        <f t="shared" si="37"/>
        <v>0</v>
      </c>
      <c r="BL178" s="3">
        <f t="shared" si="38"/>
        <v>60761.704545454537</v>
      </c>
    </row>
    <row r="179" spans="1:64" x14ac:dyDescent="0.35">
      <c r="A179" s="1" t="s">
        <v>547</v>
      </c>
      <c r="B179" s="1" t="str">
        <f t="shared" si="34"/>
        <v>Mainstream</v>
      </c>
      <c r="C179" s="1" t="s">
        <v>46</v>
      </c>
      <c r="D179" s="1" t="s">
        <v>80</v>
      </c>
      <c r="E179" s="1" t="s">
        <v>81</v>
      </c>
      <c r="F179" s="1" t="s">
        <v>82</v>
      </c>
      <c r="G179" s="1" t="s">
        <v>268</v>
      </c>
      <c r="H179" s="1" t="s">
        <v>84</v>
      </c>
      <c r="I179" s="1" t="s">
        <v>68</v>
      </c>
      <c r="J179" s="1" t="s">
        <v>168</v>
      </c>
      <c r="K179" s="1" t="s">
        <v>92</v>
      </c>
      <c r="L179" s="1" t="s">
        <v>70</v>
      </c>
      <c r="M179" s="1" t="s">
        <v>56</v>
      </c>
      <c r="N179" s="1" t="s">
        <v>57</v>
      </c>
      <c r="O179" s="1" t="s">
        <v>87</v>
      </c>
      <c r="P179" s="1" t="s">
        <v>88</v>
      </c>
      <c r="Q179" s="1" t="s">
        <v>89</v>
      </c>
      <c r="R179" s="1" t="s">
        <v>61</v>
      </c>
      <c r="S179" s="1">
        <v>725</v>
      </c>
      <c r="T179" s="2">
        <v>48800</v>
      </c>
      <c r="U179" s="13">
        <v>51602.474576271197</v>
      </c>
      <c r="V179" s="13">
        <v>0</v>
      </c>
      <c r="W179" s="13">
        <v>5446</v>
      </c>
      <c r="X179" s="13"/>
      <c r="Y179" s="2">
        <f>(U179*0.89-S179-V179-W179-X179)*1.18/0.92</f>
        <v>50990.368260869574</v>
      </c>
      <c r="Z179" s="18">
        <f>AC179</f>
        <v>50990</v>
      </c>
      <c r="AA179" s="5"/>
      <c r="AB179" s="5"/>
      <c r="AC179" s="14">
        <v>50990</v>
      </c>
      <c r="AD179" s="5">
        <f t="shared" si="39"/>
        <v>0.28711864407498872</v>
      </c>
      <c r="AE179" s="5" t="s">
        <v>90</v>
      </c>
      <c r="AF179" s="5">
        <f t="shared" si="40"/>
        <v>5446</v>
      </c>
      <c r="AG179" s="5"/>
      <c r="AH179" s="13">
        <v>0</v>
      </c>
      <c r="AI179" s="13">
        <v>4930.2623728813633</v>
      </c>
      <c r="AJ179" s="5"/>
      <c r="AL179" s="5"/>
      <c r="AM179" s="5">
        <v>50990</v>
      </c>
      <c r="AN179" s="5">
        <f t="shared" si="35"/>
        <v>0.36826086957444204</v>
      </c>
      <c r="AO179" s="5"/>
      <c r="AP179" s="5">
        <f t="shared" si="47"/>
        <v>51602.474576271197</v>
      </c>
      <c r="AQ179" s="20">
        <v>0</v>
      </c>
      <c r="AR179" s="20">
        <v>4930.2623728813633</v>
      </c>
      <c r="AT179" s="3">
        <v>3</v>
      </c>
      <c r="AV179" s="5">
        <f t="shared" si="41"/>
        <v>30</v>
      </c>
      <c r="AX179" s="38">
        <f t="shared" si="36"/>
        <v>163380</v>
      </c>
      <c r="BA179" s="3">
        <v>1</v>
      </c>
      <c r="BB179" s="3">
        <v>-1</v>
      </c>
      <c r="BC179" s="3">
        <v>0</v>
      </c>
      <c r="BD179" s="3">
        <f t="shared" si="42"/>
        <v>0</v>
      </c>
      <c r="BE179" s="3">
        <v>1</v>
      </c>
      <c r="BF179" s="3">
        <v>8</v>
      </c>
      <c r="BH179" s="3">
        <f t="shared" si="43"/>
        <v>0</v>
      </c>
      <c r="BJ179" s="38">
        <f t="shared" si="37"/>
        <v>0</v>
      </c>
      <c r="BL179" s="3">
        <f t="shared" si="38"/>
        <v>60890.920000000013</v>
      </c>
    </row>
    <row r="180" spans="1:64" x14ac:dyDescent="0.35">
      <c r="A180" s="1" t="s">
        <v>548</v>
      </c>
      <c r="B180" s="1" t="str">
        <f t="shared" si="34"/>
        <v>Mainstream</v>
      </c>
      <c r="C180" s="1" t="s">
        <v>79</v>
      </c>
      <c r="D180" s="1" t="s">
        <v>80</v>
      </c>
      <c r="E180" s="1" t="s">
        <v>81</v>
      </c>
      <c r="F180" s="1" t="s">
        <v>82</v>
      </c>
      <c r="G180" s="1" t="s">
        <v>83</v>
      </c>
      <c r="H180" s="1" t="s">
        <v>84</v>
      </c>
      <c r="I180" s="1" t="s">
        <v>85</v>
      </c>
      <c r="J180" s="1" t="s">
        <v>274</v>
      </c>
      <c r="K180" s="1" t="s">
        <v>92</v>
      </c>
      <c r="L180" s="1" t="s">
        <v>70</v>
      </c>
      <c r="M180" s="1" t="s">
        <v>100</v>
      </c>
      <c r="N180" s="1" t="s">
        <v>57</v>
      </c>
      <c r="O180" s="1" t="s">
        <v>87</v>
      </c>
      <c r="P180" s="1" t="s">
        <v>161</v>
      </c>
      <c r="Q180" s="1" t="s">
        <v>165</v>
      </c>
      <c r="R180" s="1" t="s">
        <v>73</v>
      </c>
      <c r="S180" s="1">
        <v>0</v>
      </c>
      <c r="T180" s="2">
        <v>37390.488135593223</v>
      </c>
      <c r="U180" s="13">
        <v>38932.203389830509</v>
      </c>
      <c r="V180" s="13">
        <v>1695</v>
      </c>
      <c r="W180" s="13">
        <v>2161.271186440681</v>
      </c>
      <c r="X180" s="13"/>
      <c r="Y180" s="2">
        <f>(U180*0.98-S180-V180-W180-X180)*1.18/0.92</f>
        <v>43989.999999999993</v>
      </c>
      <c r="Z180" s="18">
        <f>AC180</f>
        <v>43990</v>
      </c>
      <c r="AA180" s="5" t="s">
        <v>90</v>
      </c>
      <c r="AB180" s="5"/>
      <c r="AC180" s="14">
        <v>43990</v>
      </c>
      <c r="AD180" s="5">
        <f t="shared" si="39"/>
        <v>-5.6727805127531806E-12</v>
      </c>
      <c r="AE180" s="5"/>
      <c r="AF180" s="5">
        <f t="shared" si="40"/>
        <v>2161.271186440681</v>
      </c>
      <c r="AG180" s="5"/>
      <c r="AH180" s="13">
        <v>1695</v>
      </c>
      <c r="AI180" s="13">
        <v>2161.271186440681</v>
      </c>
      <c r="AJ180" s="5"/>
      <c r="AL180" s="5"/>
      <c r="AM180" s="5">
        <v>43989.999999999993</v>
      </c>
      <c r="AN180" s="5">
        <f t="shared" si="35"/>
        <v>0</v>
      </c>
      <c r="AO180" s="5"/>
      <c r="AP180" s="5">
        <f t="shared" si="47"/>
        <v>38932.203389830509</v>
      </c>
      <c r="AQ180" s="20">
        <v>1695</v>
      </c>
      <c r="AR180" s="20">
        <v>2161.271186440681</v>
      </c>
      <c r="AT180" s="3">
        <v>6</v>
      </c>
      <c r="AV180" s="5">
        <f t="shared" si="41"/>
        <v>60</v>
      </c>
      <c r="AX180" s="38">
        <f t="shared" si="36"/>
        <v>129676.27118644086</v>
      </c>
      <c r="BA180" s="3">
        <v>0</v>
      </c>
      <c r="BB180" s="3">
        <v>0</v>
      </c>
      <c r="BC180" s="3">
        <v>0</v>
      </c>
      <c r="BD180" s="3">
        <f t="shared" si="42"/>
        <v>0</v>
      </c>
      <c r="BE180" s="3">
        <v>2</v>
      </c>
      <c r="BF180" s="3">
        <v>0</v>
      </c>
      <c r="BH180" s="3">
        <f t="shared" si="43"/>
        <v>0</v>
      </c>
      <c r="BJ180" s="38">
        <f t="shared" si="37"/>
        <v>0</v>
      </c>
      <c r="BL180" s="3">
        <f t="shared" si="38"/>
        <v>45940</v>
      </c>
    </row>
    <row r="181" spans="1:64" x14ac:dyDescent="0.35">
      <c r="A181" s="1" t="s">
        <v>549</v>
      </c>
      <c r="B181" s="1" t="str">
        <f t="shared" si="34"/>
        <v>Premium</v>
      </c>
      <c r="C181" s="1" t="s">
        <v>46</v>
      </c>
      <c r="D181" s="1" t="s">
        <v>171</v>
      </c>
      <c r="E181" s="1" t="s">
        <v>48</v>
      </c>
      <c r="F181" s="1" t="s">
        <v>193</v>
      </c>
      <c r="G181" s="1" t="s">
        <v>194</v>
      </c>
      <c r="H181" s="1" t="s">
        <v>51</v>
      </c>
      <c r="I181" s="1" t="s">
        <v>52</v>
      </c>
      <c r="J181" s="1" t="s">
        <v>53</v>
      </c>
      <c r="K181" s="1" t="s">
        <v>227</v>
      </c>
      <c r="L181" s="1" t="s">
        <v>55</v>
      </c>
      <c r="M181" s="1" t="s">
        <v>56</v>
      </c>
      <c r="N181" s="1" t="s">
        <v>200</v>
      </c>
      <c r="O181" s="1" t="s">
        <v>230</v>
      </c>
      <c r="P181" s="1" t="s">
        <v>195</v>
      </c>
      <c r="Q181" s="1" t="s">
        <v>196</v>
      </c>
      <c r="R181" s="7" t="s">
        <v>61</v>
      </c>
      <c r="S181" s="1">
        <v>2457</v>
      </c>
      <c r="T181" s="2">
        <f>U181*0.98*0.965</f>
        <v>115671.01940847459</v>
      </c>
      <c r="U181" s="13">
        <v>122312.593220339</v>
      </c>
      <c r="V181" s="13">
        <v>0</v>
      </c>
      <c r="W181" s="13">
        <v>11626.5566101695</v>
      </c>
      <c r="X181" s="13"/>
      <c r="Y181" s="2">
        <f>(U181*0.88-S181-V181-W181-X181)*1.18/0.92</f>
        <v>119990</v>
      </c>
      <c r="Z181" s="1">
        <v>119990</v>
      </c>
      <c r="AA181" s="5"/>
      <c r="AB181" s="5"/>
      <c r="AC181" s="14">
        <v>119990</v>
      </c>
      <c r="AD181" s="5">
        <f t="shared" si="39"/>
        <v>0</v>
      </c>
      <c r="AE181" s="5"/>
      <c r="AF181" s="5">
        <f t="shared" si="40"/>
        <v>11626.5566101695</v>
      </c>
      <c r="AG181" s="5"/>
      <c r="AH181" s="13">
        <v>0</v>
      </c>
      <c r="AI181" s="13">
        <v>11626.5566101695</v>
      </c>
      <c r="AJ181" s="5"/>
      <c r="AL181" s="5"/>
      <c r="AM181" s="5">
        <v>119990</v>
      </c>
      <c r="AN181" s="5">
        <f t="shared" si="35"/>
        <v>0</v>
      </c>
      <c r="AO181" s="5"/>
      <c r="AP181" s="5">
        <f t="shared" si="47"/>
        <v>122312.593220339</v>
      </c>
      <c r="AQ181" s="20">
        <v>0</v>
      </c>
      <c r="AR181" s="20">
        <v>11626.5566101695</v>
      </c>
      <c r="AT181" s="3">
        <v>2</v>
      </c>
      <c r="AV181" s="5">
        <f t="shared" si="41"/>
        <v>20</v>
      </c>
      <c r="AX181" s="38">
        <f t="shared" si="36"/>
        <v>232531.13220339001</v>
      </c>
      <c r="BA181" s="3">
        <v>0</v>
      </c>
      <c r="BB181" s="3">
        <v>36</v>
      </c>
      <c r="BC181" s="3">
        <v>0</v>
      </c>
      <c r="BD181" s="3">
        <f t="shared" si="42"/>
        <v>36</v>
      </c>
      <c r="BE181" s="3">
        <v>28</v>
      </c>
      <c r="BF181" s="3">
        <v>0</v>
      </c>
      <c r="BH181" s="3">
        <f t="shared" si="43"/>
        <v>67</v>
      </c>
      <c r="BJ181" s="38">
        <f t="shared" si="37"/>
        <v>0</v>
      </c>
      <c r="BL181" s="3">
        <f t="shared" si="38"/>
        <v>144328.86000000002</v>
      </c>
    </row>
    <row r="182" spans="1:64" x14ac:dyDescent="0.35">
      <c r="A182" s="1" t="s">
        <v>550</v>
      </c>
      <c r="B182" s="1" t="str">
        <f t="shared" si="34"/>
        <v>Mainstream</v>
      </c>
      <c r="C182" s="1" t="s">
        <v>79</v>
      </c>
      <c r="D182" s="1" t="s">
        <v>80</v>
      </c>
      <c r="E182" s="1" t="s">
        <v>81</v>
      </c>
      <c r="F182" s="1" t="s">
        <v>82</v>
      </c>
      <c r="G182" s="1" t="s">
        <v>83</v>
      </c>
      <c r="H182" s="1" t="s">
        <v>84</v>
      </c>
      <c r="I182" s="1" t="s">
        <v>85</v>
      </c>
      <c r="J182" s="1" t="s">
        <v>276</v>
      </c>
      <c r="K182" s="1" t="s">
        <v>92</v>
      </c>
      <c r="L182" s="1" t="s">
        <v>70</v>
      </c>
      <c r="M182" s="1" t="s">
        <v>100</v>
      </c>
      <c r="N182" s="1" t="s">
        <v>200</v>
      </c>
      <c r="O182" s="1" t="s">
        <v>87</v>
      </c>
      <c r="P182" s="1" t="s">
        <v>161</v>
      </c>
      <c r="Q182" s="1" t="s">
        <v>165</v>
      </c>
      <c r="R182" s="1" t="s">
        <v>73</v>
      </c>
      <c r="S182" s="1">
        <v>0</v>
      </c>
      <c r="T182" s="2">
        <v>37390.488135593223</v>
      </c>
      <c r="U182" s="13">
        <v>38932.203389830509</v>
      </c>
      <c r="V182" s="13">
        <v>1695</v>
      </c>
      <c r="W182" s="13">
        <v>2161.271186440681</v>
      </c>
      <c r="X182" s="13"/>
      <c r="Y182" s="2">
        <f>(U182*0.98-S182-V182-W182-X182)*1.18/0.92</f>
        <v>43989.999999999993</v>
      </c>
      <c r="Z182" s="18">
        <f>AC182</f>
        <v>43990</v>
      </c>
      <c r="AA182" s="5" t="s">
        <v>90</v>
      </c>
      <c r="AB182" s="5"/>
      <c r="AC182" s="14">
        <v>43990</v>
      </c>
      <c r="AD182" s="5">
        <f t="shared" si="39"/>
        <v>-5.6727805127531806E-12</v>
      </c>
      <c r="AE182" s="5"/>
      <c r="AF182" s="5">
        <f t="shared" si="40"/>
        <v>2161.271186440681</v>
      </c>
      <c r="AG182" s="5"/>
      <c r="AH182" s="13">
        <v>1695</v>
      </c>
      <c r="AI182" s="13">
        <v>2161.271186440681</v>
      </c>
      <c r="AJ182" s="5"/>
      <c r="AL182" s="5"/>
      <c r="AM182" s="5">
        <v>43989.999999999993</v>
      </c>
      <c r="AN182" s="5">
        <f t="shared" si="35"/>
        <v>0</v>
      </c>
      <c r="AO182" s="5"/>
      <c r="AP182" s="5">
        <f t="shared" si="47"/>
        <v>38932.203389830509</v>
      </c>
      <c r="AQ182" s="20">
        <v>1695</v>
      </c>
      <c r="AR182" s="20">
        <v>2161.271186440681</v>
      </c>
      <c r="AT182" s="3">
        <v>4</v>
      </c>
      <c r="AV182" s="5">
        <f t="shared" si="41"/>
        <v>40</v>
      </c>
      <c r="AX182" s="38">
        <f t="shared" si="36"/>
        <v>86450.847457627242</v>
      </c>
      <c r="BA182" s="3">
        <v>0</v>
      </c>
      <c r="BB182" s="3">
        <v>0</v>
      </c>
      <c r="BC182" s="3">
        <v>0</v>
      </c>
      <c r="BD182" s="3">
        <f t="shared" si="42"/>
        <v>0</v>
      </c>
      <c r="BE182" s="3">
        <v>0</v>
      </c>
      <c r="BF182" s="3">
        <v>0</v>
      </c>
      <c r="BH182" s="3">
        <f t="shared" si="43"/>
        <v>0</v>
      </c>
      <c r="BJ182" s="38">
        <f t="shared" si="37"/>
        <v>0</v>
      </c>
      <c r="BL182" s="3">
        <f t="shared" si="38"/>
        <v>45940</v>
      </c>
    </row>
    <row r="183" spans="1:64" x14ac:dyDescent="0.35">
      <c r="A183" s="1" t="s">
        <v>551</v>
      </c>
      <c r="B183" s="1" t="str">
        <f t="shared" si="34"/>
        <v>Mainstream</v>
      </c>
      <c r="C183" s="1" t="s">
        <v>79</v>
      </c>
      <c r="D183" s="1" t="s">
        <v>210</v>
      </c>
      <c r="E183" s="1" t="s">
        <v>81</v>
      </c>
      <c r="F183" s="1" t="s">
        <v>82</v>
      </c>
      <c r="G183" s="1" t="s">
        <v>552</v>
      </c>
      <c r="H183" s="1" t="s">
        <v>212</v>
      </c>
      <c r="I183" s="1" t="s">
        <v>85</v>
      </c>
      <c r="J183" s="1" t="s">
        <v>310</v>
      </c>
      <c r="K183" s="1" t="s">
        <v>92</v>
      </c>
      <c r="L183" s="1" t="s">
        <v>70</v>
      </c>
      <c r="M183" s="1" t="s">
        <v>56</v>
      </c>
      <c r="N183" s="1" t="s">
        <v>57</v>
      </c>
      <c r="O183" s="1" t="s">
        <v>87</v>
      </c>
      <c r="P183" s="1" t="s">
        <v>553</v>
      </c>
      <c r="Q183" s="1" t="s">
        <v>89</v>
      </c>
      <c r="R183" s="1" t="s">
        <v>61</v>
      </c>
      <c r="S183" s="1"/>
      <c r="T183" s="2">
        <v>32850.732813559327</v>
      </c>
      <c r="U183" s="13">
        <v>34736.94915254238</v>
      </c>
      <c r="V183" s="13">
        <v>1140.63050847458</v>
      </c>
      <c r="W183" s="13">
        <v>3275</v>
      </c>
      <c r="X183" s="13"/>
      <c r="Y183" s="2">
        <f>(U183*0.89-S183-V183-W183-X183)*1.18/0.92</f>
        <v>33989.456521739135</v>
      </c>
      <c r="Z183" s="18">
        <f>AC183</f>
        <v>33990</v>
      </c>
      <c r="AA183" s="5" t="s">
        <v>90</v>
      </c>
      <c r="AB183" s="5"/>
      <c r="AC183" s="14">
        <v>33990</v>
      </c>
      <c r="AD183" s="5">
        <f t="shared" si="39"/>
        <v>-0.42372881355537578</v>
      </c>
      <c r="AE183" s="5"/>
      <c r="AF183" s="5">
        <f t="shared" si="40"/>
        <v>3275</v>
      </c>
      <c r="AG183" s="5"/>
      <c r="AH183" s="13">
        <v>1140.63050847458</v>
      </c>
      <c r="AI183" s="13">
        <v>4054</v>
      </c>
      <c r="AJ183" s="5"/>
      <c r="AL183" s="5"/>
      <c r="AM183" s="5">
        <v>32990</v>
      </c>
      <c r="AN183" s="5">
        <f t="shared" si="35"/>
        <v>999.4565217391355</v>
      </c>
      <c r="AO183" s="5"/>
      <c r="AP183" s="5">
        <f t="shared" si="47"/>
        <v>34736.94915254238</v>
      </c>
      <c r="AQ183" s="20">
        <v>1140.63050847458</v>
      </c>
      <c r="AR183" s="20">
        <v>4054.237288135595</v>
      </c>
      <c r="AT183" s="3">
        <v>0</v>
      </c>
      <c r="AV183" s="5">
        <f t="shared" si="41"/>
        <v>0</v>
      </c>
      <c r="AX183" s="38">
        <f t="shared" si="36"/>
        <v>0</v>
      </c>
      <c r="BA183" s="3">
        <v>0</v>
      </c>
      <c r="BB183" s="3">
        <v>0</v>
      </c>
      <c r="BC183" s="3">
        <v>0</v>
      </c>
      <c r="BD183" s="3">
        <f t="shared" si="42"/>
        <v>0</v>
      </c>
      <c r="BE183" s="3">
        <v>0</v>
      </c>
      <c r="BF183" s="3">
        <v>0</v>
      </c>
      <c r="BH183" s="3">
        <f t="shared" si="43"/>
        <v>0</v>
      </c>
      <c r="BJ183" s="38">
        <f t="shared" si="37"/>
        <v>0</v>
      </c>
      <c r="BL183" s="3">
        <f t="shared" si="38"/>
        <v>40989.600000000006</v>
      </c>
    </row>
    <row r="184" spans="1:64" x14ac:dyDescent="0.35">
      <c r="A184" s="1" t="s">
        <v>554</v>
      </c>
      <c r="B184" s="1" t="str">
        <f t="shared" si="34"/>
        <v>Mainstream</v>
      </c>
      <c r="C184" s="1" t="s">
        <v>79</v>
      </c>
      <c r="D184" s="1" t="s">
        <v>210</v>
      </c>
      <c r="E184" s="1" t="s">
        <v>81</v>
      </c>
      <c r="F184" s="1" t="s">
        <v>82</v>
      </c>
      <c r="G184" s="1" t="s">
        <v>83</v>
      </c>
      <c r="H184" s="1" t="s">
        <v>212</v>
      </c>
      <c r="I184" s="1" t="s">
        <v>85</v>
      </c>
      <c r="J184" s="1" t="s">
        <v>310</v>
      </c>
      <c r="K184" s="1" t="s">
        <v>92</v>
      </c>
      <c r="L184" s="1" t="s">
        <v>70</v>
      </c>
      <c r="M184" s="1" t="s">
        <v>56</v>
      </c>
      <c r="N184" s="1" t="s">
        <v>57</v>
      </c>
      <c r="O184" s="1" t="s">
        <v>87</v>
      </c>
      <c r="P184" s="1" t="s">
        <v>88</v>
      </c>
      <c r="Q184" s="1" t="s">
        <v>89</v>
      </c>
      <c r="R184" s="7" t="s">
        <v>61</v>
      </c>
      <c r="S184" s="1">
        <v>725</v>
      </c>
      <c r="T184" s="2">
        <v>33652.862730508466</v>
      </c>
      <c r="U184" s="13">
        <v>35585.135593220337</v>
      </c>
      <c r="V184" s="13">
        <v>390.85542372880809</v>
      </c>
      <c r="W184" s="13">
        <v>3275</v>
      </c>
      <c r="X184" s="13"/>
      <c r="Y184" s="2">
        <f>(U184*0.89-S184-V184-W184-X184)*1.18/0.92</f>
        <v>34989.456521739135</v>
      </c>
      <c r="Z184" s="18">
        <f>AC184</f>
        <v>34990</v>
      </c>
      <c r="AA184" s="5" t="s">
        <v>90</v>
      </c>
      <c r="AB184" s="5"/>
      <c r="AC184" s="14">
        <v>34990</v>
      </c>
      <c r="AD184" s="5">
        <f t="shared" si="39"/>
        <v>-0.42372881355537578</v>
      </c>
      <c r="AE184" s="5"/>
      <c r="AF184" s="5">
        <f t="shared" si="40"/>
        <v>3275</v>
      </c>
      <c r="AG184" s="5"/>
      <c r="AH184" s="13">
        <v>390.85542372880809</v>
      </c>
      <c r="AI184" s="13">
        <v>4054</v>
      </c>
      <c r="AJ184" s="5"/>
      <c r="AL184" s="5"/>
      <c r="AM184" s="5">
        <v>33990</v>
      </c>
      <c r="AN184" s="5">
        <f t="shared" si="35"/>
        <v>999.4565217391355</v>
      </c>
      <c r="AO184" s="5"/>
      <c r="AP184" s="5">
        <f t="shared" si="47"/>
        <v>35585.135593220337</v>
      </c>
      <c r="AQ184" s="20">
        <v>390.85542372880809</v>
      </c>
      <c r="AR184" s="20">
        <v>4054.2372881355986</v>
      </c>
      <c r="AT184" s="3">
        <v>0</v>
      </c>
      <c r="AV184" s="5">
        <f t="shared" si="41"/>
        <v>0</v>
      </c>
      <c r="AX184" s="38">
        <f t="shared" si="36"/>
        <v>0</v>
      </c>
      <c r="BA184" s="3">
        <v>0</v>
      </c>
      <c r="BB184" s="3">
        <v>0</v>
      </c>
      <c r="BC184" s="3">
        <v>0</v>
      </c>
      <c r="BD184" s="3">
        <f t="shared" si="42"/>
        <v>0</v>
      </c>
      <c r="BE184" s="3">
        <v>0</v>
      </c>
      <c r="BF184" s="3">
        <v>0</v>
      </c>
      <c r="BH184" s="3">
        <f t="shared" si="43"/>
        <v>0</v>
      </c>
      <c r="BJ184" s="38">
        <f t="shared" si="37"/>
        <v>0</v>
      </c>
      <c r="BL184" s="3">
        <f t="shared" si="38"/>
        <v>41990.459999999992</v>
      </c>
    </row>
    <row r="185" spans="1:64" x14ac:dyDescent="0.35">
      <c r="A185" s="1" t="s">
        <v>555</v>
      </c>
      <c r="B185" s="1" t="str">
        <f t="shared" si="34"/>
        <v>Mainstream</v>
      </c>
      <c r="C185" s="1" t="s">
        <v>79</v>
      </c>
      <c r="D185" s="1" t="s">
        <v>210</v>
      </c>
      <c r="E185" s="1" t="s">
        <v>81</v>
      </c>
      <c r="F185" s="1" t="s">
        <v>82</v>
      </c>
      <c r="G185" s="1" t="s">
        <v>83</v>
      </c>
      <c r="H185" s="1" t="s">
        <v>212</v>
      </c>
      <c r="I185" s="1" t="s">
        <v>85</v>
      </c>
      <c r="J185" s="1" t="s">
        <v>556</v>
      </c>
      <c r="K185" s="1" t="s">
        <v>92</v>
      </c>
      <c r="L185" s="1" t="s">
        <v>70</v>
      </c>
      <c r="M185" s="1" t="s">
        <v>100</v>
      </c>
      <c r="N185" s="1" t="s">
        <v>200</v>
      </c>
      <c r="O185" s="1" t="s">
        <v>87</v>
      </c>
      <c r="P185" s="1" t="s">
        <v>88</v>
      </c>
      <c r="Q185" s="1" t="s">
        <v>89</v>
      </c>
      <c r="R185" s="1" t="s">
        <v>61</v>
      </c>
      <c r="S185" s="1">
        <v>0</v>
      </c>
      <c r="T185" s="2">
        <v>32901.447979661018</v>
      </c>
      <c r="U185" s="13">
        <v>34790.576271186437</v>
      </c>
      <c r="V185" s="13">
        <v>408.69762711863586</v>
      </c>
      <c r="W185" s="13">
        <v>3275</v>
      </c>
      <c r="X185" s="13"/>
      <c r="Y185" s="2">
        <f>(U185*0.89-S185-V185-W185-X185)*1.18/0.92</f>
        <v>34989.456521739135</v>
      </c>
      <c r="Z185" s="18">
        <f>AC185</f>
        <v>34990</v>
      </c>
      <c r="AA185" s="5" t="s">
        <v>90</v>
      </c>
      <c r="AB185" s="5"/>
      <c r="AC185" s="14">
        <v>34990</v>
      </c>
      <c r="AD185" s="5">
        <f t="shared" si="39"/>
        <v>-0.42372881355537578</v>
      </c>
      <c r="AE185" s="5"/>
      <c r="AF185" s="5">
        <f t="shared" si="40"/>
        <v>3275</v>
      </c>
      <c r="AG185" s="5"/>
      <c r="AH185" s="13">
        <v>408.69762711863586</v>
      </c>
      <c r="AI185" s="13">
        <v>4054</v>
      </c>
      <c r="AJ185" s="5"/>
      <c r="AL185" s="5"/>
      <c r="AM185" s="5">
        <v>33990</v>
      </c>
      <c r="AN185" s="5">
        <f t="shared" si="35"/>
        <v>999.4565217391355</v>
      </c>
      <c r="AO185" s="5"/>
      <c r="AP185" s="5">
        <f t="shared" si="47"/>
        <v>34790.576271186437</v>
      </c>
      <c r="AQ185" s="20">
        <v>408.69762711863586</v>
      </c>
      <c r="AR185" s="20">
        <v>4054.2372881355986</v>
      </c>
      <c r="AT185" s="3">
        <v>0</v>
      </c>
      <c r="AV185" s="5">
        <f t="shared" si="41"/>
        <v>0</v>
      </c>
      <c r="AX185" s="38">
        <f t="shared" si="36"/>
        <v>0</v>
      </c>
      <c r="BA185" s="3">
        <v>0</v>
      </c>
      <c r="BB185" s="3">
        <v>0</v>
      </c>
      <c r="BC185" s="3">
        <v>0</v>
      </c>
      <c r="BD185" s="3">
        <f t="shared" si="42"/>
        <v>0</v>
      </c>
      <c r="BE185" s="3">
        <v>1</v>
      </c>
      <c r="BF185" s="3">
        <v>0</v>
      </c>
      <c r="BH185" s="3">
        <f t="shared" si="43"/>
        <v>0</v>
      </c>
      <c r="BJ185" s="38">
        <f t="shared" si="37"/>
        <v>0</v>
      </c>
      <c r="BL185" s="3">
        <f t="shared" si="38"/>
        <v>41052.879999999997</v>
      </c>
    </row>
    <row r="186" spans="1:64" x14ac:dyDescent="0.35">
      <c r="A186" s="1" t="s">
        <v>557</v>
      </c>
      <c r="B186" s="1" t="str">
        <f t="shared" si="34"/>
        <v>Premium</v>
      </c>
      <c r="C186" s="1" t="s">
        <v>46</v>
      </c>
      <c r="D186" s="1" t="s">
        <v>171</v>
      </c>
      <c r="E186" s="1" t="s">
        <v>48</v>
      </c>
      <c r="F186" s="1" t="s">
        <v>193</v>
      </c>
      <c r="G186" s="1" t="s">
        <v>543</v>
      </c>
      <c r="H186" s="1" t="s">
        <v>51</v>
      </c>
      <c r="I186" s="1" t="s">
        <v>108</v>
      </c>
      <c r="J186" s="1" t="s">
        <v>545</v>
      </c>
      <c r="K186" s="1" t="s">
        <v>227</v>
      </c>
      <c r="L186" s="1" t="s">
        <v>55</v>
      </c>
      <c r="M186" s="1" t="s">
        <v>56</v>
      </c>
      <c r="N186" s="1" t="s">
        <v>57</v>
      </c>
      <c r="O186" s="1" t="s">
        <v>230</v>
      </c>
      <c r="P186" s="1" t="s">
        <v>341</v>
      </c>
      <c r="Q186" s="1" t="s">
        <v>342</v>
      </c>
      <c r="R186" s="1" t="s">
        <v>61</v>
      </c>
      <c r="S186" s="1">
        <v>2457</v>
      </c>
      <c r="T186" s="2">
        <f>U186*0.98*0.965</f>
        <v>120319.37534067797</v>
      </c>
      <c r="U186" s="13">
        <v>127227.84745762713</v>
      </c>
      <c r="V186" s="13">
        <v>0</v>
      </c>
      <c r="W186" s="13">
        <v>12053.675254237285</v>
      </c>
      <c r="X186" s="13"/>
      <c r="Y186" s="2">
        <f>(U186*0.88-S186-V186-W186-X186)*1.18/0.92</f>
        <v>124990</v>
      </c>
      <c r="Z186" s="1">
        <v>124990</v>
      </c>
      <c r="AA186" s="5"/>
      <c r="AB186" s="5"/>
      <c r="AC186" s="14">
        <v>124990</v>
      </c>
      <c r="AD186" s="5">
        <f t="shared" si="39"/>
        <v>0</v>
      </c>
      <c r="AE186" s="5"/>
      <c r="AF186" s="5">
        <f t="shared" si="40"/>
        <v>12053.675254237285</v>
      </c>
      <c r="AG186" s="5"/>
      <c r="AH186" s="13">
        <v>0</v>
      </c>
      <c r="AI186" s="13">
        <v>12053.675254237285</v>
      </c>
      <c r="AJ186" s="5"/>
      <c r="AL186" s="5"/>
      <c r="AM186" s="5">
        <v>124990</v>
      </c>
      <c r="AN186" s="5">
        <f t="shared" si="35"/>
        <v>0</v>
      </c>
      <c r="AO186" s="5"/>
      <c r="AP186" s="5">
        <f t="shared" si="47"/>
        <v>127227.84745762713</v>
      </c>
      <c r="AQ186" s="20">
        <v>0</v>
      </c>
      <c r="AR186" s="20">
        <v>12053.675254237285</v>
      </c>
      <c r="AT186" s="3">
        <v>0</v>
      </c>
      <c r="AV186" s="5">
        <f t="shared" si="41"/>
        <v>0</v>
      </c>
      <c r="AX186" s="38">
        <f t="shared" si="36"/>
        <v>0</v>
      </c>
      <c r="BA186" s="3">
        <v>0</v>
      </c>
      <c r="BB186" s="3">
        <v>0</v>
      </c>
      <c r="BC186" s="3">
        <v>0</v>
      </c>
      <c r="BD186" s="3">
        <f t="shared" si="42"/>
        <v>0</v>
      </c>
      <c r="BE186" s="3">
        <v>0</v>
      </c>
      <c r="BF186" s="3">
        <v>0</v>
      </c>
      <c r="BH186" s="3">
        <f t="shared" si="43"/>
        <v>0</v>
      </c>
      <c r="BJ186" s="38">
        <f t="shared" si="37"/>
        <v>0</v>
      </c>
      <c r="BL186" s="3">
        <f t="shared" si="38"/>
        <v>150128.85999999999</v>
      </c>
    </row>
    <row r="187" spans="1:64" x14ac:dyDescent="0.35">
      <c r="A187" s="1" t="s">
        <v>558</v>
      </c>
      <c r="B187" s="1" t="str">
        <f t="shared" si="34"/>
        <v>Premium</v>
      </c>
      <c r="C187" s="1" t="s">
        <v>46</v>
      </c>
      <c r="D187" s="1" t="s">
        <v>171</v>
      </c>
      <c r="E187" s="1" t="s">
        <v>48</v>
      </c>
      <c r="F187" s="1" t="s">
        <v>193</v>
      </c>
      <c r="G187" s="1" t="s">
        <v>543</v>
      </c>
      <c r="H187" s="1" t="s">
        <v>51</v>
      </c>
      <c r="I187" s="1" t="s">
        <v>108</v>
      </c>
      <c r="J187" s="1" t="s">
        <v>559</v>
      </c>
      <c r="K187" s="1" t="s">
        <v>227</v>
      </c>
      <c r="L187" s="1" t="s">
        <v>55</v>
      </c>
      <c r="M187" s="1" t="s">
        <v>100</v>
      </c>
      <c r="N187" s="1" t="s">
        <v>57</v>
      </c>
      <c r="O187" s="1" t="s">
        <v>230</v>
      </c>
      <c r="P187" s="1" t="s">
        <v>341</v>
      </c>
      <c r="Q187" s="1" t="s">
        <v>342</v>
      </c>
      <c r="R187" s="1" t="s">
        <v>61</v>
      </c>
      <c r="S187" s="1">
        <v>2457</v>
      </c>
      <c r="T187" s="2">
        <f>U187*0.98*0.965</f>
        <v>120319.37534067797</v>
      </c>
      <c r="U187" s="13">
        <v>127227.84745762713</v>
      </c>
      <c r="V187" s="13">
        <v>0</v>
      </c>
      <c r="W187" s="13">
        <v>12053.675254237285</v>
      </c>
      <c r="X187" s="13"/>
      <c r="Y187" s="2">
        <f>(U187*0.88-S187-V187-W187-X187)*1.18/0.92</f>
        <v>124990</v>
      </c>
      <c r="Z187" s="1">
        <v>124990</v>
      </c>
      <c r="AA187" s="5"/>
      <c r="AB187" s="5"/>
      <c r="AC187" s="14">
        <v>124990</v>
      </c>
      <c r="AD187" s="5">
        <f t="shared" si="39"/>
        <v>0</v>
      </c>
      <c r="AE187" s="5"/>
      <c r="AF187" s="5">
        <f t="shared" si="40"/>
        <v>12053.675254237285</v>
      </c>
      <c r="AG187" s="5"/>
      <c r="AH187" s="13">
        <v>0</v>
      </c>
      <c r="AI187" s="13">
        <v>12053.675254237285</v>
      </c>
      <c r="AJ187" s="5"/>
      <c r="AL187" s="5"/>
      <c r="AM187" s="5">
        <v>124990</v>
      </c>
      <c r="AN187" s="5">
        <f t="shared" si="35"/>
        <v>0</v>
      </c>
      <c r="AO187" s="5"/>
      <c r="AP187" s="5">
        <f t="shared" si="47"/>
        <v>127227.84745762713</v>
      </c>
      <c r="AQ187" s="20">
        <v>0</v>
      </c>
      <c r="AR187" s="20">
        <v>12053.675254237285</v>
      </c>
      <c r="AT187" s="3">
        <v>1</v>
      </c>
      <c r="AV187" s="5">
        <f t="shared" si="41"/>
        <v>10</v>
      </c>
      <c r="AX187" s="38">
        <f t="shared" si="36"/>
        <v>120536.75254237285</v>
      </c>
      <c r="BA187" s="3">
        <v>0</v>
      </c>
      <c r="BB187" s="3">
        <v>0</v>
      </c>
      <c r="BC187" s="3">
        <v>0</v>
      </c>
      <c r="BD187" s="3">
        <f t="shared" si="42"/>
        <v>0</v>
      </c>
      <c r="BE187" s="3">
        <v>22</v>
      </c>
      <c r="BF187" s="3">
        <v>0</v>
      </c>
      <c r="BH187" s="3">
        <f t="shared" si="43"/>
        <v>0</v>
      </c>
      <c r="BJ187" s="38">
        <f t="shared" si="37"/>
        <v>0</v>
      </c>
      <c r="BL187" s="3">
        <f t="shared" si="38"/>
        <v>150128.85999999999</v>
      </c>
    </row>
    <row r="188" spans="1:64" x14ac:dyDescent="0.35">
      <c r="A188" s="1" t="s">
        <v>560</v>
      </c>
      <c r="B188" s="1" t="str">
        <f t="shared" si="34"/>
        <v>Premium</v>
      </c>
      <c r="C188" s="1" t="s">
        <v>46</v>
      </c>
      <c r="D188" s="1" t="s">
        <v>64</v>
      </c>
      <c r="E188" s="1" t="s">
        <v>48</v>
      </c>
      <c r="F188" s="1" t="s">
        <v>193</v>
      </c>
      <c r="G188" s="1" t="s">
        <v>340</v>
      </c>
      <c r="H188" s="1" t="s">
        <v>67</v>
      </c>
      <c r="I188" s="1" t="s">
        <v>68</v>
      </c>
      <c r="J188" s="1" t="s">
        <v>69</v>
      </c>
      <c r="K188" s="1" t="s">
        <v>227</v>
      </c>
      <c r="L188" s="1" t="s">
        <v>55</v>
      </c>
      <c r="M188" s="1" t="s">
        <v>100</v>
      </c>
      <c r="N188" s="1" t="s">
        <v>57</v>
      </c>
      <c r="O188" s="1" t="s">
        <v>230</v>
      </c>
      <c r="P188" s="1" t="s">
        <v>59</v>
      </c>
      <c r="Q188" s="1" t="s">
        <v>342</v>
      </c>
      <c r="R188" s="1" t="s">
        <v>61</v>
      </c>
      <c r="S188" s="1">
        <v>2457</v>
      </c>
      <c r="T188" s="2">
        <f>U188*0.98*0.965</f>
        <v>137951.07025593222</v>
      </c>
      <c r="U188" s="13">
        <v>145871.9152542373</v>
      </c>
      <c r="V188" s="13">
        <v>0</v>
      </c>
      <c r="W188" s="13">
        <v>12867.234576271192</v>
      </c>
      <c r="X188" s="13"/>
      <c r="Y188" s="2">
        <f>(U188*0.88-S188-V188-W188-X188)*1.18/0.92</f>
        <v>144989.99999999997</v>
      </c>
      <c r="Z188" s="1">
        <v>144990</v>
      </c>
      <c r="AA188" s="5"/>
      <c r="AB188" s="5"/>
      <c r="AC188" s="14">
        <v>144990</v>
      </c>
      <c r="AD188" s="5">
        <f t="shared" si="39"/>
        <v>-2.2691122051012722E-11</v>
      </c>
      <c r="AE188" s="5"/>
      <c r="AF188" s="5">
        <f t="shared" si="40"/>
        <v>12867.234576271192</v>
      </c>
      <c r="AG188" s="5"/>
      <c r="AH188" s="13">
        <v>0</v>
      </c>
      <c r="AI188" s="13">
        <v>12867.234576271192</v>
      </c>
      <c r="AJ188" s="5"/>
      <c r="AL188" s="5"/>
      <c r="AM188" s="5">
        <v>144989.99999999997</v>
      </c>
      <c r="AN188" s="5">
        <f t="shared" si="35"/>
        <v>0</v>
      </c>
      <c r="AO188" s="5"/>
      <c r="AP188" s="5">
        <f t="shared" si="47"/>
        <v>145871.9152542373</v>
      </c>
      <c r="AQ188" s="20">
        <v>0</v>
      </c>
      <c r="AR188" s="20">
        <v>12867.234576271192</v>
      </c>
      <c r="AT188" s="3">
        <v>0</v>
      </c>
      <c r="AV188" s="5">
        <f t="shared" si="41"/>
        <v>0</v>
      </c>
      <c r="AX188" s="38">
        <f t="shared" si="36"/>
        <v>0</v>
      </c>
      <c r="BA188" s="3">
        <v>2</v>
      </c>
      <c r="BB188" s="3">
        <v>3</v>
      </c>
      <c r="BC188" s="3">
        <v>0</v>
      </c>
      <c r="BD188" s="3">
        <f t="shared" si="42"/>
        <v>5</v>
      </c>
      <c r="BE188" s="3">
        <v>1</v>
      </c>
      <c r="BF188" s="3">
        <v>0</v>
      </c>
      <c r="BH188" s="3">
        <f t="shared" si="43"/>
        <v>10</v>
      </c>
      <c r="BJ188" s="38">
        <f t="shared" si="37"/>
        <v>0</v>
      </c>
      <c r="BL188" s="3">
        <f t="shared" si="38"/>
        <v>172128.86000000002</v>
      </c>
    </row>
    <row r="189" spans="1:64" x14ac:dyDescent="0.35">
      <c r="A189" s="1" t="s">
        <v>561</v>
      </c>
      <c r="B189" s="1" t="str">
        <f t="shared" si="34"/>
        <v>Mainstream</v>
      </c>
      <c r="C189" s="1" t="s">
        <v>79</v>
      </c>
      <c r="D189" s="1" t="s">
        <v>210</v>
      </c>
      <c r="E189" s="1" t="s">
        <v>81</v>
      </c>
      <c r="F189" s="1" t="s">
        <v>82</v>
      </c>
      <c r="G189" s="1" t="s">
        <v>83</v>
      </c>
      <c r="H189" s="1" t="s">
        <v>212</v>
      </c>
      <c r="I189" s="1" t="s">
        <v>85</v>
      </c>
      <c r="J189" s="1" t="s">
        <v>310</v>
      </c>
      <c r="K189" s="1" t="s">
        <v>92</v>
      </c>
      <c r="L189" s="1" t="s">
        <v>70</v>
      </c>
      <c r="M189" s="1" t="s">
        <v>56</v>
      </c>
      <c r="N189" s="1" t="s">
        <v>57</v>
      </c>
      <c r="O189" s="1" t="s">
        <v>87</v>
      </c>
      <c r="P189" s="1" t="s">
        <v>88</v>
      </c>
      <c r="Q189" s="1" t="s">
        <v>89</v>
      </c>
      <c r="R189" s="7" t="s">
        <v>61</v>
      </c>
      <c r="S189" s="1">
        <v>725</v>
      </c>
      <c r="T189" s="2">
        <v>33237.545905541803</v>
      </c>
      <c r="U189" s="13">
        <v>35145.972195772236</v>
      </c>
      <c r="V189" s="13">
        <v>0</v>
      </c>
      <c r="W189" s="13">
        <v>3275</v>
      </c>
      <c r="X189" s="13"/>
      <c r="Y189" s="2">
        <f>(U189*0.89-S189-V189-W189-X189)*1.18/0.92</f>
        <v>34989.456521739128</v>
      </c>
      <c r="Z189" s="18">
        <f t="shared" ref="Z189:Z195" si="48">AC189</f>
        <v>34990</v>
      </c>
      <c r="AA189" s="5" t="s">
        <v>90</v>
      </c>
      <c r="AB189" s="5"/>
      <c r="AC189" s="14">
        <v>34990</v>
      </c>
      <c r="AD189" s="5">
        <f t="shared" si="39"/>
        <v>-0.42372881356104858</v>
      </c>
      <c r="AE189" s="5"/>
      <c r="AF189" s="5">
        <f t="shared" si="40"/>
        <v>3275</v>
      </c>
      <c r="AG189" s="5"/>
      <c r="AH189" s="13">
        <v>0</v>
      </c>
      <c r="AI189" s="13">
        <v>4054</v>
      </c>
      <c r="AJ189" s="5"/>
      <c r="AL189" s="5"/>
      <c r="AM189" s="5">
        <v>33990</v>
      </c>
      <c r="AN189" s="5">
        <f t="shared" si="35"/>
        <v>999.45652173912822</v>
      </c>
      <c r="AO189" s="5"/>
      <c r="AP189" s="5">
        <f t="shared" si="47"/>
        <v>35145.972195772236</v>
      </c>
      <c r="AQ189" s="20">
        <v>0</v>
      </c>
      <c r="AR189" s="20">
        <v>4054.237288135595</v>
      </c>
      <c r="AT189" s="3">
        <v>0</v>
      </c>
      <c r="AV189" s="5">
        <f t="shared" si="41"/>
        <v>0</v>
      </c>
      <c r="AX189" s="38">
        <f t="shared" si="36"/>
        <v>0</v>
      </c>
      <c r="BA189" s="3">
        <v>0</v>
      </c>
      <c r="BB189" s="3">
        <v>0</v>
      </c>
      <c r="BC189" s="3">
        <v>0</v>
      </c>
      <c r="BD189" s="3">
        <f t="shared" si="42"/>
        <v>0</v>
      </c>
      <c r="BE189" s="3">
        <v>0</v>
      </c>
      <c r="BF189" s="3">
        <v>0</v>
      </c>
      <c r="BH189" s="3">
        <f t="shared" si="43"/>
        <v>0</v>
      </c>
      <c r="BJ189" s="38">
        <f t="shared" si="37"/>
        <v>0</v>
      </c>
      <c r="BL189" s="3">
        <f t="shared" si="38"/>
        <v>41472.247191011236</v>
      </c>
    </row>
    <row r="190" spans="1:64" x14ac:dyDescent="0.35">
      <c r="A190" s="1" t="s">
        <v>562</v>
      </c>
      <c r="B190" s="1" t="str">
        <f t="shared" si="34"/>
        <v>Mainstream</v>
      </c>
      <c r="C190" s="1" t="s">
        <v>79</v>
      </c>
      <c r="D190" s="1" t="s">
        <v>210</v>
      </c>
      <c r="E190" s="1" t="s">
        <v>81</v>
      </c>
      <c r="F190" s="1" t="s">
        <v>82</v>
      </c>
      <c r="G190" s="1" t="s">
        <v>83</v>
      </c>
      <c r="H190" s="1" t="s">
        <v>212</v>
      </c>
      <c r="I190" s="1" t="s">
        <v>85</v>
      </c>
      <c r="J190" s="1" t="s">
        <v>310</v>
      </c>
      <c r="K190" s="1" t="s">
        <v>92</v>
      </c>
      <c r="L190" s="1" t="s">
        <v>70</v>
      </c>
      <c r="M190" s="1" t="s">
        <v>56</v>
      </c>
      <c r="N190" s="1" t="s">
        <v>57</v>
      </c>
      <c r="O190" s="1" t="s">
        <v>87</v>
      </c>
      <c r="P190" s="1" t="s">
        <v>88</v>
      </c>
      <c r="Q190" s="1" t="s">
        <v>89</v>
      </c>
      <c r="R190" s="7" t="s">
        <v>61</v>
      </c>
      <c r="S190" s="1">
        <v>725</v>
      </c>
      <c r="T190" s="2">
        <v>33237.545905541803</v>
      </c>
      <c r="U190" s="13">
        <v>35145.972195772236</v>
      </c>
      <c r="V190" s="13">
        <v>0</v>
      </c>
      <c r="W190" s="13">
        <v>3275</v>
      </c>
      <c r="X190" s="13"/>
      <c r="Y190" s="2">
        <f>(U190*0.89-S190-V190-W190-X190)*1.18/0.92</f>
        <v>34989.456521739128</v>
      </c>
      <c r="Z190" s="18">
        <f t="shared" si="48"/>
        <v>34990</v>
      </c>
      <c r="AA190" s="5" t="s">
        <v>90</v>
      </c>
      <c r="AB190" s="5"/>
      <c r="AC190" s="14">
        <v>34990</v>
      </c>
      <c r="AD190" s="5">
        <f t="shared" si="39"/>
        <v>-0.42372881356104858</v>
      </c>
      <c r="AE190" s="5"/>
      <c r="AF190" s="5">
        <f t="shared" si="40"/>
        <v>3275</v>
      </c>
      <c r="AG190" s="5"/>
      <c r="AH190" s="13">
        <v>0</v>
      </c>
      <c r="AI190" s="13">
        <v>4054</v>
      </c>
      <c r="AJ190" s="5"/>
      <c r="AL190" s="5"/>
      <c r="AM190" s="5">
        <v>33990</v>
      </c>
      <c r="AN190" s="5">
        <f t="shared" si="35"/>
        <v>999.45652173912822</v>
      </c>
      <c r="AO190" s="5"/>
      <c r="AP190" s="5">
        <f t="shared" si="47"/>
        <v>35145.972195772236</v>
      </c>
      <c r="AQ190" s="20">
        <v>0</v>
      </c>
      <c r="AR190" s="20">
        <v>4054.237288135595</v>
      </c>
      <c r="AT190" s="3">
        <v>1</v>
      </c>
      <c r="AV190" s="5">
        <f t="shared" si="41"/>
        <v>10</v>
      </c>
      <c r="AX190" s="38">
        <f t="shared" si="36"/>
        <v>32750</v>
      </c>
      <c r="BA190" s="3">
        <v>-1</v>
      </c>
      <c r="BB190" s="3">
        <v>0</v>
      </c>
      <c r="BC190" s="3">
        <v>0</v>
      </c>
      <c r="BD190" s="3">
        <f t="shared" si="42"/>
        <v>-1</v>
      </c>
      <c r="BE190" s="3">
        <v>1</v>
      </c>
      <c r="BF190" s="3">
        <v>0</v>
      </c>
      <c r="BH190" s="3">
        <f t="shared" si="43"/>
        <v>-2</v>
      </c>
      <c r="BJ190" s="38">
        <f t="shared" si="37"/>
        <v>0</v>
      </c>
      <c r="BL190" s="3">
        <f t="shared" si="38"/>
        <v>41472.247191011236</v>
      </c>
    </row>
    <row r="191" spans="1:64" x14ac:dyDescent="0.35">
      <c r="A191" s="1" t="s">
        <v>563</v>
      </c>
      <c r="B191" s="1" t="str">
        <f t="shared" si="34"/>
        <v>Entry</v>
      </c>
      <c r="C191" s="1" t="s">
        <v>79</v>
      </c>
      <c r="D191" s="1" t="s">
        <v>210</v>
      </c>
      <c r="E191" s="1" t="s">
        <v>81</v>
      </c>
      <c r="F191" s="1" t="s">
        <v>82</v>
      </c>
      <c r="G191" s="1" t="s">
        <v>83</v>
      </c>
      <c r="H191" s="1" t="s">
        <v>212</v>
      </c>
      <c r="I191" s="1" t="s">
        <v>85</v>
      </c>
      <c r="J191" s="1" t="s">
        <v>310</v>
      </c>
      <c r="K191" s="1" t="s">
        <v>92</v>
      </c>
      <c r="L191" s="1" t="s">
        <v>263</v>
      </c>
      <c r="M191" s="1" t="s">
        <v>100</v>
      </c>
      <c r="N191" s="1" t="s">
        <v>57</v>
      </c>
      <c r="O191" s="1" t="s">
        <v>87</v>
      </c>
      <c r="P191" s="1" t="s">
        <v>88</v>
      </c>
      <c r="Q191" s="1" t="s">
        <v>165</v>
      </c>
      <c r="R191" s="1" t="s">
        <v>73</v>
      </c>
      <c r="S191" s="1">
        <v>0</v>
      </c>
      <c r="T191" s="2">
        <v>28618.292203389829</v>
      </c>
      <c r="U191" s="13">
        <v>29798.305084745763</v>
      </c>
      <c r="V191" s="13">
        <v>0</v>
      </c>
      <c r="W191" s="13">
        <v>4261</v>
      </c>
      <c r="X191" s="13"/>
      <c r="Y191" s="2">
        <f>(U191*0.98-S191-V191-W191-X191)*1.18/0.92</f>
        <v>31989.978260869557</v>
      </c>
      <c r="Z191" s="18">
        <f t="shared" si="48"/>
        <v>31990</v>
      </c>
      <c r="AA191" s="5" t="s">
        <v>90</v>
      </c>
      <c r="AB191" s="5"/>
      <c r="AC191" s="14">
        <v>31990</v>
      </c>
      <c r="AD191" s="5">
        <f t="shared" si="39"/>
        <v>-1.6949152548908913E-2</v>
      </c>
      <c r="AE191" s="5"/>
      <c r="AF191" s="5">
        <f t="shared" si="40"/>
        <v>4261</v>
      </c>
      <c r="AG191" s="5"/>
      <c r="AH191" s="13">
        <v>0</v>
      </c>
      <c r="AI191" s="13">
        <v>5041</v>
      </c>
      <c r="AJ191" s="5"/>
      <c r="AL191" s="5"/>
      <c r="AM191" s="5">
        <v>30989.999999999996</v>
      </c>
      <c r="AN191" s="5">
        <f t="shared" si="35"/>
        <v>999.97826086956047</v>
      </c>
      <c r="AO191" s="5"/>
      <c r="AP191" s="5">
        <f t="shared" si="47"/>
        <v>29798.305084745763</v>
      </c>
      <c r="AQ191" s="20">
        <v>0</v>
      </c>
      <c r="AR191" s="20">
        <v>5040.6440677966093</v>
      </c>
      <c r="AT191" s="3">
        <v>4</v>
      </c>
      <c r="AV191" s="5">
        <f t="shared" si="41"/>
        <v>40</v>
      </c>
      <c r="AX191" s="38">
        <f t="shared" si="36"/>
        <v>170440</v>
      </c>
      <c r="BA191" s="3">
        <v>0</v>
      </c>
      <c r="BB191" s="3">
        <v>0</v>
      </c>
      <c r="BC191" s="3">
        <v>0</v>
      </c>
      <c r="BD191" s="3">
        <f t="shared" si="42"/>
        <v>0</v>
      </c>
      <c r="BE191" s="3">
        <v>0</v>
      </c>
      <c r="BF191" s="3">
        <v>0</v>
      </c>
      <c r="BH191" s="3">
        <f t="shared" si="43"/>
        <v>0</v>
      </c>
      <c r="BJ191" s="38">
        <f t="shared" si="37"/>
        <v>0</v>
      </c>
      <c r="BL191" s="3">
        <f t="shared" si="38"/>
        <v>35162</v>
      </c>
    </row>
    <row r="192" spans="1:64" x14ac:dyDescent="0.35">
      <c r="A192" s="1" t="s">
        <v>564</v>
      </c>
      <c r="B192" s="1" t="str">
        <f t="shared" si="34"/>
        <v>Entry</v>
      </c>
      <c r="C192" s="1" t="s">
        <v>79</v>
      </c>
      <c r="D192" s="1" t="s">
        <v>210</v>
      </c>
      <c r="E192" s="1" t="s">
        <v>81</v>
      </c>
      <c r="F192" s="1" t="s">
        <v>82</v>
      </c>
      <c r="G192" s="1" t="s">
        <v>83</v>
      </c>
      <c r="H192" s="1" t="s">
        <v>212</v>
      </c>
      <c r="I192" s="1" t="s">
        <v>85</v>
      </c>
      <c r="J192" s="1" t="s">
        <v>310</v>
      </c>
      <c r="K192" s="1" t="s">
        <v>92</v>
      </c>
      <c r="L192" s="1" t="s">
        <v>263</v>
      </c>
      <c r="M192" s="1" t="s">
        <v>100</v>
      </c>
      <c r="N192" s="1" t="s">
        <v>57</v>
      </c>
      <c r="O192" s="1" t="s">
        <v>87</v>
      </c>
      <c r="P192" s="1" t="s">
        <v>88</v>
      </c>
      <c r="Q192" s="1" t="s">
        <v>165</v>
      </c>
      <c r="R192" s="1" t="s">
        <v>73</v>
      </c>
      <c r="S192" s="1">
        <v>0</v>
      </c>
      <c r="T192" s="2">
        <v>28618.292203389829</v>
      </c>
      <c r="U192" s="13">
        <v>29798.305084745763</v>
      </c>
      <c r="V192" s="13">
        <v>0</v>
      </c>
      <c r="W192" s="13">
        <v>4261</v>
      </c>
      <c r="X192" s="13"/>
      <c r="Y192" s="2">
        <f>(U192*0.98-S192-V192-W192-X192)*1.18/0.92</f>
        <v>31989.978260869557</v>
      </c>
      <c r="Z192" s="18">
        <f t="shared" si="48"/>
        <v>31990</v>
      </c>
      <c r="AA192" s="5" t="s">
        <v>90</v>
      </c>
      <c r="AB192" s="5"/>
      <c r="AC192" s="14">
        <v>31990</v>
      </c>
      <c r="AD192" s="5">
        <f t="shared" si="39"/>
        <v>-1.6949152548908913E-2</v>
      </c>
      <c r="AE192" s="5"/>
      <c r="AF192" s="5">
        <f t="shared" si="40"/>
        <v>4261</v>
      </c>
      <c r="AG192" s="5"/>
      <c r="AH192" s="13">
        <v>0</v>
      </c>
      <c r="AI192" s="13">
        <v>5041</v>
      </c>
      <c r="AJ192" s="5"/>
      <c r="AL192" s="5"/>
      <c r="AM192" s="5">
        <v>30989.999999999996</v>
      </c>
      <c r="AN192" s="5">
        <f t="shared" si="35"/>
        <v>999.97826086956047</v>
      </c>
      <c r="AO192" s="5"/>
      <c r="AP192" s="5">
        <f t="shared" si="47"/>
        <v>29798.305084745763</v>
      </c>
      <c r="AQ192" s="20">
        <v>0</v>
      </c>
      <c r="AR192" s="20">
        <v>5040.6440677966093</v>
      </c>
      <c r="AT192" s="3">
        <v>0</v>
      </c>
      <c r="AV192" s="5">
        <f t="shared" si="41"/>
        <v>0</v>
      </c>
      <c r="AX192" s="38">
        <f t="shared" si="36"/>
        <v>0</v>
      </c>
      <c r="BA192" s="3">
        <v>0</v>
      </c>
      <c r="BB192" s="3">
        <v>-1</v>
      </c>
      <c r="BC192" s="3">
        <v>0</v>
      </c>
      <c r="BD192" s="3">
        <f t="shared" si="42"/>
        <v>-1</v>
      </c>
      <c r="BE192" s="3">
        <v>0</v>
      </c>
      <c r="BF192" s="3">
        <v>0</v>
      </c>
      <c r="BH192" s="3">
        <f t="shared" si="43"/>
        <v>-2</v>
      </c>
      <c r="BJ192" s="38">
        <f t="shared" si="37"/>
        <v>0</v>
      </c>
      <c r="BL192" s="3">
        <f t="shared" si="38"/>
        <v>35162</v>
      </c>
    </row>
    <row r="193" spans="1:64" x14ac:dyDescent="0.35">
      <c r="A193" s="1" t="s">
        <v>565</v>
      </c>
      <c r="B193" s="1" t="str">
        <f t="shared" si="34"/>
        <v>Entry</v>
      </c>
      <c r="C193" s="1" t="s">
        <v>79</v>
      </c>
      <c r="D193" s="1" t="s">
        <v>210</v>
      </c>
      <c r="E193" s="1" t="s">
        <v>81</v>
      </c>
      <c r="F193" s="1" t="s">
        <v>82</v>
      </c>
      <c r="G193" s="1" t="s">
        <v>83</v>
      </c>
      <c r="H193" s="1" t="s">
        <v>212</v>
      </c>
      <c r="I193" s="1" t="s">
        <v>85</v>
      </c>
      <c r="J193" s="1" t="s">
        <v>310</v>
      </c>
      <c r="K193" s="1" t="s">
        <v>92</v>
      </c>
      <c r="L193" s="1" t="s">
        <v>263</v>
      </c>
      <c r="M193" s="1" t="s">
        <v>100</v>
      </c>
      <c r="N193" s="1" t="s">
        <v>57</v>
      </c>
      <c r="O193" s="1" t="s">
        <v>87</v>
      </c>
      <c r="P193" s="1" t="s">
        <v>88</v>
      </c>
      <c r="Q193" s="1" t="s">
        <v>165</v>
      </c>
      <c r="R193" s="1" t="s">
        <v>73</v>
      </c>
      <c r="S193" s="1">
        <v>0</v>
      </c>
      <c r="T193" s="2">
        <v>28617.999200000002</v>
      </c>
      <c r="U193" s="13">
        <v>29798</v>
      </c>
      <c r="V193" s="13">
        <v>0</v>
      </c>
      <c r="W193" s="13">
        <v>4261</v>
      </c>
      <c r="X193" s="13"/>
      <c r="Y193" s="2">
        <f>(U193*0.98-S193-V193-W193-X193)*1.18/0.92</f>
        <v>31989.594782608692</v>
      </c>
      <c r="Z193" s="18">
        <f t="shared" si="48"/>
        <v>31990</v>
      </c>
      <c r="AA193" s="5" t="s">
        <v>90</v>
      </c>
      <c r="AB193" s="5"/>
      <c r="AC193" s="14">
        <v>31990</v>
      </c>
      <c r="AD193" s="5">
        <f t="shared" si="39"/>
        <v>-0.31593220339253375</v>
      </c>
      <c r="AE193" s="5"/>
      <c r="AF193" s="5">
        <f t="shared" si="40"/>
        <v>4261</v>
      </c>
      <c r="AG193" s="5"/>
      <c r="AH193" s="13">
        <v>0</v>
      </c>
      <c r="AI193" s="13">
        <v>5041</v>
      </c>
      <c r="AJ193" s="5"/>
      <c r="AL193" s="5"/>
      <c r="AM193" s="5">
        <v>30989.999999999996</v>
      </c>
      <c r="AN193" s="5">
        <f t="shared" si="35"/>
        <v>999.59478260869582</v>
      </c>
      <c r="AO193" s="5"/>
      <c r="AP193" s="5">
        <f t="shared" si="47"/>
        <v>29798</v>
      </c>
      <c r="AQ193" s="20">
        <v>0</v>
      </c>
      <c r="AR193" s="20">
        <v>5040.3450847457643</v>
      </c>
      <c r="AT193" s="3">
        <v>0</v>
      </c>
      <c r="AV193" s="5">
        <f t="shared" si="41"/>
        <v>0</v>
      </c>
      <c r="AX193" s="38">
        <f t="shared" si="36"/>
        <v>0</v>
      </c>
      <c r="BA193" s="3">
        <v>0</v>
      </c>
      <c r="BB193" s="3">
        <v>0</v>
      </c>
      <c r="BC193" s="3">
        <v>0</v>
      </c>
      <c r="BD193" s="3">
        <f t="shared" si="42"/>
        <v>0</v>
      </c>
      <c r="BE193" s="3">
        <v>0</v>
      </c>
      <c r="BF193" s="3">
        <v>0</v>
      </c>
      <c r="BH193" s="3">
        <f t="shared" si="43"/>
        <v>0</v>
      </c>
      <c r="BJ193" s="38">
        <f t="shared" si="37"/>
        <v>0</v>
      </c>
      <c r="BL193" s="3">
        <f t="shared" si="38"/>
        <v>35161.64</v>
      </c>
    </row>
    <row r="194" spans="1:64" x14ac:dyDescent="0.35">
      <c r="A194" s="1" t="s">
        <v>566</v>
      </c>
      <c r="B194" s="1" t="str">
        <f t="shared" si="34"/>
        <v>Entry</v>
      </c>
      <c r="C194" s="1" t="s">
        <v>79</v>
      </c>
      <c r="D194" s="1" t="s">
        <v>210</v>
      </c>
      <c r="E194" s="1" t="s">
        <v>81</v>
      </c>
      <c r="F194" s="1" t="s">
        <v>82</v>
      </c>
      <c r="G194" s="1" t="s">
        <v>83</v>
      </c>
      <c r="H194" s="1" t="s">
        <v>212</v>
      </c>
      <c r="I194" s="1" t="s">
        <v>85</v>
      </c>
      <c r="J194" s="1" t="s">
        <v>323</v>
      </c>
      <c r="K194" s="1" t="s">
        <v>92</v>
      </c>
      <c r="L194" s="1" t="s">
        <v>263</v>
      </c>
      <c r="M194" s="1" t="s">
        <v>100</v>
      </c>
      <c r="N194" s="1" t="s">
        <v>200</v>
      </c>
      <c r="O194" s="1" t="s">
        <v>87</v>
      </c>
      <c r="P194" s="1" t="s">
        <v>88</v>
      </c>
      <c r="Q194" s="1" t="s">
        <v>165</v>
      </c>
      <c r="R194" s="1" t="s">
        <v>73</v>
      </c>
      <c r="S194" s="1"/>
      <c r="T194" s="2">
        <v>28617.999200000002</v>
      </c>
      <c r="U194" s="13">
        <v>29798</v>
      </c>
      <c r="V194" s="13">
        <v>0</v>
      </c>
      <c r="W194" s="13">
        <v>4261</v>
      </c>
      <c r="X194" s="13"/>
      <c r="Y194" s="2">
        <f>(U194*0.98-S194-V194-W194-X194)*1.18/0.92</f>
        <v>31989.594782608692</v>
      </c>
      <c r="Z194" s="18">
        <f t="shared" si="48"/>
        <v>31990</v>
      </c>
      <c r="AA194" s="5" t="s">
        <v>90</v>
      </c>
      <c r="AB194" s="5"/>
      <c r="AC194" s="14">
        <v>31990</v>
      </c>
      <c r="AD194" s="5">
        <f t="shared" si="39"/>
        <v>-0.31593220339253375</v>
      </c>
      <c r="AE194" s="5"/>
      <c r="AF194" s="5">
        <f t="shared" si="40"/>
        <v>4261</v>
      </c>
      <c r="AG194" s="5"/>
      <c r="AH194" s="13">
        <v>0</v>
      </c>
      <c r="AI194" s="13">
        <v>5041</v>
      </c>
      <c r="AJ194" s="5"/>
      <c r="AL194" s="5"/>
      <c r="AM194" s="5">
        <v>30989.999999999996</v>
      </c>
      <c r="AN194" s="5">
        <f t="shared" si="35"/>
        <v>999.59478260869582</v>
      </c>
      <c r="AO194" s="5"/>
      <c r="AP194" s="5">
        <f t="shared" si="47"/>
        <v>29798</v>
      </c>
      <c r="AQ194" s="20">
        <v>0</v>
      </c>
      <c r="AR194" s="20">
        <v>5040.3450847457643</v>
      </c>
      <c r="AT194" s="3">
        <v>6</v>
      </c>
      <c r="AV194" s="5">
        <f t="shared" si="41"/>
        <v>60</v>
      </c>
      <c r="AX194" s="38">
        <f t="shared" si="36"/>
        <v>255660</v>
      </c>
      <c r="BA194" s="3">
        <v>9</v>
      </c>
      <c r="BB194" s="3">
        <v>0</v>
      </c>
      <c r="BC194" s="3">
        <v>0</v>
      </c>
      <c r="BD194" s="3">
        <f t="shared" si="42"/>
        <v>9</v>
      </c>
      <c r="BE194" s="3">
        <v>2</v>
      </c>
      <c r="BF194" s="3">
        <v>0</v>
      </c>
      <c r="BH194" s="3">
        <f t="shared" si="43"/>
        <v>17</v>
      </c>
      <c r="BJ194" s="38">
        <f t="shared" si="37"/>
        <v>0</v>
      </c>
      <c r="BL194" s="3">
        <f t="shared" si="38"/>
        <v>35161.64</v>
      </c>
    </row>
    <row r="195" spans="1:64" x14ac:dyDescent="0.35">
      <c r="A195" s="1" t="s">
        <v>567</v>
      </c>
      <c r="B195" s="1" t="str">
        <f t="shared" si="34"/>
        <v>Mainstream</v>
      </c>
      <c r="C195" s="1" t="s">
        <v>79</v>
      </c>
      <c r="D195" s="1" t="s">
        <v>210</v>
      </c>
      <c r="E195" s="1" t="s">
        <v>81</v>
      </c>
      <c r="F195" s="1" t="s">
        <v>82</v>
      </c>
      <c r="G195" s="1" t="s">
        <v>568</v>
      </c>
      <c r="H195" s="1" t="s">
        <v>212</v>
      </c>
      <c r="I195" s="1" t="s">
        <v>85</v>
      </c>
      <c r="J195" s="1" t="s">
        <v>310</v>
      </c>
      <c r="K195" s="1" t="s">
        <v>92</v>
      </c>
      <c r="L195" s="1" t="s">
        <v>70</v>
      </c>
      <c r="M195" s="1" t="s">
        <v>56</v>
      </c>
      <c r="N195" s="1" t="s">
        <v>57</v>
      </c>
      <c r="O195" s="1" t="s">
        <v>87</v>
      </c>
      <c r="P195" s="1" t="s">
        <v>283</v>
      </c>
      <c r="Q195" s="1" t="s">
        <v>89</v>
      </c>
      <c r="R195" s="1" t="s">
        <v>61</v>
      </c>
      <c r="S195" s="1"/>
      <c r="T195" s="2">
        <v>32290.397549152538</v>
      </c>
      <c r="U195" s="13">
        <v>34144.4406779661</v>
      </c>
      <c r="V195" s="13">
        <v>0</v>
      </c>
      <c r="W195" s="13">
        <v>3108</v>
      </c>
      <c r="X195" s="13"/>
      <c r="Y195" s="2">
        <f>(U195*0.89-S195-V195-W195-X195)*1.18/0.92</f>
        <v>34990.273478260868</v>
      </c>
      <c r="Z195" s="18">
        <f t="shared" si="48"/>
        <v>34990</v>
      </c>
      <c r="AA195" s="5" t="s">
        <v>90</v>
      </c>
      <c r="AB195" s="5"/>
      <c r="AC195" s="14">
        <v>34990</v>
      </c>
      <c r="AD195" s="5">
        <f t="shared" si="39"/>
        <v>0.21322033898160062</v>
      </c>
      <c r="AE195" s="5"/>
      <c r="AF195" s="5">
        <f t="shared" si="40"/>
        <v>3108</v>
      </c>
      <c r="AG195" s="5"/>
      <c r="AH195" s="13">
        <v>0</v>
      </c>
      <c r="AI195" s="13">
        <v>3888</v>
      </c>
      <c r="AJ195" s="5"/>
      <c r="AL195" s="5"/>
      <c r="AM195" s="5">
        <v>33990</v>
      </c>
      <c r="AN195" s="5">
        <f t="shared" ref="AN195:AN258" si="49">Y195-AM195</f>
        <v>1000.2734782608677</v>
      </c>
      <c r="AO195" s="5"/>
      <c r="AP195" s="5">
        <f t="shared" si="47"/>
        <v>34144.4406779661</v>
      </c>
      <c r="AQ195" s="20">
        <v>0</v>
      </c>
      <c r="AR195" s="20">
        <v>3887.8742372881352</v>
      </c>
      <c r="AT195" s="3">
        <v>1</v>
      </c>
      <c r="AV195" s="5">
        <f t="shared" si="41"/>
        <v>10</v>
      </c>
      <c r="AX195" s="38">
        <f t="shared" ref="AX195:AX258" si="50">AV195*W195</f>
        <v>31080</v>
      </c>
      <c r="BA195" s="3">
        <v>0</v>
      </c>
      <c r="BB195" s="3">
        <v>0</v>
      </c>
      <c r="BC195" s="3">
        <v>0</v>
      </c>
      <c r="BD195" s="3">
        <f t="shared" si="42"/>
        <v>0</v>
      </c>
      <c r="BE195" s="3">
        <v>0</v>
      </c>
      <c r="BF195" s="3">
        <v>0</v>
      </c>
      <c r="BH195" s="3">
        <f t="shared" si="43"/>
        <v>0</v>
      </c>
      <c r="BJ195" s="38">
        <f t="shared" ref="BJ195:BJ258" si="51">BH195*V195</f>
        <v>0</v>
      </c>
      <c r="BL195" s="3">
        <f t="shared" ref="BL195:BL258" si="52">U195*1.18</f>
        <v>40290.439999999995</v>
      </c>
    </row>
    <row r="196" spans="1:64" x14ac:dyDescent="0.35">
      <c r="A196" s="1" t="s">
        <v>569</v>
      </c>
      <c r="B196" s="1" t="str">
        <f t="shared" ref="B196:B259" si="53">IF(BL196&lt;40000,"Entry",IF(BL196&gt;65000,"Premium","Mainstream"))</f>
        <v>Mainstream</v>
      </c>
      <c r="C196" s="1" t="s">
        <v>46</v>
      </c>
      <c r="D196" s="1" t="s">
        <v>287</v>
      </c>
      <c r="E196" s="1" t="s">
        <v>48</v>
      </c>
      <c r="F196" s="1" t="s">
        <v>65</v>
      </c>
      <c r="G196" s="1" t="s">
        <v>107</v>
      </c>
      <c r="H196" s="1" t="s">
        <v>123</v>
      </c>
      <c r="I196" s="1" t="s">
        <v>108</v>
      </c>
      <c r="J196" s="1" t="s">
        <v>288</v>
      </c>
      <c r="K196" s="1" t="s">
        <v>92</v>
      </c>
      <c r="L196" s="1" t="s">
        <v>70</v>
      </c>
      <c r="M196" s="1" t="s">
        <v>100</v>
      </c>
      <c r="N196" s="1" t="s">
        <v>57</v>
      </c>
      <c r="O196" s="1" t="s">
        <v>110</v>
      </c>
      <c r="P196" s="1" t="s">
        <v>111</v>
      </c>
      <c r="Q196" s="1" t="s">
        <v>112</v>
      </c>
      <c r="R196" s="1" t="s">
        <v>73</v>
      </c>
      <c r="S196" s="1">
        <v>0</v>
      </c>
      <c r="T196" s="2">
        <f>U196*0.98*0.98</f>
        <v>50790.509830508476</v>
      </c>
      <c r="U196" s="13">
        <v>52884.745762711864</v>
      </c>
      <c r="V196" s="13">
        <v>0</v>
      </c>
      <c r="W196" s="13">
        <v>1157</v>
      </c>
      <c r="X196" s="13">
        <v>3898.1864406779632</v>
      </c>
      <c r="Y196" s="2">
        <f>(U196*0.98-S196-V196-W196-X196)*1.18/0.92</f>
        <v>59990</v>
      </c>
      <c r="Z196" s="1">
        <v>59990</v>
      </c>
      <c r="AA196" s="5"/>
      <c r="AB196" s="5"/>
      <c r="AC196" s="14">
        <v>59990</v>
      </c>
      <c r="AD196" s="5">
        <f t="shared" ref="AD196:AD259" si="54">(Y196-AC196)/1.18*0.92</f>
        <v>0</v>
      </c>
      <c r="AE196" s="5"/>
      <c r="AF196" s="5">
        <f t="shared" ref="AF196:AF259" si="55">W196+X196</f>
        <v>5055.1864406779632</v>
      </c>
      <c r="AG196" s="5"/>
      <c r="AH196" s="13">
        <v>0</v>
      </c>
      <c r="AI196" s="13">
        <v>1157</v>
      </c>
      <c r="AJ196" s="5"/>
      <c r="AL196" s="5"/>
      <c r="AM196" s="5">
        <v>64989.847826086952</v>
      </c>
      <c r="AN196" s="5">
        <f t="shared" si="49"/>
        <v>-4999.8478260869524</v>
      </c>
      <c r="AO196" s="5"/>
      <c r="AP196" s="5">
        <f t="shared" si="47"/>
        <v>52884.745762711864</v>
      </c>
      <c r="AQ196" s="20">
        <v>0</v>
      </c>
      <c r="AR196" s="20">
        <v>1157</v>
      </c>
      <c r="AT196" s="3">
        <v>0</v>
      </c>
      <c r="AV196" s="5">
        <f t="shared" si="41"/>
        <v>0</v>
      </c>
      <c r="AX196" s="38">
        <f t="shared" si="50"/>
        <v>0</v>
      </c>
      <c r="BA196" s="3">
        <v>0</v>
      </c>
      <c r="BB196" s="3">
        <v>0</v>
      </c>
      <c r="BC196" s="3">
        <v>0</v>
      </c>
      <c r="BD196" s="3">
        <f t="shared" si="42"/>
        <v>0</v>
      </c>
      <c r="BE196" s="3">
        <v>16</v>
      </c>
      <c r="BF196" s="3">
        <v>0</v>
      </c>
      <c r="BH196" s="3">
        <f t="shared" si="43"/>
        <v>0</v>
      </c>
      <c r="BJ196" s="38">
        <f t="shared" si="51"/>
        <v>0</v>
      </c>
      <c r="BL196" s="3">
        <f t="shared" si="52"/>
        <v>62403.999999999993</v>
      </c>
    </row>
    <row r="197" spans="1:64" x14ac:dyDescent="0.35">
      <c r="A197" s="1" t="s">
        <v>570</v>
      </c>
      <c r="B197" s="1" t="str">
        <f t="shared" si="53"/>
        <v>Mainstream</v>
      </c>
      <c r="C197" s="1" t="s">
        <v>46</v>
      </c>
      <c r="D197" s="1" t="s">
        <v>80</v>
      </c>
      <c r="E197" s="1" t="s">
        <v>81</v>
      </c>
      <c r="F197" s="1" t="s">
        <v>82</v>
      </c>
      <c r="G197" s="1" t="s">
        <v>268</v>
      </c>
      <c r="H197" s="1" t="s">
        <v>84</v>
      </c>
      <c r="I197" s="1" t="s">
        <v>68</v>
      </c>
      <c r="J197" s="1" t="s">
        <v>571</v>
      </c>
      <c r="K197" s="1" t="s">
        <v>92</v>
      </c>
      <c r="L197" s="1" t="s">
        <v>70</v>
      </c>
      <c r="M197" s="1" t="s">
        <v>100</v>
      </c>
      <c r="N197" s="1" t="s">
        <v>57</v>
      </c>
      <c r="O197" s="1" t="s">
        <v>87</v>
      </c>
      <c r="P197" s="1" t="s">
        <v>88</v>
      </c>
      <c r="Q197" s="1" t="s">
        <v>89</v>
      </c>
      <c r="R197" s="1" t="s">
        <v>61</v>
      </c>
      <c r="S197" s="1">
        <v>725</v>
      </c>
      <c r="T197" s="2">
        <v>46824.444099999993</v>
      </c>
      <c r="U197" s="13">
        <v>49513</v>
      </c>
      <c r="V197" s="13">
        <v>0</v>
      </c>
      <c r="W197" s="13">
        <v>3587</v>
      </c>
      <c r="X197" s="13"/>
      <c r="Y197" s="2">
        <f>(U197*0.89-S197-V197-W197-X197)*1.18/0.92</f>
        <v>50989.557173913039</v>
      </c>
      <c r="Z197" s="18">
        <f>AC197</f>
        <v>50990</v>
      </c>
      <c r="AA197" s="5"/>
      <c r="AB197" s="5"/>
      <c r="AC197" s="14">
        <v>50990</v>
      </c>
      <c r="AD197" s="5">
        <f t="shared" si="54"/>
        <v>-0.34525423729150967</v>
      </c>
      <c r="AE197" s="5" t="s">
        <v>90</v>
      </c>
      <c r="AF197" s="5">
        <f t="shared" si="55"/>
        <v>3587</v>
      </c>
      <c r="AG197" s="5"/>
      <c r="AH197" s="13">
        <v>0</v>
      </c>
      <c r="AI197" s="13">
        <v>3091.524745762712</v>
      </c>
      <c r="AJ197" s="5"/>
      <c r="AL197" s="5"/>
      <c r="AM197" s="5">
        <v>50990</v>
      </c>
      <c r="AN197" s="5">
        <f t="shared" si="49"/>
        <v>-0.44282608696084935</v>
      </c>
      <c r="AO197" s="5"/>
      <c r="AP197" s="5">
        <f t="shared" si="47"/>
        <v>49513</v>
      </c>
      <c r="AQ197" s="20">
        <v>0</v>
      </c>
      <c r="AR197" s="20">
        <v>3091.524745762712</v>
      </c>
      <c r="AT197" s="3">
        <v>0</v>
      </c>
      <c r="AV197" s="5">
        <f t="shared" ref="AV197:AV260" si="56">ROUNDUP((AT197/8)*80,0)</f>
        <v>0</v>
      </c>
      <c r="AX197" s="38">
        <f t="shared" si="50"/>
        <v>0</v>
      </c>
      <c r="BA197" s="3">
        <v>0</v>
      </c>
      <c r="BB197" s="3">
        <v>0</v>
      </c>
      <c r="BC197" s="3">
        <v>0</v>
      </c>
      <c r="BD197" s="3">
        <f t="shared" ref="BD197:BD260" si="57">BC197+BB197+BA197</f>
        <v>0</v>
      </c>
      <c r="BE197" s="3">
        <v>10</v>
      </c>
      <c r="BF197" s="3">
        <v>0</v>
      </c>
      <c r="BH197" s="3">
        <f t="shared" ref="BH197:BH260" si="58">ROUNDUP(BD197*1.85,0)</f>
        <v>0</v>
      </c>
      <c r="BJ197" s="38">
        <f t="shared" si="51"/>
        <v>0</v>
      </c>
      <c r="BL197" s="3">
        <f t="shared" si="52"/>
        <v>58425.34</v>
      </c>
    </row>
    <row r="198" spans="1:64" x14ac:dyDescent="0.35">
      <c r="A198" s="1" t="s">
        <v>572</v>
      </c>
      <c r="B198" s="1" t="str">
        <f t="shared" si="53"/>
        <v>Entry</v>
      </c>
      <c r="C198" s="1" t="s">
        <v>79</v>
      </c>
      <c r="D198" s="1" t="s">
        <v>210</v>
      </c>
      <c r="E198" s="1" t="s">
        <v>81</v>
      </c>
      <c r="F198" s="1" t="s">
        <v>82</v>
      </c>
      <c r="G198" s="1" t="s">
        <v>83</v>
      </c>
      <c r="H198" s="1" t="s">
        <v>212</v>
      </c>
      <c r="I198" s="1" t="s">
        <v>85</v>
      </c>
      <c r="J198" s="1" t="s">
        <v>310</v>
      </c>
      <c r="K198" s="1" t="s">
        <v>92</v>
      </c>
      <c r="L198" s="1" t="s">
        <v>263</v>
      </c>
      <c r="M198" s="1" t="s">
        <v>56</v>
      </c>
      <c r="N198" s="1" t="s">
        <v>57</v>
      </c>
      <c r="O198" s="1" t="s">
        <v>87</v>
      </c>
      <c r="P198" s="1" t="s">
        <v>88</v>
      </c>
      <c r="Q198" s="1" t="s">
        <v>89</v>
      </c>
      <c r="R198" s="7" t="s">
        <v>61</v>
      </c>
      <c r="S198" s="1">
        <v>725</v>
      </c>
      <c r="T198" s="2">
        <v>31247.851457627123</v>
      </c>
      <c r="U198" s="13">
        <v>33042.03389830509</v>
      </c>
      <c r="V198" s="13">
        <v>656.27118644067741</v>
      </c>
      <c r="W198" s="13">
        <v>3085</v>
      </c>
      <c r="X198" s="13"/>
      <c r="Y198" s="2">
        <f>(U198*0.89-S198-V198-W198-X198)*1.18/0.92</f>
        <v>31989.72173913044</v>
      </c>
      <c r="Z198" s="18">
        <f>AC198</f>
        <v>31990</v>
      </c>
      <c r="AA198" s="5" t="s">
        <v>90</v>
      </c>
      <c r="AB198" s="5"/>
      <c r="AC198" s="14">
        <v>31990</v>
      </c>
      <c r="AD198" s="5">
        <f t="shared" si="54"/>
        <v>-0.21694915253810598</v>
      </c>
      <c r="AE198" s="5"/>
      <c r="AF198" s="5">
        <f t="shared" si="55"/>
        <v>3085</v>
      </c>
      <c r="AG198" s="5"/>
      <c r="AH198" s="13">
        <v>656.27118644067741</v>
      </c>
      <c r="AI198" s="13">
        <v>3864</v>
      </c>
      <c r="AJ198" s="5"/>
      <c r="AL198" s="5"/>
      <c r="AM198" s="5">
        <v>30989.999999999996</v>
      </c>
      <c r="AN198" s="5">
        <f t="shared" si="49"/>
        <v>999.72173913044389</v>
      </c>
      <c r="AO198" s="5"/>
      <c r="AP198" s="5">
        <f t="shared" si="47"/>
        <v>33042.03389830509</v>
      </c>
      <c r="AQ198" s="20">
        <v>656.27118644067741</v>
      </c>
      <c r="AR198" s="20">
        <v>3864.4440677966159</v>
      </c>
      <c r="AT198" s="3">
        <v>0</v>
      </c>
      <c r="AV198" s="5">
        <f t="shared" si="56"/>
        <v>0</v>
      </c>
      <c r="AX198" s="38">
        <f t="shared" si="50"/>
        <v>0</v>
      </c>
      <c r="BA198" s="3">
        <v>0</v>
      </c>
      <c r="BB198" s="3">
        <v>0</v>
      </c>
      <c r="BC198" s="3">
        <v>0</v>
      </c>
      <c r="BD198" s="3">
        <f t="shared" si="57"/>
        <v>0</v>
      </c>
      <c r="BE198" s="3">
        <v>1</v>
      </c>
      <c r="BF198" s="3">
        <v>0</v>
      </c>
      <c r="BH198" s="3">
        <f t="shared" si="58"/>
        <v>0</v>
      </c>
      <c r="BJ198" s="38">
        <f t="shared" si="51"/>
        <v>0</v>
      </c>
      <c r="BL198" s="3">
        <f t="shared" si="52"/>
        <v>38989.600000000006</v>
      </c>
    </row>
    <row r="199" spans="1:64" x14ac:dyDescent="0.35">
      <c r="A199" s="1" t="s">
        <v>573</v>
      </c>
      <c r="B199" s="1" t="str">
        <f t="shared" si="53"/>
        <v>Entry</v>
      </c>
      <c r="C199" s="1" t="s">
        <v>253</v>
      </c>
      <c r="D199" s="1" t="s">
        <v>574</v>
      </c>
      <c r="E199" s="1" t="s">
        <v>81</v>
      </c>
      <c r="F199" s="1" t="s">
        <v>146</v>
      </c>
      <c r="G199" s="1" t="s">
        <v>259</v>
      </c>
      <c r="H199" s="1" t="s">
        <v>260</v>
      </c>
      <c r="I199" s="1" t="s">
        <v>266</v>
      </c>
      <c r="J199" s="1" t="s">
        <v>262</v>
      </c>
      <c r="K199" s="1" t="s">
        <v>418</v>
      </c>
      <c r="L199" s="1" t="s">
        <v>263</v>
      </c>
      <c r="M199" s="1" t="s">
        <v>100</v>
      </c>
      <c r="N199" s="1" t="s">
        <v>139</v>
      </c>
      <c r="O199" s="1" t="s">
        <v>87</v>
      </c>
      <c r="P199" s="1" t="s">
        <v>264</v>
      </c>
      <c r="Q199" s="1" t="s">
        <v>165</v>
      </c>
      <c r="R199" s="1" t="s">
        <v>73</v>
      </c>
      <c r="S199" s="1">
        <v>0</v>
      </c>
      <c r="T199" s="2">
        <v>19468</v>
      </c>
      <c r="U199" s="13">
        <v>20271.186440677968</v>
      </c>
      <c r="V199" s="13">
        <v>0</v>
      </c>
      <c r="W199" s="13">
        <v>2331</v>
      </c>
      <c r="X199" s="13"/>
      <c r="Y199" s="2">
        <f>(U199*0.98-S199-V199-W199-X199)*1.18/0.92</f>
        <v>22490.239130434784</v>
      </c>
      <c r="Z199" s="18">
        <f>AC199</f>
        <v>22490</v>
      </c>
      <c r="AA199" s="5" t="s">
        <v>90</v>
      </c>
      <c r="AB199" s="5"/>
      <c r="AC199" s="14">
        <v>22490</v>
      </c>
      <c r="AD199" s="5">
        <f t="shared" si="54"/>
        <v>0.1864406779670883</v>
      </c>
      <c r="AE199" s="5"/>
      <c r="AF199" s="5">
        <f t="shared" si="55"/>
        <v>2331</v>
      </c>
      <c r="AG199" s="5"/>
      <c r="AH199" s="13">
        <v>0</v>
      </c>
      <c r="AI199" s="13">
        <v>2331</v>
      </c>
      <c r="AJ199" s="5"/>
      <c r="AL199" s="5"/>
      <c r="AM199" s="5">
        <v>22490</v>
      </c>
      <c r="AN199" s="5">
        <f t="shared" si="49"/>
        <v>0.23913043478387408</v>
      </c>
      <c r="AO199" s="5"/>
      <c r="AP199" s="5">
        <f t="shared" si="47"/>
        <v>20271.186440677968</v>
      </c>
      <c r="AQ199" s="20">
        <v>0</v>
      </c>
      <c r="AR199" s="20">
        <v>2331.1864406779678</v>
      </c>
      <c r="AT199" s="3">
        <v>7</v>
      </c>
      <c r="AV199" s="5">
        <f t="shared" si="56"/>
        <v>70</v>
      </c>
      <c r="AX199" s="38">
        <f t="shared" si="50"/>
        <v>163170</v>
      </c>
      <c r="BA199" s="3">
        <v>0</v>
      </c>
      <c r="BB199" s="3">
        <v>260</v>
      </c>
      <c r="BC199" s="3">
        <v>0</v>
      </c>
      <c r="BD199" s="3">
        <f t="shared" si="57"/>
        <v>260</v>
      </c>
      <c r="BE199" s="3">
        <v>79</v>
      </c>
      <c r="BF199" s="3">
        <v>105</v>
      </c>
      <c r="BH199" s="3">
        <f t="shared" si="58"/>
        <v>481</v>
      </c>
      <c r="BJ199" s="38">
        <f t="shared" si="51"/>
        <v>0</v>
      </c>
      <c r="BL199" s="3">
        <f t="shared" si="52"/>
        <v>23920</v>
      </c>
    </row>
    <row r="200" spans="1:64" x14ac:dyDescent="0.35">
      <c r="A200" s="1" t="s">
        <v>575</v>
      </c>
      <c r="B200" s="1" t="str">
        <f t="shared" si="53"/>
        <v>Mainstream</v>
      </c>
      <c r="C200" s="1" t="s">
        <v>46</v>
      </c>
      <c r="D200" s="1" t="s">
        <v>233</v>
      </c>
      <c r="E200" s="1" t="s">
        <v>48</v>
      </c>
      <c r="F200" s="1" t="s">
        <v>65</v>
      </c>
      <c r="G200" s="1" t="s">
        <v>234</v>
      </c>
      <c r="H200" s="1" t="s">
        <v>84</v>
      </c>
      <c r="I200" s="1" t="s">
        <v>85</v>
      </c>
      <c r="J200" s="1" t="s">
        <v>235</v>
      </c>
      <c r="K200" s="1" t="s">
        <v>92</v>
      </c>
      <c r="L200" s="1" t="s">
        <v>70</v>
      </c>
      <c r="M200" s="1" t="s">
        <v>56</v>
      </c>
      <c r="N200" s="1" t="s">
        <v>139</v>
      </c>
      <c r="O200" s="1" t="s">
        <v>143</v>
      </c>
      <c r="P200" s="1" t="s">
        <v>243</v>
      </c>
      <c r="Q200" s="1" t="s">
        <v>72</v>
      </c>
      <c r="R200" s="1" t="s">
        <v>73</v>
      </c>
      <c r="S200" s="1">
        <v>725</v>
      </c>
      <c r="T200" s="2">
        <f>U200*0.98*0.98</f>
        <v>43291.96707796611</v>
      </c>
      <c r="U200" s="13">
        <v>45077.016949152552</v>
      </c>
      <c r="V200" s="13">
        <v>1200.6461016949179</v>
      </c>
      <c r="W200" s="13">
        <v>4054.2372881355986</v>
      </c>
      <c r="X200" s="13"/>
      <c r="Y200" s="2">
        <f>(U200*0.98-S200-V200-W200-X200)*1.18/0.92</f>
        <v>48989.999999999993</v>
      </c>
      <c r="Z200" s="1">
        <v>48990</v>
      </c>
      <c r="AA200" s="5"/>
      <c r="AB200" s="5"/>
      <c r="AC200" s="14">
        <v>48990</v>
      </c>
      <c r="AD200" s="5">
        <f t="shared" si="54"/>
        <v>-5.6727805127531806E-12</v>
      </c>
      <c r="AE200" s="5"/>
      <c r="AF200" s="5">
        <f t="shared" si="55"/>
        <v>4054.2372881355986</v>
      </c>
      <c r="AG200" s="5"/>
      <c r="AH200" s="13">
        <v>1200.6461016949179</v>
      </c>
      <c r="AI200" s="13">
        <v>4054.2372881355986</v>
      </c>
      <c r="AJ200" s="5"/>
      <c r="AL200" s="5"/>
      <c r="AM200" s="5">
        <v>48989.999999999993</v>
      </c>
      <c r="AN200" s="5">
        <f t="shared" si="49"/>
        <v>0</v>
      </c>
      <c r="AO200" s="5"/>
      <c r="AP200" s="5">
        <f t="shared" si="47"/>
        <v>45077.016949152552</v>
      </c>
      <c r="AQ200" s="20">
        <v>1200.6461016949179</v>
      </c>
      <c r="AR200" s="20">
        <v>4054.2372881355986</v>
      </c>
      <c r="AT200" s="3">
        <v>0</v>
      </c>
      <c r="AV200" s="5">
        <f t="shared" si="56"/>
        <v>0</v>
      </c>
      <c r="AX200" s="38">
        <f t="shared" si="50"/>
        <v>0</v>
      </c>
      <c r="BA200" s="3">
        <v>-1</v>
      </c>
      <c r="BB200" s="3">
        <v>0</v>
      </c>
      <c r="BC200" s="3">
        <v>0</v>
      </c>
      <c r="BD200" s="3">
        <f t="shared" si="57"/>
        <v>-1</v>
      </c>
      <c r="BE200" s="3">
        <v>0</v>
      </c>
      <c r="BF200" s="3">
        <v>0</v>
      </c>
      <c r="BH200" s="3">
        <f t="shared" si="58"/>
        <v>-2</v>
      </c>
      <c r="BJ200" s="38">
        <f t="shared" si="51"/>
        <v>-2401.2922033898358</v>
      </c>
      <c r="BL200" s="3">
        <f t="shared" si="52"/>
        <v>53190.880000000012</v>
      </c>
    </row>
    <row r="201" spans="1:64" x14ac:dyDescent="0.35">
      <c r="A201" s="1" t="s">
        <v>576</v>
      </c>
      <c r="B201" s="1" t="str">
        <f t="shared" si="53"/>
        <v>Premium</v>
      </c>
      <c r="C201" s="1" t="s">
        <v>46</v>
      </c>
      <c r="D201" s="1" t="s">
        <v>106</v>
      </c>
      <c r="E201" s="1" t="s">
        <v>48</v>
      </c>
      <c r="F201" s="1" t="s">
        <v>65</v>
      </c>
      <c r="G201" s="1" t="s">
        <v>107</v>
      </c>
      <c r="H201" s="1" t="s">
        <v>51</v>
      </c>
      <c r="I201" s="1" t="s">
        <v>108</v>
      </c>
      <c r="J201" s="1" t="s">
        <v>109</v>
      </c>
      <c r="K201" s="1" t="s">
        <v>54</v>
      </c>
      <c r="L201" s="1" t="s">
        <v>70</v>
      </c>
      <c r="M201" s="1" t="s">
        <v>100</v>
      </c>
      <c r="N201" s="1" t="s">
        <v>200</v>
      </c>
      <c r="O201" s="1" t="s">
        <v>110</v>
      </c>
      <c r="P201" s="1" t="s">
        <v>129</v>
      </c>
      <c r="Q201" s="1" t="s">
        <v>174</v>
      </c>
      <c r="R201" s="1" t="s">
        <v>73</v>
      </c>
      <c r="S201" s="1">
        <v>0</v>
      </c>
      <c r="T201" s="2">
        <f>U201*0.98*0.98</f>
        <v>60905.637966101698</v>
      </c>
      <c r="U201" s="13">
        <v>63416.949152542373</v>
      </c>
      <c r="V201" s="13">
        <v>7580</v>
      </c>
      <c r="W201" s="13">
        <v>1559</v>
      </c>
      <c r="X201" s="13"/>
      <c r="Y201" s="2">
        <f>(U201*0.98-S201-V201-W201-X201)*1.18/0.92</f>
        <v>67990.586956521729</v>
      </c>
      <c r="Z201" s="1">
        <v>67990</v>
      </c>
      <c r="AA201" s="5"/>
      <c r="AB201" s="5"/>
      <c r="AC201" s="14">
        <v>67990</v>
      </c>
      <c r="AD201" s="5">
        <f t="shared" si="54"/>
        <v>0.45762711863617528</v>
      </c>
      <c r="AE201" s="5"/>
      <c r="AF201" s="5">
        <f t="shared" si="55"/>
        <v>1559</v>
      </c>
      <c r="AG201" s="5"/>
      <c r="AH201" s="13">
        <v>7580</v>
      </c>
      <c r="AI201" s="13">
        <v>1559</v>
      </c>
      <c r="AJ201" s="5"/>
      <c r="AL201" s="5"/>
      <c r="AM201" s="5">
        <v>67990.586956521729</v>
      </c>
      <c r="AN201" s="5">
        <f t="shared" si="49"/>
        <v>0</v>
      </c>
      <c r="AO201" s="5"/>
      <c r="AP201" s="5">
        <f t="shared" si="47"/>
        <v>63416.949152542373</v>
      </c>
      <c r="AQ201" s="20">
        <v>7580</v>
      </c>
      <c r="AR201" s="20"/>
      <c r="AT201" s="3">
        <v>33</v>
      </c>
      <c r="AV201" s="5">
        <f t="shared" si="56"/>
        <v>330</v>
      </c>
      <c r="AX201" s="38">
        <f t="shared" si="50"/>
        <v>514470</v>
      </c>
      <c r="BA201" s="3">
        <v>29</v>
      </c>
      <c r="BB201" s="3">
        <v>257</v>
      </c>
      <c r="BC201" s="3">
        <v>797</v>
      </c>
      <c r="BD201" s="3">
        <f t="shared" si="57"/>
        <v>1083</v>
      </c>
      <c r="BE201" s="3">
        <v>392</v>
      </c>
      <c r="BF201" s="3">
        <v>0</v>
      </c>
      <c r="BH201" s="3">
        <f t="shared" si="58"/>
        <v>2004</v>
      </c>
      <c r="BJ201" s="38">
        <f t="shared" si="51"/>
        <v>15190320</v>
      </c>
      <c r="BL201" s="3">
        <f t="shared" si="52"/>
        <v>74832</v>
      </c>
    </row>
    <row r="202" spans="1:64" x14ac:dyDescent="0.35">
      <c r="A202" s="1" t="s">
        <v>577</v>
      </c>
      <c r="B202" s="1" t="str">
        <f t="shared" si="53"/>
        <v>Entry</v>
      </c>
      <c r="C202" s="1" t="s">
        <v>79</v>
      </c>
      <c r="D202" s="1" t="s">
        <v>210</v>
      </c>
      <c r="E202" s="1" t="s">
        <v>81</v>
      </c>
      <c r="F202" s="1" t="s">
        <v>82</v>
      </c>
      <c r="G202" s="1" t="s">
        <v>568</v>
      </c>
      <c r="H202" s="1" t="s">
        <v>212</v>
      </c>
      <c r="I202" s="1" t="s">
        <v>85</v>
      </c>
      <c r="J202" s="1" t="s">
        <v>310</v>
      </c>
      <c r="K202" s="1" t="s">
        <v>92</v>
      </c>
      <c r="L202" s="1" t="s">
        <v>263</v>
      </c>
      <c r="M202" s="1" t="s">
        <v>56</v>
      </c>
      <c r="N202" s="1" t="s">
        <v>200</v>
      </c>
      <c r="O202" s="1" t="s">
        <v>87</v>
      </c>
      <c r="P202" s="1" t="s">
        <v>283</v>
      </c>
      <c r="Q202" s="1" t="s">
        <v>89</v>
      </c>
      <c r="R202" s="1" t="s">
        <v>61</v>
      </c>
      <c r="S202" s="1"/>
      <c r="T202" s="2">
        <v>29905.021572881349</v>
      </c>
      <c r="U202" s="13">
        <v>31622.101694915251</v>
      </c>
      <c r="V202" s="13">
        <v>692.15254237287445</v>
      </c>
      <c r="W202" s="13">
        <v>2510</v>
      </c>
      <c r="X202" s="13"/>
      <c r="Y202" s="2">
        <f>(U202*0.89-S202-V202-W202-X202)*1.18/0.92</f>
        <v>31990.20782608696</v>
      </c>
      <c r="Z202" s="18">
        <f>AC202</f>
        <v>31990</v>
      </c>
      <c r="AA202" s="5" t="s">
        <v>90</v>
      </c>
      <c r="AB202" s="5"/>
      <c r="AC202" s="14">
        <v>31990</v>
      </c>
      <c r="AD202" s="5">
        <f t="shared" si="54"/>
        <v>0.16203389830800499</v>
      </c>
      <c r="AE202" s="5"/>
      <c r="AF202" s="5">
        <f t="shared" si="55"/>
        <v>2510</v>
      </c>
      <c r="AG202" s="5"/>
      <c r="AH202" s="13">
        <v>692.15254237287445</v>
      </c>
      <c r="AI202" s="13">
        <v>3290</v>
      </c>
      <c r="AJ202" s="5"/>
      <c r="AL202" s="5"/>
      <c r="AM202" s="5">
        <v>30989.999999999996</v>
      </c>
      <c r="AN202" s="5">
        <f t="shared" si="49"/>
        <v>1000.2078260869639</v>
      </c>
      <c r="AO202" s="5"/>
      <c r="AP202" s="5">
        <f t="shared" si="47"/>
        <v>31622.101694915251</v>
      </c>
      <c r="AQ202" s="20">
        <v>692.15254237287445</v>
      </c>
      <c r="AR202" s="20">
        <v>3289.8230508474626</v>
      </c>
      <c r="AT202" s="3">
        <v>0</v>
      </c>
      <c r="AV202" s="5">
        <f t="shared" si="56"/>
        <v>0</v>
      </c>
      <c r="AX202" s="38">
        <f t="shared" si="50"/>
        <v>0</v>
      </c>
      <c r="BA202" s="3">
        <v>0</v>
      </c>
      <c r="BB202" s="3">
        <v>-1</v>
      </c>
      <c r="BC202" s="3">
        <v>0</v>
      </c>
      <c r="BD202" s="3">
        <f t="shared" si="57"/>
        <v>-1</v>
      </c>
      <c r="BE202" s="3">
        <v>0</v>
      </c>
      <c r="BF202" s="3">
        <v>0</v>
      </c>
      <c r="BH202" s="3">
        <f t="shared" si="58"/>
        <v>-2</v>
      </c>
      <c r="BJ202" s="38">
        <f t="shared" si="51"/>
        <v>-1384.3050847457489</v>
      </c>
      <c r="BL202" s="3">
        <f t="shared" si="52"/>
        <v>37314.079999999994</v>
      </c>
    </row>
    <row r="203" spans="1:64" x14ac:dyDescent="0.35">
      <c r="A203" s="1" t="s">
        <v>578</v>
      </c>
      <c r="B203" s="1" t="str">
        <f t="shared" si="53"/>
        <v>Mainstream</v>
      </c>
      <c r="C203" s="1" t="s">
        <v>79</v>
      </c>
      <c r="D203" s="1" t="s">
        <v>210</v>
      </c>
      <c r="E203" s="1" t="s">
        <v>81</v>
      </c>
      <c r="F203" s="1" t="s">
        <v>82</v>
      </c>
      <c r="G203" s="1" t="s">
        <v>568</v>
      </c>
      <c r="H203" s="1" t="s">
        <v>579</v>
      </c>
      <c r="I203" s="1" t="s">
        <v>85</v>
      </c>
      <c r="J203" s="1" t="s">
        <v>310</v>
      </c>
      <c r="K203" s="1" t="s">
        <v>92</v>
      </c>
      <c r="L203" s="1" t="s">
        <v>70</v>
      </c>
      <c r="M203" s="1" t="s">
        <v>56</v>
      </c>
      <c r="N203" s="1" t="s">
        <v>57</v>
      </c>
      <c r="O203" s="1" t="s">
        <v>87</v>
      </c>
      <c r="P203" s="1" t="s">
        <v>283</v>
      </c>
      <c r="Q203" s="1" t="s">
        <v>89</v>
      </c>
      <c r="R203" s="1" t="s">
        <v>61</v>
      </c>
      <c r="S203" s="1"/>
      <c r="T203" s="2">
        <v>32851.24573559322</v>
      </c>
      <c r="U203" s="13">
        <v>34737.491525423728</v>
      </c>
      <c r="V203" s="13">
        <v>1141.1132203389789</v>
      </c>
      <c r="W203" s="13">
        <v>2495</v>
      </c>
      <c r="X203" s="13"/>
      <c r="Y203" s="2">
        <f>(U203*0.89-S203-V203-W203-X203)*1.18/0.92</f>
        <v>34989.891304347831</v>
      </c>
      <c r="Z203" s="18">
        <f>AC203</f>
        <v>34990</v>
      </c>
      <c r="AA203" s="5" t="s">
        <v>90</v>
      </c>
      <c r="AB203" s="5"/>
      <c r="AC203" s="14">
        <v>34990</v>
      </c>
      <c r="AD203" s="5">
        <f t="shared" si="54"/>
        <v>-8.4745762707671493E-2</v>
      </c>
      <c r="AE203" s="5"/>
      <c r="AF203" s="5">
        <f t="shared" si="55"/>
        <v>2495</v>
      </c>
      <c r="AG203" s="5"/>
      <c r="AH203" s="13">
        <v>1141.1132203389789</v>
      </c>
      <c r="AI203" s="13">
        <v>3275</v>
      </c>
      <c r="AJ203" s="5"/>
      <c r="AL203" s="5"/>
      <c r="AM203" s="5">
        <v>33990</v>
      </c>
      <c r="AN203" s="5">
        <f t="shared" si="49"/>
        <v>999.89130434783146</v>
      </c>
      <c r="AO203" s="5"/>
      <c r="AP203" s="5">
        <f t="shared" si="47"/>
        <v>34737.491525423728</v>
      </c>
      <c r="AQ203" s="20">
        <v>1141.1132203389789</v>
      </c>
      <c r="AR203" s="20">
        <v>3274.5762711864445</v>
      </c>
      <c r="AT203" s="3">
        <v>0</v>
      </c>
      <c r="AV203" s="5">
        <f t="shared" si="56"/>
        <v>0</v>
      </c>
      <c r="AX203" s="38">
        <f t="shared" si="50"/>
        <v>0</v>
      </c>
      <c r="BA203" s="3">
        <v>0</v>
      </c>
      <c r="BB203" s="3">
        <v>-1</v>
      </c>
      <c r="BC203" s="3">
        <v>0</v>
      </c>
      <c r="BD203" s="3">
        <f t="shared" si="57"/>
        <v>-1</v>
      </c>
      <c r="BE203" s="3">
        <v>0</v>
      </c>
      <c r="BF203" s="3">
        <v>0</v>
      </c>
      <c r="BH203" s="3">
        <f t="shared" si="58"/>
        <v>-2</v>
      </c>
      <c r="BJ203" s="38">
        <f t="shared" si="51"/>
        <v>-2282.2264406779577</v>
      </c>
      <c r="BL203" s="3">
        <f t="shared" si="52"/>
        <v>40990.239999999998</v>
      </c>
    </row>
    <row r="204" spans="1:64" x14ac:dyDescent="0.35">
      <c r="A204" s="1" t="s">
        <v>580</v>
      </c>
      <c r="B204" s="1" t="str">
        <f t="shared" si="53"/>
        <v>Entry</v>
      </c>
      <c r="C204" s="1" t="s">
        <v>79</v>
      </c>
      <c r="D204" s="1" t="s">
        <v>210</v>
      </c>
      <c r="E204" s="1" t="s">
        <v>81</v>
      </c>
      <c r="F204" s="1" t="s">
        <v>82</v>
      </c>
      <c r="G204" s="1" t="s">
        <v>568</v>
      </c>
      <c r="H204" s="1" t="s">
        <v>212</v>
      </c>
      <c r="I204" s="1" t="s">
        <v>85</v>
      </c>
      <c r="J204" s="1" t="s">
        <v>310</v>
      </c>
      <c r="K204" s="1" t="s">
        <v>92</v>
      </c>
      <c r="L204" s="1" t="s">
        <v>70</v>
      </c>
      <c r="M204" s="1" t="s">
        <v>56</v>
      </c>
      <c r="N204" s="1" t="s">
        <v>57</v>
      </c>
      <c r="O204" s="1" t="s">
        <v>87</v>
      </c>
      <c r="P204" s="1" t="s">
        <v>283</v>
      </c>
      <c r="Q204" s="1" t="s">
        <v>89</v>
      </c>
      <c r="R204" s="1" t="s">
        <v>61</v>
      </c>
      <c r="S204" s="1"/>
      <c r="T204" s="2">
        <v>32054.100779661021</v>
      </c>
      <c r="U204" s="13">
        <v>33894.576271186445</v>
      </c>
      <c r="V204" s="13">
        <v>391</v>
      </c>
      <c r="W204" s="13">
        <v>2495</v>
      </c>
      <c r="X204" s="13"/>
      <c r="Y204" s="2">
        <f>(U204*0.89-S204-V204-W204-X204)*1.18/0.92</f>
        <v>34989.786956521741</v>
      </c>
      <c r="Z204" s="18">
        <f>AC204</f>
        <v>34990</v>
      </c>
      <c r="AA204" s="5" t="s">
        <v>90</v>
      </c>
      <c r="AB204" s="5"/>
      <c r="AC204" s="14">
        <v>34990</v>
      </c>
      <c r="AD204" s="5">
        <f t="shared" si="54"/>
        <v>-0.16610169491407037</v>
      </c>
      <c r="AE204" s="5"/>
      <c r="AF204" s="5">
        <f t="shared" si="55"/>
        <v>2495</v>
      </c>
      <c r="AG204" s="5"/>
      <c r="AH204" s="13">
        <v>391</v>
      </c>
      <c r="AI204" s="13">
        <v>3275</v>
      </c>
      <c r="AJ204" s="5"/>
      <c r="AL204" s="5"/>
      <c r="AM204" s="5">
        <v>33990</v>
      </c>
      <c r="AN204" s="5">
        <f t="shared" si="49"/>
        <v>999.78695652174065</v>
      </c>
      <c r="AO204" s="5"/>
      <c r="AP204" s="5">
        <f t="shared" si="47"/>
        <v>33894.576271186445</v>
      </c>
      <c r="AQ204" s="20">
        <v>391</v>
      </c>
      <c r="AR204" s="20">
        <v>3274.4949152542395</v>
      </c>
      <c r="AT204" s="3">
        <v>68</v>
      </c>
      <c r="AV204" s="5">
        <f t="shared" si="56"/>
        <v>680</v>
      </c>
      <c r="AX204" s="38">
        <f t="shared" si="50"/>
        <v>1696600</v>
      </c>
      <c r="BA204" s="3">
        <v>-1</v>
      </c>
      <c r="BB204" s="3">
        <v>0</v>
      </c>
      <c r="BC204" s="3">
        <v>0</v>
      </c>
      <c r="BD204" s="3">
        <f t="shared" si="57"/>
        <v>-1</v>
      </c>
      <c r="BE204" s="3">
        <v>0</v>
      </c>
      <c r="BF204" s="3">
        <v>0</v>
      </c>
      <c r="BH204" s="3">
        <f t="shared" si="58"/>
        <v>-2</v>
      </c>
      <c r="BJ204" s="38">
        <f t="shared" si="51"/>
        <v>-782</v>
      </c>
      <c r="BL204" s="3">
        <f t="shared" si="52"/>
        <v>39995.600000000006</v>
      </c>
    </row>
    <row r="205" spans="1:64" x14ac:dyDescent="0.35">
      <c r="A205" s="1" t="s">
        <v>581</v>
      </c>
      <c r="B205" s="1" t="str">
        <f t="shared" si="53"/>
        <v>Entry</v>
      </c>
      <c r="C205" s="1" t="s">
        <v>79</v>
      </c>
      <c r="D205" s="1" t="s">
        <v>210</v>
      </c>
      <c r="E205" s="1" t="s">
        <v>81</v>
      </c>
      <c r="F205" s="1" t="s">
        <v>82</v>
      </c>
      <c r="G205" s="1" t="s">
        <v>568</v>
      </c>
      <c r="H205" s="1" t="s">
        <v>212</v>
      </c>
      <c r="I205" s="1" t="s">
        <v>85</v>
      </c>
      <c r="J205" s="1" t="s">
        <v>310</v>
      </c>
      <c r="K205" s="1" t="s">
        <v>92</v>
      </c>
      <c r="L205" s="1" t="s">
        <v>263</v>
      </c>
      <c r="M205" s="1" t="s">
        <v>56</v>
      </c>
      <c r="N205" s="1" t="s">
        <v>200</v>
      </c>
      <c r="O205" s="1" t="s">
        <v>87</v>
      </c>
      <c r="P205" s="1" t="s">
        <v>283</v>
      </c>
      <c r="Q205" s="1" t="s">
        <v>89</v>
      </c>
      <c r="R205" s="1" t="s">
        <v>61</v>
      </c>
      <c r="S205" s="1"/>
      <c r="T205" s="2">
        <v>30446.154318644072</v>
      </c>
      <c r="U205" s="13">
        <v>32194.305084745771</v>
      </c>
      <c r="V205" s="13">
        <v>1264.3559322033943</v>
      </c>
      <c r="W205" s="13">
        <v>2447</v>
      </c>
      <c r="X205" s="13"/>
      <c r="Y205" s="2">
        <f>(U205*0.89-S205-V205-W205-X205)*1.18/0.92</f>
        <v>31990.281739130438</v>
      </c>
      <c r="Z205" s="18">
        <f>AC205</f>
        <v>31990</v>
      </c>
      <c r="AA205" s="5" t="s">
        <v>90</v>
      </c>
      <c r="AB205" s="5"/>
      <c r="AC205" s="14">
        <v>31990</v>
      </c>
      <c r="AD205" s="5">
        <f t="shared" si="54"/>
        <v>0.2196610169516042</v>
      </c>
      <c r="AE205" s="5"/>
      <c r="AF205" s="5">
        <f t="shared" si="55"/>
        <v>2447</v>
      </c>
      <c r="AG205" s="5"/>
      <c r="AH205" s="13">
        <v>1264.3559322033943</v>
      </c>
      <c r="AI205" s="13">
        <v>3227</v>
      </c>
      <c r="AJ205" s="5"/>
      <c r="AL205" s="5"/>
      <c r="AM205" s="5">
        <v>30989.999999999996</v>
      </c>
      <c r="AN205" s="5">
        <f t="shared" si="49"/>
        <v>1000.2817391304416</v>
      </c>
      <c r="AO205" s="5"/>
      <c r="AP205" s="5">
        <f t="shared" si="47"/>
        <v>32194.305084745771</v>
      </c>
      <c r="AQ205" s="20">
        <v>1264.3559322033943</v>
      </c>
      <c r="AR205" s="20">
        <v>3226.8806779661063</v>
      </c>
      <c r="AT205" s="3">
        <v>0</v>
      </c>
      <c r="AV205" s="5">
        <f t="shared" si="56"/>
        <v>0</v>
      </c>
      <c r="AX205" s="38">
        <f t="shared" si="50"/>
        <v>0</v>
      </c>
      <c r="BA205" s="3">
        <v>0</v>
      </c>
      <c r="BB205" s="3">
        <v>0</v>
      </c>
      <c r="BC205" s="3">
        <v>0</v>
      </c>
      <c r="BD205" s="3">
        <f t="shared" si="57"/>
        <v>0</v>
      </c>
      <c r="BE205" s="3">
        <v>0</v>
      </c>
      <c r="BF205" s="3">
        <v>0</v>
      </c>
      <c r="BH205" s="3">
        <f t="shared" si="58"/>
        <v>0</v>
      </c>
      <c r="BJ205" s="38">
        <f t="shared" si="51"/>
        <v>0</v>
      </c>
      <c r="BL205" s="3">
        <f t="shared" si="52"/>
        <v>37989.280000000006</v>
      </c>
    </row>
    <row r="206" spans="1:64" x14ac:dyDescent="0.35">
      <c r="A206" s="1" t="s">
        <v>582</v>
      </c>
      <c r="B206" s="1" t="str">
        <f t="shared" si="53"/>
        <v>Entry</v>
      </c>
      <c r="C206" s="1" t="s">
        <v>79</v>
      </c>
      <c r="D206" s="1" t="s">
        <v>210</v>
      </c>
      <c r="E206" s="1" t="s">
        <v>81</v>
      </c>
      <c r="F206" s="1" t="s">
        <v>82</v>
      </c>
      <c r="G206" s="1" t="s">
        <v>83</v>
      </c>
      <c r="H206" s="1" t="s">
        <v>212</v>
      </c>
      <c r="I206" s="1" t="s">
        <v>85</v>
      </c>
      <c r="J206" s="1" t="s">
        <v>310</v>
      </c>
      <c r="K206" s="1" t="s">
        <v>92</v>
      </c>
      <c r="L206" s="1" t="s">
        <v>263</v>
      </c>
      <c r="M206" s="1" t="s">
        <v>56</v>
      </c>
      <c r="N206" s="1" t="s">
        <v>57</v>
      </c>
      <c r="O206" s="1" t="s">
        <v>87</v>
      </c>
      <c r="P206" s="1" t="s">
        <v>88</v>
      </c>
      <c r="Q206" s="1" t="s">
        <v>89</v>
      </c>
      <c r="R206" s="7" t="s">
        <v>61</v>
      </c>
      <c r="S206" s="1">
        <v>725</v>
      </c>
      <c r="T206" s="2">
        <v>31247.851457627123</v>
      </c>
      <c r="U206" s="13">
        <v>33042.03389830509</v>
      </c>
      <c r="V206" s="13">
        <v>1402.0711864406767</v>
      </c>
      <c r="W206" s="13">
        <v>2339</v>
      </c>
      <c r="X206" s="13"/>
      <c r="Y206" s="2">
        <f>(U206*0.89-S206-V206-W206-X206)*1.18/0.92</f>
        <v>31989.978260869571</v>
      </c>
      <c r="Z206" s="18">
        <f>AC206</f>
        <v>31990</v>
      </c>
      <c r="AA206" s="5" t="s">
        <v>90</v>
      </c>
      <c r="AB206" s="5"/>
      <c r="AC206" s="14">
        <v>31990</v>
      </c>
      <c r="AD206" s="5">
        <f t="shared" si="54"/>
        <v>-1.694915253756335E-2</v>
      </c>
      <c r="AE206" s="5"/>
      <c r="AF206" s="5">
        <f t="shared" si="55"/>
        <v>2339</v>
      </c>
      <c r="AG206" s="5"/>
      <c r="AH206" s="13">
        <v>1402.0711864406767</v>
      </c>
      <c r="AI206" s="13">
        <v>3119</v>
      </c>
      <c r="AJ206" s="5"/>
      <c r="AL206" s="5"/>
      <c r="AM206" s="5">
        <v>30989.999999999996</v>
      </c>
      <c r="AN206" s="5">
        <f t="shared" si="49"/>
        <v>999.97826086957502</v>
      </c>
      <c r="AO206" s="5"/>
      <c r="AP206" s="5">
        <f t="shared" si="47"/>
        <v>33042.03389830509</v>
      </c>
      <c r="AQ206" s="20">
        <v>1402.0711864406767</v>
      </c>
      <c r="AR206" s="20">
        <v>3118.6440677966166</v>
      </c>
      <c r="AT206" s="3">
        <v>0</v>
      </c>
      <c r="AV206" s="5">
        <f t="shared" si="56"/>
        <v>0</v>
      </c>
      <c r="AX206" s="38">
        <f t="shared" si="50"/>
        <v>0</v>
      </c>
      <c r="BA206" s="3">
        <v>0</v>
      </c>
      <c r="BB206" s="3">
        <v>0</v>
      </c>
      <c r="BC206" s="3">
        <v>0</v>
      </c>
      <c r="BD206" s="3">
        <f t="shared" si="57"/>
        <v>0</v>
      </c>
      <c r="BE206" s="3">
        <v>1</v>
      </c>
      <c r="BF206" s="3">
        <v>3</v>
      </c>
      <c r="BH206" s="3">
        <f t="shared" si="58"/>
        <v>0</v>
      </c>
      <c r="BJ206" s="38">
        <f t="shared" si="51"/>
        <v>0</v>
      </c>
      <c r="BL206" s="3">
        <f t="shared" si="52"/>
        <v>38989.600000000006</v>
      </c>
    </row>
    <row r="207" spans="1:64" x14ac:dyDescent="0.35">
      <c r="A207" s="1" t="s">
        <v>583</v>
      </c>
      <c r="B207" s="1" t="str">
        <f t="shared" si="53"/>
        <v>Mainstream</v>
      </c>
      <c r="C207" s="1" t="s">
        <v>46</v>
      </c>
      <c r="D207" s="1" t="s">
        <v>135</v>
      </c>
      <c r="E207" s="1" t="s">
        <v>48</v>
      </c>
      <c r="F207" s="1" t="s">
        <v>65</v>
      </c>
      <c r="G207" s="1" t="s">
        <v>107</v>
      </c>
      <c r="H207" s="1" t="s">
        <v>123</v>
      </c>
      <c r="I207" s="1" t="s">
        <v>108</v>
      </c>
      <c r="J207" s="1" t="s">
        <v>288</v>
      </c>
      <c r="K207" s="1" t="s">
        <v>92</v>
      </c>
      <c r="L207" s="1" t="s">
        <v>70</v>
      </c>
      <c r="M207" s="1" t="s">
        <v>100</v>
      </c>
      <c r="N207" s="1" t="s">
        <v>139</v>
      </c>
      <c r="O207" s="1" t="s">
        <v>110</v>
      </c>
      <c r="P207" s="1" t="s">
        <v>111</v>
      </c>
      <c r="Q207" s="1" t="s">
        <v>112</v>
      </c>
      <c r="R207" s="1" t="s">
        <v>73</v>
      </c>
      <c r="S207" s="1">
        <v>0</v>
      </c>
      <c r="T207" s="2">
        <f>U207*0.98*0.98</f>
        <v>49252.242033898299</v>
      </c>
      <c r="U207" s="13">
        <v>51283.050847457627</v>
      </c>
      <c r="V207" s="13">
        <v>0</v>
      </c>
      <c r="W207" s="13">
        <v>360</v>
      </c>
      <c r="X207" s="13"/>
      <c r="Y207" s="2">
        <f>(U207*0.98-S207-V207-W207-X207)*1.18/0.92</f>
        <v>63998.82608695652</v>
      </c>
      <c r="Z207" s="18">
        <v>63990</v>
      </c>
      <c r="AA207" s="5"/>
      <c r="AB207" s="5"/>
      <c r="AC207" s="14">
        <v>0</v>
      </c>
      <c r="AD207" s="5">
        <v>0</v>
      </c>
      <c r="AE207" s="5"/>
      <c r="AF207" s="5">
        <f t="shared" si="55"/>
        <v>360</v>
      </c>
      <c r="AG207" s="5"/>
      <c r="AH207" s="13">
        <v>0</v>
      </c>
      <c r="AI207" s="13">
        <v>360</v>
      </c>
      <c r="AJ207" s="5"/>
      <c r="AL207" s="5"/>
      <c r="AM207" s="5">
        <v>63998.82608695652</v>
      </c>
      <c r="AN207" s="5">
        <f t="shared" si="49"/>
        <v>0</v>
      </c>
      <c r="AO207" s="5"/>
      <c r="AP207" s="5">
        <f t="shared" si="47"/>
        <v>51283.050847457627</v>
      </c>
      <c r="AQ207" s="20">
        <v>0</v>
      </c>
      <c r="AR207" s="20">
        <v>360</v>
      </c>
      <c r="AT207" s="3">
        <v>0</v>
      </c>
      <c r="AV207" s="5">
        <f t="shared" si="56"/>
        <v>0</v>
      </c>
      <c r="AX207" s="38">
        <f t="shared" si="50"/>
        <v>0</v>
      </c>
      <c r="BA207" s="3">
        <v>0</v>
      </c>
      <c r="BB207" s="3">
        <v>0</v>
      </c>
      <c r="BC207" s="3">
        <v>0</v>
      </c>
      <c r="BD207" s="3">
        <f t="shared" si="57"/>
        <v>0</v>
      </c>
      <c r="BE207" s="3">
        <v>0</v>
      </c>
      <c r="BF207" s="3">
        <v>0</v>
      </c>
      <c r="BH207" s="3">
        <f t="shared" si="58"/>
        <v>0</v>
      </c>
      <c r="BJ207" s="38">
        <f t="shared" si="51"/>
        <v>0</v>
      </c>
      <c r="BL207" s="3">
        <f t="shared" si="52"/>
        <v>60514</v>
      </c>
    </row>
    <row r="208" spans="1:64" x14ac:dyDescent="0.35">
      <c r="A208" s="1" t="s">
        <v>584</v>
      </c>
      <c r="B208" s="1" t="str">
        <f t="shared" si="53"/>
        <v>Mainstream</v>
      </c>
      <c r="C208" s="1" t="s">
        <v>79</v>
      </c>
      <c r="D208" s="1" t="s">
        <v>210</v>
      </c>
      <c r="E208" s="1" t="s">
        <v>81</v>
      </c>
      <c r="F208" s="1" t="s">
        <v>82</v>
      </c>
      <c r="G208" s="1" t="s">
        <v>83</v>
      </c>
      <c r="H208" s="1" t="s">
        <v>212</v>
      </c>
      <c r="I208" s="1" t="s">
        <v>85</v>
      </c>
      <c r="J208" s="1" t="s">
        <v>310</v>
      </c>
      <c r="K208" s="1" t="s">
        <v>92</v>
      </c>
      <c r="L208" s="1" t="s">
        <v>70</v>
      </c>
      <c r="M208" s="1" t="s">
        <v>100</v>
      </c>
      <c r="N208" s="1" t="s">
        <v>200</v>
      </c>
      <c r="O208" s="1" t="s">
        <v>87</v>
      </c>
      <c r="P208" s="1" t="s">
        <v>88</v>
      </c>
      <c r="Q208" s="1" t="s">
        <v>89</v>
      </c>
      <c r="R208" s="1" t="s">
        <v>61</v>
      </c>
      <c r="S208" s="1">
        <v>725</v>
      </c>
      <c r="T208" s="2">
        <v>32210.141279661017</v>
      </c>
      <c r="U208" s="13">
        <v>34059.576271186445</v>
      </c>
      <c r="V208" s="13">
        <v>0</v>
      </c>
      <c r="W208" s="13">
        <v>2308</v>
      </c>
      <c r="X208" s="13"/>
      <c r="Y208" s="2">
        <f>(U208*0.89-S208-V208-W208-X208)*1.18/0.92</f>
        <v>34989.59456521739</v>
      </c>
      <c r="Z208" s="18">
        <f>AC208</f>
        <v>34990</v>
      </c>
      <c r="AA208" s="5" t="s">
        <v>90</v>
      </c>
      <c r="AB208" s="5"/>
      <c r="AC208" s="14">
        <v>34990</v>
      </c>
      <c r="AD208" s="5">
        <f t="shared" si="54"/>
        <v>-0.31610169491589551</v>
      </c>
      <c r="AE208" s="5"/>
      <c r="AF208" s="5">
        <f t="shared" si="55"/>
        <v>2308</v>
      </c>
      <c r="AG208" s="5"/>
      <c r="AH208" s="13">
        <v>0</v>
      </c>
      <c r="AI208" s="13">
        <v>3087</v>
      </c>
      <c r="AJ208" s="5"/>
      <c r="AL208" s="5"/>
      <c r="AM208" s="5">
        <v>33990</v>
      </c>
      <c r="AN208" s="5">
        <f t="shared" si="49"/>
        <v>999.59456521739048</v>
      </c>
      <c r="AO208" s="5"/>
      <c r="AP208" s="5">
        <f t="shared" si="47"/>
        <v>34059.576271186445</v>
      </c>
      <c r="AQ208" s="20">
        <v>0</v>
      </c>
      <c r="AR208" s="20">
        <v>3087.3449152542416</v>
      </c>
      <c r="AT208" s="3">
        <v>0</v>
      </c>
      <c r="AV208" s="5">
        <f t="shared" si="56"/>
        <v>0</v>
      </c>
      <c r="AX208" s="38">
        <f t="shared" si="50"/>
        <v>0</v>
      </c>
      <c r="BA208" s="3">
        <v>0</v>
      </c>
      <c r="BB208" s="3">
        <v>0</v>
      </c>
      <c r="BC208" s="3">
        <v>0</v>
      </c>
      <c r="BD208" s="3">
        <f t="shared" si="57"/>
        <v>0</v>
      </c>
      <c r="BE208" s="3">
        <v>0</v>
      </c>
      <c r="BF208" s="3">
        <v>0</v>
      </c>
      <c r="BH208" s="3">
        <f t="shared" si="58"/>
        <v>0</v>
      </c>
      <c r="BJ208" s="38">
        <f t="shared" si="51"/>
        <v>0</v>
      </c>
      <c r="BL208" s="3">
        <f t="shared" si="52"/>
        <v>40190.300000000003</v>
      </c>
    </row>
    <row r="209" spans="1:64" x14ac:dyDescent="0.35">
      <c r="A209" s="1" t="s">
        <v>585</v>
      </c>
      <c r="B209" s="1" t="str">
        <f t="shared" si="53"/>
        <v>Entry</v>
      </c>
      <c r="C209" s="1" t="s">
        <v>79</v>
      </c>
      <c r="D209" s="1" t="s">
        <v>210</v>
      </c>
      <c r="E209" s="1" t="s">
        <v>81</v>
      </c>
      <c r="F209" s="1" t="s">
        <v>82</v>
      </c>
      <c r="G209" s="1" t="s">
        <v>586</v>
      </c>
      <c r="H209" s="1" t="s">
        <v>212</v>
      </c>
      <c r="I209" s="1" t="s">
        <v>85</v>
      </c>
      <c r="J209" s="1" t="s">
        <v>310</v>
      </c>
      <c r="K209" s="1" t="s">
        <v>92</v>
      </c>
      <c r="L209" s="1" t="s">
        <v>70</v>
      </c>
      <c r="M209" s="1" t="s">
        <v>56</v>
      </c>
      <c r="N209" s="1" t="s">
        <v>57</v>
      </c>
      <c r="O209" s="1" t="s">
        <v>87</v>
      </c>
      <c r="P209" s="1" t="s">
        <v>587</v>
      </c>
      <c r="Q209" s="1" t="s">
        <v>89</v>
      </c>
      <c r="R209" s="1" t="s">
        <v>61</v>
      </c>
      <c r="S209" s="1"/>
      <c r="T209" s="2">
        <v>31473.025671300704</v>
      </c>
      <c r="U209" s="13">
        <v>33280.137116739672</v>
      </c>
      <c r="V209" s="13">
        <v>0</v>
      </c>
      <c r="W209" s="13">
        <v>3119</v>
      </c>
      <c r="X209" s="13"/>
      <c r="Y209" s="2">
        <f>(U209*0.89-S209-V209-W209-X209)*1.18/0.92</f>
        <v>33989.543478260872</v>
      </c>
      <c r="Z209" s="18">
        <f>AC209</f>
        <v>33990</v>
      </c>
      <c r="AA209" s="5" t="s">
        <v>90</v>
      </c>
      <c r="AB209" s="5"/>
      <c r="AC209" s="14">
        <v>33990</v>
      </c>
      <c r="AD209" s="5">
        <f t="shared" si="54"/>
        <v>-0.35593220338810405</v>
      </c>
      <c r="AE209" s="5"/>
      <c r="AF209" s="5">
        <f t="shared" si="55"/>
        <v>3119</v>
      </c>
      <c r="AG209" s="5"/>
      <c r="AH209" s="13">
        <v>0</v>
      </c>
      <c r="AI209" s="13">
        <v>3898</v>
      </c>
      <c r="AJ209" s="5"/>
      <c r="AL209" s="5"/>
      <c r="AM209" s="5">
        <v>32990</v>
      </c>
      <c r="AN209" s="5">
        <f t="shared" si="49"/>
        <v>999.54347826087178</v>
      </c>
      <c r="AO209" s="5"/>
      <c r="AP209" s="5">
        <f t="shared" si="47"/>
        <v>33280.137116739672</v>
      </c>
      <c r="AQ209" s="20">
        <v>0</v>
      </c>
      <c r="AR209" s="20">
        <v>3898.3050847457635</v>
      </c>
      <c r="AT209" s="3">
        <v>1</v>
      </c>
      <c r="AV209" s="5">
        <f t="shared" si="56"/>
        <v>10</v>
      </c>
      <c r="AX209" s="38">
        <f t="shared" si="50"/>
        <v>31190</v>
      </c>
      <c r="BA209" s="3">
        <v>0</v>
      </c>
      <c r="BB209" s="3">
        <v>0</v>
      </c>
      <c r="BC209" s="3">
        <v>0</v>
      </c>
      <c r="BD209" s="3">
        <f t="shared" si="57"/>
        <v>0</v>
      </c>
      <c r="BE209" s="3">
        <v>0</v>
      </c>
      <c r="BF209" s="3">
        <v>0</v>
      </c>
      <c r="BH209" s="3">
        <f t="shared" si="58"/>
        <v>0</v>
      </c>
      <c r="BJ209" s="38">
        <f t="shared" si="51"/>
        <v>0</v>
      </c>
      <c r="BL209" s="3">
        <f t="shared" si="52"/>
        <v>39270.561797752809</v>
      </c>
    </row>
    <row r="210" spans="1:64" x14ac:dyDescent="0.35">
      <c r="A210" s="1" t="s">
        <v>588</v>
      </c>
      <c r="B210" s="1" t="str">
        <f t="shared" si="53"/>
        <v>Mainstream</v>
      </c>
      <c r="C210" s="1" t="s">
        <v>46</v>
      </c>
      <c r="D210" s="1" t="s">
        <v>460</v>
      </c>
      <c r="E210" s="1" t="s">
        <v>81</v>
      </c>
      <c r="F210" s="1" t="s">
        <v>82</v>
      </c>
      <c r="G210" s="1" t="s">
        <v>83</v>
      </c>
      <c r="H210" s="1" t="s">
        <v>67</v>
      </c>
      <c r="I210" s="1" t="s">
        <v>85</v>
      </c>
      <c r="J210" s="1" t="s">
        <v>589</v>
      </c>
      <c r="K210" s="1" t="s">
        <v>54</v>
      </c>
      <c r="L210" s="1" t="s">
        <v>70</v>
      </c>
      <c r="M210" s="1" t="s">
        <v>100</v>
      </c>
      <c r="N210" s="1" t="s">
        <v>200</v>
      </c>
      <c r="O210" s="1" t="s">
        <v>87</v>
      </c>
      <c r="P210" s="1" t="s">
        <v>161</v>
      </c>
      <c r="Q210" s="1" t="s">
        <v>165</v>
      </c>
      <c r="R210" s="1" t="s">
        <v>61</v>
      </c>
      <c r="S210" s="1">
        <v>725</v>
      </c>
      <c r="T210" s="2">
        <v>51444</v>
      </c>
      <c r="U210" s="13">
        <v>54398.305084745763</v>
      </c>
      <c r="V210" s="13">
        <v>0</v>
      </c>
      <c r="W210" s="13">
        <v>762</v>
      </c>
      <c r="X210" s="13"/>
      <c r="Y210" s="2">
        <f>(U210*0.89-S210-V210-W210-X210)*1.18/0.92</f>
        <v>60189.608695652169</v>
      </c>
      <c r="Z210" s="18">
        <f>AC210</f>
        <v>60190</v>
      </c>
      <c r="AA210" s="5" t="s">
        <v>90</v>
      </c>
      <c r="AB210" s="5"/>
      <c r="AC210" s="14">
        <v>60190</v>
      </c>
      <c r="AD210" s="5">
        <f t="shared" si="54"/>
        <v>-0.30508474576690481</v>
      </c>
      <c r="AE210" s="5"/>
      <c r="AF210" s="5">
        <f t="shared" si="55"/>
        <v>762</v>
      </c>
      <c r="AG210" s="5"/>
      <c r="AH210" s="13">
        <v>0</v>
      </c>
      <c r="AI210" s="13">
        <v>217.71186440678139</v>
      </c>
      <c r="AJ210" s="5"/>
      <c r="AL210" s="5"/>
      <c r="AM210" s="5">
        <v>60189.999999999993</v>
      </c>
      <c r="AN210" s="5">
        <f t="shared" si="49"/>
        <v>-0.39130434782418888</v>
      </c>
      <c r="AO210" s="5"/>
      <c r="AP210" s="5">
        <f t="shared" si="47"/>
        <v>54398.305084745763</v>
      </c>
      <c r="AQ210" s="20">
        <v>0</v>
      </c>
      <c r="AR210" s="20">
        <v>217.71186440678139</v>
      </c>
      <c r="AT210" s="3">
        <v>2</v>
      </c>
      <c r="AV210" s="5">
        <f t="shared" si="56"/>
        <v>20</v>
      </c>
      <c r="AX210" s="38">
        <f t="shared" si="50"/>
        <v>15240</v>
      </c>
      <c r="BA210" s="3">
        <v>0</v>
      </c>
      <c r="BB210" s="3">
        <v>0</v>
      </c>
      <c r="BC210" s="3">
        <v>0</v>
      </c>
      <c r="BD210" s="3">
        <f t="shared" si="57"/>
        <v>0</v>
      </c>
      <c r="BE210" s="3">
        <v>0</v>
      </c>
      <c r="BF210" s="3">
        <v>0</v>
      </c>
      <c r="BH210" s="3">
        <f t="shared" si="58"/>
        <v>0</v>
      </c>
      <c r="BJ210" s="38">
        <f t="shared" si="51"/>
        <v>0</v>
      </c>
      <c r="BL210" s="3">
        <f t="shared" si="52"/>
        <v>64190</v>
      </c>
    </row>
    <row r="211" spans="1:64" x14ac:dyDescent="0.35">
      <c r="A211" s="4" t="s">
        <v>590</v>
      </c>
      <c r="B211" s="1" t="str">
        <f t="shared" si="53"/>
        <v>Premium</v>
      </c>
      <c r="C211" s="1" t="s">
        <v>46</v>
      </c>
      <c r="D211" s="1" t="s">
        <v>96</v>
      </c>
      <c r="E211" s="1" t="s">
        <v>48</v>
      </c>
      <c r="F211" s="1" t="s">
        <v>65</v>
      </c>
      <c r="G211" s="1" t="s">
        <v>328</v>
      </c>
      <c r="H211" s="1" t="s">
        <v>84</v>
      </c>
      <c r="I211" s="1" t="s">
        <v>68</v>
      </c>
      <c r="J211" s="1" t="s">
        <v>591</v>
      </c>
      <c r="K211" s="1" t="s">
        <v>54</v>
      </c>
      <c r="L211" s="1" t="s">
        <v>70</v>
      </c>
      <c r="M211" s="1" t="s">
        <v>100</v>
      </c>
      <c r="N211" s="1" t="s">
        <v>57</v>
      </c>
      <c r="O211" s="1" t="s">
        <v>110</v>
      </c>
      <c r="P211" s="1" t="s">
        <v>129</v>
      </c>
      <c r="Q211" s="1" t="s">
        <v>104</v>
      </c>
      <c r="R211" s="1" t="s">
        <v>73</v>
      </c>
      <c r="S211" s="1">
        <v>0</v>
      </c>
      <c r="T211" s="2">
        <f>U211*0.98*0.98</f>
        <v>54437.588135593222</v>
      </c>
      <c r="U211" s="13">
        <v>56682.203389830509</v>
      </c>
      <c r="V211" s="13">
        <v>0</v>
      </c>
      <c r="W211" s="13">
        <v>0</v>
      </c>
      <c r="X211" s="13">
        <v>2539.4067796610229</v>
      </c>
      <c r="Y211" s="2">
        <f>(U211*0.98-S211-V211-W211-X211)*1.18/0.92</f>
        <v>67989.999999999985</v>
      </c>
      <c r="Z211" s="1">
        <v>67990</v>
      </c>
      <c r="AA211" s="5"/>
      <c r="AB211" s="5"/>
      <c r="AC211" s="14">
        <v>67990</v>
      </c>
      <c r="AD211" s="5">
        <f t="shared" si="54"/>
        <v>-1.1345561025506361E-11</v>
      </c>
      <c r="AE211" s="5"/>
      <c r="AF211" s="5">
        <f t="shared" si="55"/>
        <v>2539.4067796610229</v>
      </c>
      <c r="AG211" s="5"/>
      <c r="AH211" s="13">
        <v>0</v>
      </c>
      <c r="AI211" s="13"/>
      <c r="AJ211" s="5"/>
      <c r="AL211" s="5"/>
      <c r="AM211" s="5">
        <v>71247.065217391311</v>
      </c>
      <c r="AN211" s="5">
        <f t="shared" si="49"/>
        <v>-3257.0652173913259</v>
      </c>
      <c r="AO211" s="5"/>
      <c r="AP211" s="5">
        <f t="shared" si="47"/>
        <v>56682.203389830509</v>
      </c>
      <c r="AQ211" s="20">
        <v>0</v>
      </c>
      <c r="AR211" s="20"/>
      <c r="AT211" s="3">
        <v>2</v>
      </c>
      <c r="AV211" s="5">
        <f t="shared" si="56"/>
        <v>20</v>
      </c>
      <c r="AX211" s="38">
        <f t="shared" si="50"/>
        <v>0</v>
      </c>
      <c r="BA211" s="3">
        <v>0</v>
      </c>
      <c r="BB211" s="3">
        <v>0</v>
      </c>
      <c r="BC211" s="3">
        <v>0</v>
      </c>
      <c r="BD211" s="3">
        <f t="shared" si="57"/>
        <v>0</v>
      </c>
      <c r="BE211" s="3">
        <v>690</v>
      </c>
      <c r="BF211" s="3">
        <v>25</v>
      </c>
      <c r="BH211" s="3">
        <f t="shared" si="58"/>
        <v>0</v>
      </c>
      <c r="BJ211" s="38">
        <f t="shared" si="51"/>
        <v>0</v>
      </c>
      <c r="BL211" s="3">
        <f t="shared" si="52"/>
        <v>66885</v>
      </c>
    </row>
    <row r="212" spans="1:64" x14ac:dyDescent="0.35">
      <c r="A212" s="1" t="s">
        <v>592</v>
      </c>
      <c r="B212" s="1" t="str">
        <f t="shared" si="53"/>
        <v>Mainstream</v>
      </c>
      <c r="C212" s="1" t="s">
        <v>46</v>
      </c>
      <c r="D212" s="1" t="s">
        <v>460</v>
      </c>
      <c r="E212" s="1" t="s">
        <v>81</v>
      </c>
      <c r="F212" s="1" t="s">
        <v>82</v>
      </c>
      <c r="G212" s="1" t="s">
        <v>83</v>
      </c>
      <c r="H212" s="1" t="s">
        <v>67</v>
      </c>
      <c r="I212" s="1" t="s">
        <v>85</v>
      </c>
      <c r="J212" s="1" t="s">
        <v>593</v>
      </c>
      <c r="K212" s="1" t="s">
        <v>54</v>
      </c>
      <c r="L212" s="1" t="s">
        <v>70</v>
      </c>
      <c r="M212" s="1" t="s">
        <v>56</v>
      </c>
      <c r="N212" s="1" t="s">
        <v>200</v>
      </c>
      <c r="O212" s="1" t="s">
        <v>87</v>
      </c>
      <c r="P212" s="1" t="s">
        <v>161</v>
      </c>
      <c r="Q212" s="1" t="s">
        <v>89</v>
      </c>
      <c r="R212" s="1" t="s">
        <v>73</v>
      </c>
      <c r="S212" s="26">
        <v>0</v>
      </c>
      <c r="T212" s="2">
        <v>45844</v>
      </c>
      <c r="U212" s="33">
        <v>47734</v>
      </c>
      <c r="V212" s="13">
        <v>0</v>
      </c>
      <c r="W212" s="13">
        <v>0</v>
      </c>
      <c r="X212" s="13"/>
      <c r="Y212" s="2">
        <f>(U212*0.98-S212-V212-W212-X212)*1.18/0.92</f>
        <v>59999.56260869564</v>
      </c>
      <c r="Z212" s="18">
        <f>AC212</f>
        <v>60190</v>
      </c>
      <c r="AA212" s="5" t="s">
        <v>90</v>
      </c>
      <c r="AB212" s="5"/>
      <c r="AC212" s="14">
        <v>60190</v>
      </c>
      <c r="AD212" s="5">
        <f t="shared" si="54"/>
        <v>-148.47661016950107</v>
      </c>
      <c r="AE212" s="5"/>
      <c r="AF212" s="5">
        <f t="shared" si="55"/>
        <v>0</v>
      </c>
      <c r="AG212" s="5"/>
      <c r="AH212" s="13">
        <v>0</v>
      </c>
      <c r="AI212" s="13"/>
      <c r="AJ212" s="5"/>
      <c r="AL212" s="5"/>
      <c r="AM212" s="5">
        <v>59999.56260869564</v>
      </c>
      <c r="AN212" s="5">
        <f t="shared" si="49"/>
        <v>0</v>
      </c>
      <c r="AO212" s="5"/>
      <c r="AP212" s="5">
        <f t="shared" si="47"/>
        <v>47734</v>
      </c>
      <c r="AQ212" s="20">
        <v>0</v>
      </c>
      <c r="AR212" s="20"/>
      <c r="AT212" s="3">
        <v>0</v>
      </c>
      <c r="AV212" s="5">
        <f t="shared" si="56"/>
        <v>0</v>
      </c>
      <c r="AX212" s="38">
        <f t="shared" si="50"/>
        <v>0</v>
      </c>
      <c r="BA212" s="3">
        <v>0</v>
      </c>
      <c r="BB212" s="3">
        <v>0</v>
      </c>
      <c r="BC212" s="3">
        <v>0</v>
      </c>
      <c r="BD212" s="3">
        <f t="shared" si="57"/>
        <v>0</v>
      </c>
      <c r="BE212" s="3">
        <v>1</v>
      </c>
      <c r="BF212" s="3">
        <v>0</v>
      </c>
      <c r="BH212" s="3">
        <f t="shared" si="58"/>
        <v>0</v>
      </c>
      <c r="BJ212" s="38">
        <f t="shared" si="51"/>
        <v>0</v>
      </c>
      <c r="BL212" s="3">
        <f t="shared" si="52"/>
        <v>56326.119999999995</v>
      </c>
    </row>
    <row r="213" spans="1:64" x14ac:dyDescent="0.35">
      <c r="A213" s="1" t="s">
        <v>594</v>
      </c>
      <c r="B213" s="1" t="str">
        <f t="shared" si="53"/>
        <v>Premium</v>
      </c>
      <c r="C213" s="1" t="s">
        <v>46</v>
      </c>
      <c r="D213" s="1" t="s">
        <v>287</v>
      </c>
      <c r="E213" s="1" t="s">
        <v>48</v>
      </c>
      <c r="F213" s="1" t="s">
        <v>65</v>
      </c>
      <c r="G213" s="1" t="s">
        <v>76</v>
      </c>
      <c r="H213" s="1" t="s">
        <v>123</v>
      </c>
      <c r="I213" s="1" t="s">
        <v>52</v>
      </c>
      <c r="J213" s="1" t="s">
        <v>278</v>
      </c>
      <c r="K213" s="1" t="s">
        <v>54</v>
      </c>
      <c r="L213" s="1" t="s">
        <v>70</v>
      </c>
      <c r="M213" s="1" t="s">
        <v>56</v>
      </c>
      <c r="N213" s="1" t="s">
        <v>57</v>
      </c>
      <c r="O213" s="1" t="s">
        <v>110</v>
      </c>
      <c r="P213" s="1" t="s">
        <v>129</v>
      </c>
      <c r="Q213" s="1" t="s">
        <v>72</v>
      </c>
      <c r="R213" s="1" t="s">
        <v>73</v>
      </c>
      <c r="S213" s="1">
        <v>725</v>
      </c>
      <c r="T213" s="2">
        <f>U213*0.98*0.98</f>
        <v>54034.561972881347</v>
      </c>
      <c r="U213" s="13">
        <v>56262.559322033892</v>
      </c>
      <c r="V213" s="13">
        <v>2182.8166101694824</v>
      </c>
      <c r="W213" s="13">
        <v>0</v>
      </c>
      <c r="X213" s="13"/>
      <c r="Y213" s="2">
        <f>(U213*0.98-S213-V213-W213-X213)*1.18/0.92</f>
        <v>66990</v>
      </c>
      <c r="Z213" s="18">
        <v>66990</v>
      </c>
      <c r="AA213" s="5"/>
      <c r="AB213" s="5"/>
      <c r="AC213" s="14">
        <v>0</v>
      </c>
      <c r="AD213" s="5">
        <v>0</v>
      </c>
      <c r="AE213" s="5"/>
      <c r="AF213" s="5">
        <f t="shared" si="55"/>
        <v>0</v>
      </c>
      <c r="AG213" s="5"/>
      <c r="AH213" s="13">
        <v>2182.8166101694824</v>
      </c>
      <c r="AI213" s="13"/>
      <c r="AJ213" s="5"/>
      <c r="AL213" s="5"/>
      <c r="AM213" s="5">
        <v>66990</v>
      </c>
      <c r="AN213" s="5">
        <f t="shared" si="49"/>
        <v>0</v>
      </c>
      <c r="AO213" s="5"/>
      <c r="AP213" s="5">
        <f t="shared" si="47"/>
        <v>56262.559322033892</v>
      </c>
      <c r="AQ213" s="20">
        <v>2182.8166101694824</v>
      </c>
      <c r="AR213" s="20"/>
      <c r="AT213" s="3">
        <v>0</v>
      </c>
      <c r="AV213" s="5">
        <f t="shared" si="56"/>
        <v>0</v>
      </c>
      <c r="AX213" s="38">
        <f t="shared" si="50"/>
        <v>0</v>
      </c>
      <c r="BA213" s="3">
        <v>0</v>
      </c>
      <c r="BB213" s="3">
        <v>-1</v>
      </c>
      <c r="BC213" s="3">
        <v>0</v>
      </c>
      <c r="BD213" s="3">
        <f t="shared" si="57"/>
        <v>-1</v>
      </c>
      <c r="BE213" s="3">
        <v>0</v>
      </c>
      <c r="BF213" s="3">
        <v>0</v>
      </c>
      <c r="BH213" s="3">
        <f t="shared" si="58"/>
        <v>-2</v>
      </c>
      <c r="BJ213" s="38">
        <f t="shared" si="51"/>
        <v>-4365.6332203389647</v>
      </c>
      <c r="BL213" s="3">
        <f t="shared" si="52"/>
        <v>66389.819999999992</v>
      </c>
    </row>
    <row r="214" spans="1:64" x14ac:dyDescent="0.35">
      <c r="A214" s="1" t="s">
        <v>595</v>
      </c>
      <c r="B214" s="1" t="str">
        <f t="shared" si="53"/>
        <v>Premium</v>
      </c>
      <c r="C214" s="1" t="s">
        <v>46</v>
      </c>
      <c r="D214" s="1" t="s">
        <v>191</v>
      </c>
      <c r="E214" s="1" t="s">
        <v>48</v>
      </c>
      <c r="F214" s="1" t="s">
        <v>97</v>
      </c>
      <c r="G214" s="1" t="s">
        <v>98</v>
      </c>
      <c r="H214" s="1" t="s">
        <v>84</v>
      </c>
      <c r="I214" s="1" t="s">
        <v>68</v>
      </c>
      <c r="J214" s="1" t="s">
        <v>99</v>
      </c>
      <c r="K214" s="1" t="s">
        <v>54</v>
      </c>
      <c r="L214" s="1" t="s">
        <v>70</v>
      </c>
      <c r="M214" s="1" t="s">
        <v>100</v>
      </c>
      <c r="N214" s="1" t="s">
        <v>101</v>
      </c>
      <c r="O214" s="1" t="s">
        <v>359</v>
      </c>
      <c r="P214" s="1" t="s">
        <v>103</v>
      </c>
      <c r="Q214" s="1" t="s">
        <v>104</v>
      </c>
      <c r="R214" s="1" t="s">
        <v>73</v>
      </c>
      <c r="S214" s="1">
        <v>725</v>
      </c>
      <c r="T214" s="2">
        <f>U214*0.98*0.98</f>
        <v>61768.370169491522</v>
      </c>
      <c r="U214" s="13">
        <v>64315.254237288136</v>
      </c>
      <c r="V214" s="13">
        <v>0</v>
      </c>
      <c r="W214" s="13">
        <v>0</v>
      </c>
      <c r="X214" s="13">
        <v>8515.1355932203314</v>
      </c>
      <c r="Y214" s="2">
        <f>(U214*0.98-S214-V214-W214-X214)*1.18/0.92</f>
        <v>68990.000000000015</v>
      </c>
      <c r="Z214" s="1">
        <v>68990</v>
      </c>
      <c r="AA214" s="5"/>
      <c r="AB214" s="5"/>
      <c r="AC214" s="14">
        <v>68990</v>
      </c>
      <c r="AD214" s="5">
        <f t="shared" si="54"/>
        <v>1.1345561025506361E-11</v>
      </c>
      <c r="AE214" s="5"/>
      <c r="AF214" s="5">
        <f t="shared" si="55"/>
        <v>8515.1355932203314</v>
      </c>
      <c r="AG214" s="5"/>
      <c r="AH214" s="13">
        <v>0</v>
      </c>
      <c r="AI214" s="13"/>
      <c r="AJ214" s="5"/>
      <c r="AL214" s="5"/>
      <c r="AM214" s="5">
        <v>79911.586956521729</v>
      </c>
      <c r="AN214" s="5">
        <f t="shared" si="49"/>
        <v>-10921.586956521714</v>
      </c>
      <c r="AO214" s="5"/>
      <c r="AP214" s="5">
        <f t="shared" si="47"/>
        <v>64315.254237288136</v>
      </c>
      <c r="AQ214" s="20">
        <v>0</v>
      </c>
      <c r="AR214" s="20"/>
      <c r="AT214" s="3">
        <v>0</v>
      </c>
      <c r="AV214" s="5">
        <f t="shared" si="56"/>
        <v>0</v>
      </c>
      <c r="AX214" s="38">
        <f t="shared" si="50"/>
        <v>0</v>
      </c>
      <c r="BA214" s="3">
        <v>0</v>
      </c>
      <c r="BB214" s="3">
        <v>0</v>
      </c>
      <c r="BC214" s="3">
        <v>-1</v>
      </c>
      <c r="BD214" s="3">
        <f t="shared" si="57"/>
        <v>-1</v>
      </c>
      <c r="BE214" s="3">
        <v>215</v>
      </c>
      <c r="BF214" s="3">
        <v>0</v>
      </c>
      <c r="BH214" s="3">
        <f t="shared" si="58"/>
        <v>-2</v>
      </c>
      <c r="BJ214" s="38">
        <f t="shared" si="51"/>
        <v>0</v>
      </c>
      <c r="BL214" s="3">
        <f t="shared" si="52"/>
        <v>75892</v>
      </c>
    </row>
    <row r="215" spans="1:64" x14ac:dyDescent="0.35">
      <c r="A215" s="1" t="s">
        <v>596</v>
      </c>
      <c r="B215" s="1" t="str">
        <f t="shared" si="53"/>
        <v>Premium</v>
      </c>
      <c r="C215" s="1" t="s">
        <v>46</v>
      </c>
      <c r="D215" s="1" t="s">
        <v>287</v>
      </c>
      <c r="E215" s="1" t="s">
        <v>48</v>
      </c>
      <c r="F215" s="1" t="s">
        <v>65</v>
      </c>
      <c r="G215" s="1" t="s">
        <v>76</v>
      </c>
      <c r="H215" s="1" t="s">
        <v>123</v>
      </c>
      <c r="I215" s="1" t="s">
        <v>52</v>
      </c>
      <c r="J215" s="1" t="s">
        <v>278</v>
      </c>
      <c r="K215" s="1" t="s">
        <v>54</v>
      </c>
      <c r="L215" s="1" t="s">
        <v>70</v>
      </c>
      <c r="M215" s="1" t="s">
        <v>56</v>
      </c>
      <c r="N215" s="1" t="s">
        <v>57</v>
      </c>
      <c r="O215" s="1" t="s">
        <v>110</v>
      </c>
      <c r="P215" s="1" t="s">
        <v>129</v>
      </c>
      <c r="Q215" s="1" t="s">
        <v>72</v>
      </c>
      <c r="R215" s="1" t="s">
        <v>61</v>
      </c>
      <c r="S215" s="1">
        <v>725</v>
      </c>
      <c r="T215" s="2">
        <f>U215*0.98*0.965</f>
        <v>58751.339281587061</v>
      </c>
      <c r="U215" s="13">
        <v>62124.711093990765</v>
      </c>
      <c r="V215" s="13">
        <v>1715.2542372881358</v>
      </c>
      <c r="W215" s="13">
        <v>0</v>
      </c>
      <c r="X215" s="13"/>
      <c r="Y215" s="2">
        <f>(U215*0.88-S215-V215-W215-X215)*1.18/0.92</f>
        <v>66990</v>
      </c>
      <c r="Z215" s="18">
        <v>66990</v>
      </c>
      <c r="AA215" s="5"/>
      <c r="AB215" s="5"/>
      <c r="AC215" s="14">
        <v>0</v>
      </c>
      <c r="AD215" s="5">
        <v>0</v>
      </c>
      <c r="AE215" s="5"/>
      <c r="AF215" s="5">
        <f t="shared" si="55"/>
        <v>0</v>
      </c>
      <c r="AG215" s="5"/>
      <c r="AH215" s="13">
        <v>1715.2542372881358</v>
      </c>
      <c r="AI215" s="13"/>
      <c r="AJ215" s="5"/>
      <c r="AL215" s="5"/>
      <c r="AM215" s="5">
        <v>66990</v>
      </c>
      <c r="AN215" s="5">
        <f t="shared" si="49"/>
        <v>0</v>
      </c>
      <c r="AO215" s="5"/>
      <c r="AP215" s="5">
        <f t="shared" si="47"/>
        <v>62124.711093990765</v>
      </c>
      <c r="AQ215" s="20">
        <v>1715.2542372881358</v>
      </c>
      <c r="AR215" s="20"/>
      <c r="AT215" s="3">
        <v>0</v>
      </c>
      <c r="AV215" s="5">
        <f t="shared" si="56"/>
        <v>0</v>
      </c>
      <c r="AX215" s="38">
        <f t="shared" si="50"/>
        <v>0</v>
      </c>
      <c r="BA215" s="3">
        <v>0</v>
      </c>
      <c r="BB215" s="3">
        <v>0</v>
      </c>
      <c r="BC215" s="3">
        <v>0</v>
      </c>
      <c r="BD215" s="3">
        <f t="shared" si="57"/>
        <v>0</v>
      </c>
      <c r="BE215" s="3">
        <v>0</v>
      </c>
      <c r="BF215" s="3">
        <v>0</v>
      </c>
      <c r="BH215" s="3">
        <f t="shared" si="58"/>
        <v>0</v>
      </c>
      <c r="BJ215" s="38">
        <f t="shared" si="51"/>
        <v>0</v>
      </c>
      <c r="BL215" s="3">
        <f t="shared" si="52"/>
        <v>73307.159090909103</v>
      </c>
    </row>
    <row r="216" spans="1:64" x14ac:dyDescent="0.35">
      <c r="A216" s="1" t="s">
        <v>597</v>
      </c>
      <c r="B216" s="1" t="str">
        <f t="shared" si="53"/>
        <v>Mainstream</v>
      </c>
      <c r="C216" s="1" t="s">
        <v>46</v>
      </c>
      <c r="D216" s="1" t="s">
        <v>460</v>
      </c>
      <c r="E216" s="1" t="s">
        <v>81</v>
      </c>
      <c r="F216" s="1" t="s">
        <v>82</v>
      </c>
      <c r="G216" s="1" t="s">
        <v>83</v>
      </c>
      <c r="H216" s="1" t="s">
        <v>67</v>
      </c>
      <c r="I216" s="1" t="s">
        <v>85</v>
      </c>
      <c r="J216" s="1" t="s">
        <v>589</v>
      </c>
      <c r="K216" s="1" t="s">
        <v>54</v>
      </c>
      <c r="L216" s="1" t="s">
        <v>70</v>
      </c>
      <c r="M216" s="1" t="s">
        <v>100</v>
      </c>
      <c r="N216" s="1" t="s">
        <v>200</v>
      </c>
      <c r="O216" s="1" t="s">
        <v>87</v>
      </c>
      <c r="P216" s="1" t="s">
        <v>161</v>
      </c>
      <c r="Q216" s="1" t="s">
        <v>165</v>
      </c>
      <c r="R216" s="1" t="s">
        <v>73</v>
      </c>
      <c r="S216" s="1">
        <v>0</v>
      </c>
      <c r="T216" s="2">
        <v>45977</v>
      </c>
      <c r="U216" s="13">
        <v>47872.881355932208</v>
      </c>
      <c r="V216" s="13">
        <v>0</v>
      </c>
      <c r="W216" s="13">
        <v>0</v>
      </c>
      <c r="X216" s="13"/>
      <c r="Y216" s="2">
        <f>(U216*0.98-S216-V216-W216-X216)*1.18/0.92</f>
        <v>60174.130434782608</v>
      </c>
      <c r="Z216" s="18">
        <f>AC216</f>
        <v>60190</v>
      </c>
      <c r="AA216" s="5" t="s">
        <v>90</v>
      </c>
      <c r="AB216" s="5"/>
      <c r="AC216" s="14">
        <v>60190</v>
      </c>
      <c r="AD216" s="5">
        <f t="shared" si="54"/>
        <v>-12.372881355932698</v>
      </c>
      <c r="AE216" s="5"/>
      <c r="AF216" s="5">
        <f t="shared" si="55"/>
        <v>0</v>
      </c>
      <c r="AG216" s="5"/>
      <c r="AH216" s="13">
        <v>0</v>
      </c>
      <c r="AI216" s="13"/>
      <c r="AJ216" s="5"/>
      <c r="AL216" s="5"/>
      <c r="AM216" s="5">
        <v>60174.130434782608</v>
      </c>
      <c r="AN216" s="5">
        <f t="shared" si="49"/>
        <v>0</v>
      </c>
      <c r="AO216" s="5"/>
      <c r="AP216" s="5">
        <f t="shared" si="47"/>
        <v>47872.881355932208</v>
      </c>
      <c r="AQ216" s="20">
        <v>0</v>
      </c>
      <c r="AR216" s="20"/>
      <c r="AT216" s="3">
        <v>0</v>
      </c>
      <c r="AV216" s="5">
        <f t="shared" si="56"/>
        <v>0</v>
      </c>
      <c r="AX216" s="38">
        <f t="shared" si="50"/>
        <v>0</v>
      </c>
      <c r="BA216" s="3">
        <v>0</v>
      </c>
      <c r="BB216" s="3">
        <v>0</v>
      </c>
      <c r="BC216" s="3">
        <v>0</v>
      </c>
      <c r="BD216" s="3">
        <f t="shared" si="57"/>
        <v>0</v>
      </c>
      <c r="BE216" s="3">
        <v>66</v>
      </c>
      <c r="BF216" s="3">
        <v>0</v>
      </c>
      <c r="BH216" s="3">
        <f t="shared" si="58"/>
        <v>0</v>
      </c>
      <c r="BJ216" s="38">
        <f t="shared" si="51"/>
        <v>0</v>
      </c>
      <c r="BL216" s="3">
        <f t="shared" si="52"/>
        <v>56490</v>
      </c>
    </row>
    <row r="217" spans="1:64" x14ac:dyDescent="0.35">
      <c r="A217" s="1" t="s">
        <v>598</v>
      </c>
      <c r="B217" s="1" t="str">
        <f t="shared" si="53"/>
        <v>Mainstream</v>
      </c>
      <c r="C217" s="1" t="s">
        <v>46</v>
      </c>
      <c r="D217" s="1" t="s">
        <v>460</v>
      </c>
      <c r="E217" s="1" t="s">
        <v>81</v>
      </c>
      <c r="F217" s="1" t="s">
        <v>82</v>
      </c>
      <c r="G217" s="1" t="s">
        <v>83</v>
      </c>
      <c r="H217" s="1" t="s">
        <v>67</v>
      </c>
      <c r="I217" s="1" t="s">
        <v>85</v>
      </c>
      <c r="J217" s="1" t="s">
        <v>496</v>
      </c>
      <c r="K217" s="1" t="s">
        <v>54</v>
      </c>
      <c r="L217" s="1" t="s">
        <v>70</v>
      </c>
      <c r="M217" s="1" t="s">
        <v>100</v>
      </c>
      <c r="N217" s="1" t="s">
        <v>57</v>
      </c>
      <c r="O217" s="1" t="s">
        <v>87</v>
      </c>
      <c r="P217" s="1" t="s">
        <v>161</v>
      </c>
      <c r="Q217" s="1" t="s">
        <v>165</v>
      </c>
      <c r="R217" s="1" t="s">
        <v>73</v>
      </c>
      <c r="S217" s="1">
        <v>0</v>
      </c>
      <c r="T217" s="2">
        <v>45977</v>
      </c>
      <c r="U217" s="13">
        <v>47872.881355932208</v>
      </c>
      <c r="V217" s="13">
        <v>0</v>
      </c>
      <c r="W217" s="13">
        <v>0</v>
      </c>
      <c r="X217" s="13"/>
      <c r="Y217" s="2">
        <f>(U217*0.98-S217-V217-W217-X217)*1.18/0.92</f>
        <v>60174.130434782608</v>
      </c>
      <c r="Z217" s="18">
        <f>AC217</f>
        <v>60190</v>
      </c>
      <c r="AA217" s="5" t="s">
        <v>90</v>
      </c>
      <c r="AB217" s="5"/>
      <c r="AC217" s="14">
        <v>60190</v>
      </c>
      <c r="AD217" s="5">
        <f t="shared" si="54"/>
        <v>-12.372881355932698</v>
      </c>
      <c r="AE217" s="5"/>
      <c r="AF217" s="5">
        <f t="shared" si="55"/>
        <v>0</v>
      </c>
      <c r="AG217" s="5"/>
      <c r="AH217" s="13">
        <v>0</v>
      </c>
      <c r="AI217" s="13"/>
      <c r="AJ217" s="5"/>
      <c r="AL217" s="5"/>
      <c r="AM217" s="5">
        <v>60174.130434782608</v>
      </c>
      <c r="AN217" s="5">
        <f t="shared" si="49"/>
        <v>0</v>
      </c>
      <c r="AO217" s="5"/>
      <c r="AP217" s="5">
        <f t="shared" si="47"/>
        <v>47872.881355932208</v>
      </c>
      <c r="AQ217" s="20">
        <v>0</v>
      </c>
      <c r="AR217" s="20"/>
      <c r="AT217" s="3">
        <v>6</v>
      </c>
      <c r="AV217" s="5">
        <f t="shared" si="56"/>
        <v>60</v>
      </c>
      <c r="AX217" s="38">
        <f t="shared" si="50"/>
        <v>0</v>
      </c>
      <c r="BA217" s="3">
        <v>0</v>
      </c>
      <c r="BB217" s="3">
        <v>0</v>
      </c>
      <c r="BC217" s="3">
        <v>0</v>
      </c>
      <c r="BD217" s="3">
        <f t="shared" si="57"/>
        <v>0</v>
      </c>
      <c r="BE217" s="3">
        <v>56</v>
      </c>
      <c r="BF217" s="3">
        <v>0</v>
      </c>
      <c r="BH217" s="3">
        <f t="shared" si="58"/>
        <v>0</v>
      </c>
      <c r="BJ217" s="38">
        <f t="shared" si="51"/>
        <v>0</v>
      </c>
      <c r="BL217" s="3">
        <f t="shared" si="52"/>
        <v>56490</v>
      </c>
    </row>
    <row r="218" spans="1:64" x14ac:dyDescent="0.35">
      <c r="A218" s="1" t="s">
        <v>599</v>
      </c>
      <c r="B218" s="1" t="str">
        <f t="shared" si="53"/>
        <v>Mainstream</v>
      </c>
      <c r="C218" s="1" t="s">
        <v>79</v>
      </c>
      <c r="D218" s="1" t="s">
        <v>114</v>
      </c>
      <c r="E218" s="1" t="s">
        <v>81</v>
      </c>
      <c r="F218" s="1" t="s">
        <v>82</v>
      </c>
      <c r="G218" s="1" t="s">
        <v>600</v>
      </c>
      <c r="H218" s="1" t="s">
        <v>51</v>
      </c>
      <c r="I218" s="1" t="s">
        <v>117</v>
      </c>
      <c r="J218" s="1" t="s">
        <v>601</v>
      </c>
      <c r="K218" s="1" t="s">
        <v>54</v>
      </c>
      <c r="L218" s="1" t="s">
        <v>70</v>
      </c>
      <c r="M218" s="1" t="s">
        <v>100</v>
      </c>
      <c r="N218" s="1" t="s">
        <v>57</v>
      </c>
      <c r="O218" s="1" t="s">
        <v>87</v>
      </c>
      <c r="P218" s="1" t="s">
        <v>161</v>
      </c>
      <c r="Q218" s="1" t="s">
        <v>165</v>
      </c>
      <c r="R218" s="1" t="s">
        <v>61</v>
      </c>
      <c r="S218" s="1">
        <v>0</v>
      </c>
      <c r="T218" s="2">
        <v>43915</v>
      </c>
      <c r="U218" s="13">
        <v>46436.440677966108</v>
      </c>
      <c r="V218" s="13">
        <v>0</v>
      </c>
      <c r="W218" s="13">
        <v>1574</v>
      </c>
      <c r="X218" s="13"/>
      <c r="Y218" s="2">
        <f>(U218*0.89-S218-V218-W218-X218)*1.18/0.92</f>
        <v>50989.380434782608</v>
      </c>
      <c r="Z218" s="18">
        <f>AC218</f>
        <v>50990</v>
      </c>
      <c r="AA218" s="5" t="s">
        <v>90</v>
      </c>
      <c r="AB218" s="5"/>
      <c r="AC218" s="14">
        <v>50990</v>
      </c>
      <c r="AD218" s="5">
        <f t="shared" si="54"/>
        <v>-0.48305084745812049</v>
      </c>
      <c r="AE218" s="5"/>
      <c r="AF218" s="5">
        <f t="shared" si="55"/>
        <v>1574</v>
      </c>
      <c r="AG218" s="5"/>
      <c r="AH218" s="13">
        <v>0</v>
      </c>
      <c r="AI218" s="13">
        <v>1574</v>
      </c>
      <c r="AJ218" s="5"/>
      <c r="AL218" s="5"/>
      <c r="AM218" s="5">
        <v>50989.380434782608</v>
      </c>
      <c r="AN218" s="5">
        <f t="shared" si="49"/>
        <v>0</v>
      </c>
      <c r="AO218" s="5"/>
      <c r="AP218" s="5">
        <f t="shared" si="47"/>
        <v>46436.440677966108</v>
      </c>
      <c r="AQ218" s="20">
        <v>0</v>
      </c>
      <c r="AR218" s="20">
        <v>1574</v>
      </c>
      <c r="AT218" s="3">
        <v>18</v>
      </c>
      <c r="AV218" s="5">
        <f t="shared" si="56"/>
        <v>180</v>
      </c>
      <c r="AX218" s="38">
        <f t="shared" si="50"/>
        <v>283320</v>
      </c>
      <c r="BA218" s="3">
        <v>0</v>
      </c>
      <c r="BB218" s="3">
        <v>0</v>
      </c>
      <c r="BC218" s="3">
        <v>203</v>
      </c>
      <c r="BD218" s="3">
        <f t="shared" si="57"/>
        <v>203</v>
      </c>
      <c r="BE218" s="3">
        <v>307</v>
      </c>
      <c r="BF218" s="3">
        <v>0</v>
      </c>
      <c r="BH218" s="3">
        <f t="shared" si="58"/>
        <v>376</v>
      </c>
      <c r="BJ218" s="38">
        <f t="shared" si="51"/>
        <v>0</v>
      </c>
      <c r="BL218" s="3">
        <f t="shared" si="52"/>
        <v>54795.000000000007</v>
      </c>
    </row>
    <row r="219" spans="1:64" x14ac:dyDescent="0.35">
      <c r="A219" s="1" t="s">
        <v>602</v>
      </c>
      <c r="B219" s="1" t="str">
        <f t="shared" si="53"/>
        <v>Entry</v>
      </c>
      <c r="C219" s="1" t="s">
        <v>79</v>
      </c>
      <c r="D219" s="1" t="s">
        <v>210</v>
      </c>
      <c r="E219" s="1" t="s">
        <v>81</v>
      </c>
      <c r="F219" s="1" t="s">
        <v>82</v>
      </c>
      <c r="G219" s="1" t="s">
        <v>568</v>
      </c>
      <c r="H219" s="1" t="s">
        <v>212</v>
      </c>
      <c r="I219" s="1" t="s">
        <v>85</v>
      </c>
      <c r="J219" s="1" t="s">
        <v>310</v>
      </c>
      <c r="K219" s="1" t="s">
        <v>92</v>
      </c>
      <c r="L219" s="1" t="s">
        <v>70</v>
      </c>
      <c r="M219" s="1" t="s">
        <v>100</v>
      </c>
      <c r="N219" s="1" t="s">
        <v>200</v>
      </c>
      <c r="O219" s="1" t="s">
        <v>87</v>
      </c>
      <c r="P219" s="1" t="s">
        <v>283</v>
      </c>
      <c r="Q219" s="1" t="s">
        <v>89</v>
      </c>
      <c r="R219" s="1" t="s">
        <v>61</v>
      </c>
      <c r="S219" s="1">
        <v>725</v>
      </c>
      <c r="T219" s="2">
        <v>31408.18767966102</v>
      </c>
      <c r="U219" s="13">
        <v>33211.576271186445</v>
      </c>
      <c r="V219" s="13">
        <v>0</v>
      </c>
      <c r="W219" s="13">
        <v>1553</v>
      </c>
      <c r="X219" s="13"/>
      <c r="Y219" s="2">
        <f>(U219*0.89-S219-V219-W219-X219)*1.18/0.92</f>
        <v>34989.953695652177</v>
      </c>
      <c r="Z219" s="18">
        <f>AC219</f>
        <v>34990</v>
      </c>
      <c r="AA219" s="5" t="s">
        <v>90</v>
      </c>
      <c r="AB219" s="5"/>
      <c r="AC219" s="14">
        <v>34990</v>
      </c>
      <c r="AD219" s="5">
        <f t="shared" si="54"/>
        <v>-3.6101694912866737E-2</v>
      </c>
      <c r="AE219" s="5"/>
      <c r="AF219" s="5">
        <f t="shared" si="55"/>
        <v>1553</v>
      </c>
      <c r="AG219" s="5"/>
      <c r="AH219" s="13">
        <v>0</v>
      </c>
      <c r="AI219" s="13">
        <v>2333</v>
      </c>
      <c r="AJ219" s="5"/>
      <c r="AL219" s="5"/>
      <c r="AM219" s="5">
        <v>33990</v>
      </c>
      <c r="AN219" s="5">
        <f t="shared" si="49"/>
        <v>999.95369565217698</v>
      </c>
      <c r="AO219" s="5"/>
      <c r="AP219" s="5">
        <f t="shared" si="47"/>
        <v>33211.576271186445</v>
      </c>
      <c r="AQ219" s="20">
        <v>0</v>
      </c>
      <c r="AR219" s="20">
        <v>2332.6249152542405</v>
      </c>
      <c r="AT219" s="3">
        <v>0</v>
      </c>
      <c r="AV219" s="5">
        <f t="shared" si="56"/>
        <v>0</v>
      </c>
      <c r="AX219" s="38">
        <f t="shared" si="50"/>
        <v>0</v>
      </c>
      <c r="BA219" s="3">
        <v>0</v>
      </c>
      <c r="BB219" s="3">
        <v>0</v>
      </c>
      <c r="BC219" s="3">
        <v>0</v>
      </c>
      <c r="BD219" s="3">
        <f t="shared" si="57"/>
        <v>0</v>
      </c>
      <c r="BE219" s="3">
        <v>0</v>
      </c>
      <c r="BF219" s="3">
        <v>0</v>
      </c>
      <c r="BH219" s="3">
        <f t="shared" si="58"/>
        <v>0</v>
      </c>
      <c r="BJ219" s="38">
        <f t="shared" si="51"/>
        <v>0</v>
      </c>
      <c r="BL219" s="3">
        <f t="shared" si="52"/>
        <v>39189.660000000003</v>
      </c>
    </row>
    <row r="220" spans="1:64" x14ac:dyDescent="0.35">
      <c r="A220" s="1" t="s">
        <v>603</v>
      </c>
      <c r="B220" s="1" t="str">
        <f t="shared" si="53"/>
        <v>Premium</v>
      </c>
      <c r="C220" s="1" t="s">
        <v>46</v>
      </c>
      <c r="D220" s="1" t="s">
        <v>233</v>
      </c>
      <c r="E220" s="1" t="s">
        <v>48</v>
      </c>
      <c r="F220" s="1" t="s">
        <v>65</v>
      </c>
      <c r="G220" s="1" t="s">
        <v>328</v>
      </c>
      <c r="H220" s="1" t="s">
        <v>84</v>
      </c>
      <c r="I220" s="1" t="s">
        <v>68</v>
      </c>
      <c r="J220" s="1" t="s">
        <v>329</v>
      </c>
      <c r="K220" s="1" t="s">
        <v>54</v>
      </c>
      <c r="L220" s="1" t="s">
        <v>70</v>
      </c>
      <c r="M220" s="1" t="s">
        <v>56</v>
      </c>
      <c r="N220" s="1" t="s">
        <v>139</v>
      </c>
      <c r="O220" s="1" t="s">
        <v>110</v>
      </c>
      <c r="P220" s="1" t="s">
        <v>129</v>
      </c>
      <c r="Q220" s="1"/>
      <c r="R220" s="1" t="s">
        <v>61</v>
      </c>
      <c r="S220" s="1">
        <v>725</v>
      </c>
      <c r="T220" s="2">
        <f>U220*0.98*0.965</f>
        <v>59298.595762711862</v>
      </c>
      <c r="U220" s="13">
        <v>62703.38983050848</v>
      </c>
      <c r="V220" s="13"/>
      <c r="W220" s="13">
        <v>0</v>
      </c>
      <c r="X220" s="13"/>
      <c r="Y220" s="2">
        <f>(U220*0.88-S220-V220-W220-X220)*1.18/0.92</f>
        <v>69843.15217391304</v>
      </c>
      <c r="Z220" s="18">
        <v>69990</v>
      </c>
      <c r="AA220" s="5"/>
      <c r="AB220" s="5"/>
      <c r="AC220" s="14">
        <v>0</v>
      </c>
      <c r="AD220" s="5">
        <v>0</v>
      </c>
      <c r="AE220" s="5"/>
      <c r="AF220" s="5">
        <f t="shared" si="55"/>
        <v>0</v>
      </c>
      <c r="AG220" s="5"/>
      <c r="AH220" s="13"/>
      <c r="AI220" s="13">
        <v>0</v>
      </c>
      <c r="AJ220" s="5"/>
      <c r="AL220" s="5"/>
      <c r="AM220" s="5">
        <v>69843.15217391304</v>
      </c>
      <c r="AN220" s="5">
        <f t="shared" si="49"/>
        <v>0</v>
      </c>
      <c r="AO220" s="5"/>
      <c r="AP220" s="5">
        <f t="shared" si="47"/>
        <v>62703.38983050848</v>
      </c>
      <c r="AQ220" s="20"/>
      <c r="AR220" s="20">
        <v>0</v>
      </c>
      <c r="AT220" s="3">
        <v>0</v>
      </c>
      <c r="AV220" s="5">
        <f t="shared" si="56"/>
        <v>0</v>
      </c>
      <c r="AX220" s="38">
        <f t="shared" si="50"/>
        <v>0</v>
      </c>
      <c r="BA220" s="3">
        <v>0</v>
      </c>
      <c r="BB220" s="3">
        <v>0</v>
      </c>
      <c r="BC220" s="3">
        <v>0</v>
      </c>
      <c r="BD220" s="3">
        <f t="shared" si="57"/>
        <v>0</v>
      </c>
      <c r="BE220" s="3">
        <v>0</v>
      </c>
      <c r="BF220" s="3">
        <v>0</v>
      </c>
      <c r="BH220" s="3">
        <f t="shared" si="58"/>
        <v>0</v>
      </c>
      <c r="BJ220" s="38">
        <f t="shared" si="51"/>
        <v>0</v>
      </c>
      <c r="BL220" s="3">
        <f t="shared" si="52"/>
        <v>73990</v>
      </c>
    </row>
    <row r="221" spans="1:64" x14ac:dyDescent="0.35">
      <c r="A221" s="1" t="s">
        <v>604</v>
      </c>
      <c r="B221" s="1" t="str">
        <f t="shared" si="53"/>
        <v>Premium</v>
      </c>
      <c r="C221" s="1" t="s">
        <v>46</v>
      </c>
      <c r="D221" s="1" t="s">
        <v>96</v>
      </c>
      <c r="E221" s="1" t="s">
        <v>48</v>
      </c>
      <c r="F221" s="1" t="s">
        <v>65</v>
      </c>
      <c r="G221" s="1" t="s">
        <v>328</v>
      </c>
      <c r="H221" s="1" t="s">
        <v>84</v>
      </c>
      <c r="I221" s="1" t="s">
        <v>68</v>
      </c>
      <c r="J221" s="1" t="s">
        <v>99</v>
      </c>
      <c r="K221" s="1" t="s">
        <v>54</v>
      </c>
      <c r="L221" s="1" t="s">
        <v>70</v>
      </c>
      <c r="M221" s="1" t="s">
        <v>100</v>
      </c>
      <c r="N221" s="1" t="s">
        <v>57</v>
      </c>
      <c r="O221" s="1" t="s">
        <v>110</v>
      </c>
      <c r="P221" s="1" t="s">
        <v>129</v>
      </c>
      <c r="Q221" s="1" t="s">
        <v>140</v>
      </c>
      <c r="R221" s="1" t="s">
        <v>73</v>
      </c>
      <c r="S221" s="1"/>
      <c r="T221" s="2">
        <f>U221*0.98*0.98</f>
        <v>55088.706779661021</v>
      </c>
      <c r="U221" s="13">
        <v>57360.169491525427</v>
      </c>
      <c r="V221" s="13">
        <v>0</v>
      </c>
      <c r="W221" s="13">
        <v>0</v>
      </c>
      <c r="X221" s="13">
        <v>3203.813559322035</v>
      </c>
      <c r="Y221" s="2">
        <f>(U221*0.98-S221-V221-W221-X221)*1.18/0.92</f>
        <v>67989.999999999985</v>
      </c>
      <c r="Z221" s="1">
        <v>67990</v>
      </c>
      <c r="AA221" s="5"/>
      <c r="AB221" s="5"/>
      <c r="AC221" s="14">
        <v>67990</v>
      </c>
      <c r="AD221" s="5">
        <f t="shared" si="54"/>
        <v>-1.1345561025506361E-11</v>
      </c>
      <c r="AE221" s="5"/>
      <c r="AF221" s="5">
        <f t="shared" si="55"/>
        <v>3203.813559322035</v>
      </c>
      <c r="AG221" s="5"/>
      <c r="AH221" s="13">
        <v>0</v>
      </c>
      <c r="AI221" s="13">
        <v>0</v>
      </c>
      <c r="AJ221" s="5"/>
      <c r="AL221" s="5"/>
      <c r="AM221" s="5">
        <v>72099.239130434784</v>
      </c>
      <c r="AN221" s="5">
        <f t="shared" si="49"/>
        <v>-4109.2391304347984</v>
      </c>
      <c r="AO221" s="5"/>
      <c r="AP221" s="5">
        <f t="shared" si="47"/>
        <v>57360.169491525427</v>
      </c>
      <c r="AQ221" s="20">
        <v>0</v>
      </c>
      <c r="AR221" s="20">
        <v>0</v>
      </c>
      <c r="AT221" s="3">
        <v>7</v>
      </c>
      <c r="AV221" s="5">
        <f t="shared" si="56"/>
        <v>70</v>
      </c>
      <c r="AX221" s="38">
        <f t="shared" si="50"/>
        <v>0</v>
      </c>
      <c r="BA221" s="3">
        <v>0</v>
      </c>
      <c r="BB221" s="3">
        <v>2</v>
      </c>
      <c r="BC221" s="3">
        <v>3</v>
      </c>
      <c r="BD221" s="3">
        <f t="shared" si="57"/>
        <v>5</v>
      </c>
      <c r="BE221" s="3">
        <v>2</v>
      </c>
      <c r="BF221" s="3">
        <v>0</v>
      </c>
      <c r="BH221" s="3">
        <f t="shared" si="58"/>
        <v>10</v>
      </c>
      <c r="BJ221" s="38">
        <f t="shared" si="51"/>
        <v>0</v>
      </c>
      <c r="BL221" s="3">
        <f t="shared" si="52"/>
        <v>67685</v>
      </c>
    </row>
    <row r="222" spans="1:64" x14ac:dyDescent="0.35">
      <c r="A222" s="1" t="s">
        <v>605</v>
      </c>
      <c r="B222" s="1" t="str">
        <f t="shared" si="53"/>
        <v>Premium</v>
      </c>
      <c r="C222" s="1" t="s">
        <v>46</v>
      </c>
      <c r="D222" s="1" t="s">
        <v>287</v>
      </c>
      <c r="E222" s="1" t="s">
        <v>48</v>
      </c>
      <c r="F222" s="1" t="s">
        <v>65</v>
      </c>
      <c r="G222" s="1" t="s">
        <v>76</v>
      </c>
      <c r="H222" s="1" t="s">
        <v>123</v>
      </c>
      <c r="I222" s="1" t="s">
        <v>52</v>
      </c>
      <c r="J222" s="1" t="s">
        <v>278</v>
      </c>
      <c r="K222" s="1" t="s">
        <v>92</v>
      </c>
      <c r="L222" s="1" t="s">
        <v>70</v>
      </c>
      <c r="M222" s="1" t="s">
        <v>56</v>
      </c>
      <c r="N222" s="1" t="s">
        <v>57</v>
      </c>
      <c r="O222" s="1" t="s">
        <v>110</v>
      </c>
      <c r="P222" s="1" t="s">
        <v>129</v>
      </c>
      <c r="Q222" s="1" t="s">
        <v>72</v>
      </c>
      <c r="R222" s="1" t="s">
        <v>61</v>
      </c>
      <c r="S222" s="1">
        <v>725</v>
      </c>
      <c r="T222" s="2">
        <f>U222*0.98*0.965</f>
        <v>55399.860082819723</v>
      </c>
      <c r="U222" s="13">
        <v>58580.797380585522</v>
      </c>
      <c r="V222" s="13">
        <v>1715.2542372881358</v>
      </c>
      <c r="W222" s="13">
        <v>0</v>
      </c>
      <c r="X222" s="13"/>
      <c r="Y222" s="2">
        <f>(U222*0.88-S222-V222-W222-X222)*1.18/0.92</f>
        <v>62990</v>
      </c>
      <c r="Z222" s="18">
        <v>63990</v>
      </c>
      <c r="AA222" s="5"/>
      <c r="AB222" s="5"/>
      <c r="AC222" s="14">
        <v>0</v>
      </c>
      <c r="AD222" s="5">
        <v>0</v>
      </c>
      <c r="AE222" s="5"/>
      <c r="AF222" s="5">
        <f t="shared" si="55"/>
        <v>0</v>
      </c>
      <c r="AG222" s="5"/>
      <c r="AH222" s="13">
        <v>1715.2542372881358</v>
      </c>
      <c r="AI222" s="13"/>
      <c r="AJ222" s="5"/>
      <c r="AL222" s="5"/>
      <c r="AM222" s="5">
        <v>62990</v>
      </c>
      <c r="AN222" s="5">
        <f t="shared" si="49"/>
        <v>0</v>
      </c>
      <c r="AO222" s="5"/>
      <c r="AP222" s="5">
        <f t="shared" si="47"/>
        <v>58580.797380585522</v>
      </c>
      <c r="AQ222" s="20">
        <v>1715.2542372881358</v>
      </c>
      <c r="AR222" s="20"/>
      <c r="AT222" s="3">
        <v>1</v>
      </c>
      <c r="AV222" s="5">
        <f t="shared" si="56"/>
        <v>10</v>
      </c>
      <c r="AX222" s="38">
        <f t="shared" si="50"/>
        <v>0</v>
      </c>
      <c r="BA222" s="3">
        <v>0</v>
      </c>
      <c r="BB222" s="3">
        <v>0</v>
      </c>
      <c r="BC222" s="3">
        <v>0</v>
      </c>
      <c r="BD222" s="3">
        <f t="shared" si="57"/>
        <v>0</v>
      </c>
      <c r="BE222" s="3">
        <v>0</v>
      </c>
      <c r="BF222" s="3">
        <v>0</v>
      </c>
      <c r="BH222" s="3">
        <f t="shared" si="58"/>
        <v>0</v>
      </c>
      <c r="BJ222" s="38">
        <f t="shared" si="51"/>
        <v>0</v>
      </c>
      <c r="BL222" s="3">
        <f t="shared" si="52"/>
        <v>69125.340909090912</v>
      </c>
    </row>
    <row r="223" spans="1:64" x14ac:dyDescent="0.35">
      <c r="A223" s="1" t="s">
        <v>606</v>
      </c>
      <c r="B223" s="1" t="str">
        <f t="shared" si="53"/>
        <v>Mainstream</v>
      </c>
      <c r="C223" s="1" t="s">
        <v>46</v>
      </c>
      <c r="D223" s="1" t="s">
        <v>135</v>
      </c>
      <c r="E223" s="1" t="s">
        <v>48</v>
      </c>
      <c r="F223" s="1" t="s">
        <v>65</v>
      </c>
      <c r="G223" s="1" t="s">
        <v>76</v>
      </c>
      <c r="H223" s="1" t="s">
        <v>123</v>
      </c>
      <c r="I223" s="1" t="s">
        <v>52</v>
      </c>
      <c r="J223" s="1" t="s">
        <v>278</v>
      </c>
      <c r="K223" s="1" t="s">
        <v>92</v>
      </c>
      <c r="L223" s="1" t="s">
        <v>70</v>
      </c>
      <c r="M223" s="1" t="s">
        <v>56</v>
      </c>
      <c r="N223" s="1" t="s">
        <v>139</v>
      </c>
      <c r="O223" s="1" t="s">
        <v>110</v>
      </c>
      <c r="P223" s="1" t="s">
        <v>129</v>
      </c>
      <c r="Q223" s="1" t="s">
        <v>72</v>
      </c>
      <c r="R223" s="1" t="s">
        <v>73</v>
      </c>
      <c r="S223" s="1">
        <v>725</v>
      </c>
      <c r="T223" s="2">
        <f>U223*0.98*0.98</f>
        <v>49151.172142372881</v>
      </c>
      <c r="U223" s="13">
        <v>51177.813559322036</v>
      </c>
      <c r="V223" s="13">
        <v>1877.7318644067752</v>
      </c>
      <c r="W223" s="13">
        <v>0</v>
      </c>
      <c r="X223" s="13"/>
      <c r="Y223" s="2">
        <f>(U223*0.98-S223-V223-W223-X223)*1.18/0.92</f>
        <v>60990</v>
      </c>
      <c r="Z223" s="18">
        <v>62990</v>
      </c>
      <c r="AA223" s="5"/>
      <c r="AB223" s="5"/>
      <c r="AC223" s="14">
        <v>0</v>
      </c>
      <c r="AD223" s="5">
        <v>0</v>
      </c>
      <c r="AE223" s="5"/>
      <c r="AF223" s="5">
        <f t="shared" si="55"/>
        <v>0</v>
      </c>
      <c r="AG223" s="5"/>
      <c r="AH223" s="13">
        <v>1877.7318644067752</v>
      </c>
      <c r="AI223" s="13"/>
      <c r="AJ223" s="5"/>
      <c r="AL223" s="5"/>
      <c r="AM223" s="5">
        <v>60990</v>
      </c>
      <c r="AN223" s="5">
        <f t="shared" si="49"/>
        <v>0</v>
      </c>
      <c r="AO223" s="5"/>
      <c r="AP223" s="5">
        <f t="shared" si="47"/>
        <v>51177.813559322036</v>
      </c>
      <c r="AQ223" s="20">
        <v>1877.7318644067752</v>
      </c>
      <c r="AR223" s="20"/>
      <c r="AT223" s="3">
        <v>0</v>
      </c>
      <c r="AV223" s="5">
        <f t="shared" si="56"/>
        <v>0</v>
      </c>
      <c r="AX223" s="38">
        <f t="shared" si="50"/>
        <v>0</v>
      </c>
      <c r="BA223" s="3">
        <v>0</v>
      </c>
      <c r="BB223" s="3">
        <v>0</v>
      </c>
      <c r="BC223" s="3">
        <v>0</v>
      </c>
      <c r="BD223" s="3">
        <f t="shared" si="57"/>
        <v>0</v>
      </c>
      <c r="BE223" s="3">
        <v>0</v>
      </c>
      <c r="BF223" s="3">
        <v>0</v>
      </c>
      <c r="BH223" s="3">
        <f t="shared" si="58"/>
        <v>0</v>
      </c>
      <c r="BJ223" s="38">
        <f t="shared" si="51"/>
        <v>0</v>
      </c>
      <c r="BL223" s="3">
        <f t="shared" si="52"/>
        <v>60389.82</v>
      </c>
    </row>
    <row r="224" spans="1:64" x14ac:dyDescent="0.35">
      <c r="A224" s="1" t="s">
        <v>607</v>
      </c>
      <c r="B224" s="1" t="str">
        <f t="shared" si="53"/>
        <v>Premium</v>
      </c>
      <c r="C224" s="1" t="s">
        <v>46</v>
      </c>
      <c r="D224" s="1" t="s">
        <v>80</v>
      </c>
      <c r="E224" s="1" t="s">
        <v>220</v>
      </c>
      <c r="F224" s="1" t="s">
        <v>221</v>
      </c>
      <c r="G224" s="1" t="s">
        <v>222</v>
      </c>
      <c r="H224" s="1" t="s">
        <v>84</v>
      </c>
      <c r="I224" s="1" t="s">
        <v>68</v>
      </c>
      <c r="J224" s="1" t="s">
        <v>168</v>
      </c>
      <c r="K224" s="1" t="s">
        <v>54</v>
      </c>
      <c r="L224" s="1" t="s">
        <v>70</v>
      </c>
      <c r="M224" s="1" t="s">
        <v>100</v>
      </c>
      <c r="N224" s="1" t="s">
        <v>200</v>
      </c>
      <c r="O224" s="1" t="s">
        <v>87</v>
      </c>
      <c r="P224" s="1" t="s">
        <v>223</v>
      </c>
      <c r="Q224" s="1" t="s">
        <v>72</v>
      </c>
      <c r="R224" s="1" t="s">
        <v>61</v>
      </c>
      <c r="S224" s="1">
        <v>725</v>
      </c>
      <c r="T224" s="2">
        <f>U224*0.98*0.965</f>
        <v>60901.749608474573</v>
      </c>
      <c r="U224" s="13">
        <v>64398.593220338982</v>
      </c>
      <c r="V224" s="13">
        <v>0</v>
      </c>
      <c r="W224" s="13"/>
      <c r="X224" s="13"/>
      <c r="Y224" s="2">
        <f>(U224*0.88-S224-V224-W224-X224)*1.18/0.92</f>
        <v>71756.520869565211</v>
      </c>
      <c r="Z224" s="2">
        <v>66190</v>
      </c>
      <c r="AA224" s="5"/>
      <c r="AB224" s="5"/>
      <c r="AC224" s="14">
        <v>0</v>
      </c>
      <c r="AD224" s="5">
        <f t="shared" si="54"/>
        <v>55945.762033898311</v>
      </c>
      <c r="AE224" s="5"/>
      <c r="AF224" s="5">
        <f t="shared" si="55"/>
        <v>0</v>
      </c>
      <c r="AG224" s="5"/>
      <c r="AH224" s="13">
        <v>0</v>
      </c>
      <c r="AI224" s="13"/>
      <c r="AJ224" s="5"/>
      <c r="AL224" s="5"/>
      <c r="AM224" s="5">
        <v>71756.520869565211</v>
      </c>
      <c r="AN224" s="5">
        <f t="shared" si="49"/>
        <v>0</v>
      </c>
      <c r="AO224" s="5"/>
      <c r="AP224" s="5"/>
      <c r="AQ224" s="20">
        <v>0</v>
      </c>
      <c r="AR224" s="20"/>
      <c r="AT224" s="3">
        <v>0</v>
      </c>
      <c r="AV224" s="5">
        <f t="shared" si="56"/>
        <v>0</v>
      </c>
      <c r="AX224" s="38">
        <f t="shared" si="50"/>
        <v>0</v>
      </c>
      <c r="BA224" s="3">
        <v>0</v>
      </c>
      <c r="BB224" s="3">
        <v>0</v>
      </c>
      <c r="BC224" s="3">
        <v>0</v>
      </c>
      <c r="BD224" s="3">
        <f t="shared" si="57"/>
        <v>0</v>
      </c>
      <c r="BE224" s="3">
        <v>0</v>
      </c>
      <c r="BF224" s="3">
        <v>0</v>
      </c>
      <c r="BH224" s="3">
        <f t="shared" si="58"/>
        <v>0</v>
      </c>
      <c r="BJ224" s="38">
        <f t="shared" si="51"/>
        <v>0</v>
      </c>
      <c r="BL224" s="3">
        <f t="shared" si="52"/>
        <v>75990.34</v>
      </c>
    </row>
    <row r="225" spans="1:64" x14ac:dyDescent="0.35">
      <c r="A225" s="1" t="s">
        <v>608</v>
      </c>
      <c r="B225" s="1" t="str">
        <f t="shared" si="53"/>
        <v>Premium</v>
      </c>
      <c r="C225" s="1" t="s">
        <v>46</v>
      </c>
      <c r="D225" s="1" t="s">
        <v>80</v>
      </c>
      <c r="E225" s="1" t="s">
        <v>220</v>
      </c>
      <c r="F225" s="1" t="s">
        <v>221</v>
      </c>
      <c r="G225" s="1" t="s">
        <v>222</v>
      </c>
      <c r="H225" s="1" t="s">
        <v>84</v>
      </c>
      <c r="I225" s="1" t="s">
        <v>68</v>
      </c>
      <c r="J225" s="1" t="s">
        <v>168</v>
      </c>
      <c r="K225" s="1" t="s">
        <v>92</v>
      </c>
      <c r="L225" s="1" t="s">
        <v>70</v>
      </c>
      <c r="M225" s="1" t="s">
        <v>56</v>
      </c>
      <c r="N225" s="1" t="s">
        <v>57</v>
      </c>
      <c r="O225" s="1" t="s">
        <v>87</v>
      </c>
      <c r="P225" s="1" t="s">
        <v>223</v>
      </c>
      <c r="Q225" s="1" t="s">
        <v>72</v>
      </c>
      <c r="R225" s="1" t="s">
        <v>61</v>
      </c>
      <c r="S225" s="1"/>
      <c r="T225" s="2">
        <f>U225*0.98*0.965</f>
        <v>57695.650291525417</v>
      </c>
      <c r="U225" s="13">
        <v>61008.406779661018</v>
      </c>
      <c r="V225" s="13">
        <v>0</v>
      </c>
      <c r="W225" s="13"/>
      <c r="X225" s="13"/>
      <c r="Y225" s="2">
        <f>(U225*0.88-S225-V225-W225-X225)*1.18/0.92</f>
        <v>68859.923478260855</v>
      </c>
      <c r="Z225" s="2">
        <v>68859.923478260855</v>
      </c>
      <c r="AA225" s="5"/>
      <c r="AB225" s="5"/>
      <c r="AC225" s="14">
        <v>0</v>
      </c>
      <c r="AD225" s="5">
        <f t="shared" si="54"/>
        <v>53687.397966101693</v>
      </c>
      <c r="AE225" s="5"/>
      <c r="AF225" s="5">
        <f t="shared" si="55"/>
        <v>0</v>
      </c>
      <c r="AG225" s="5"/>
      <c r="AH225" s="13">
        <v>0</v>
      </c>
      <c r="AI225" s="13"/>
      <c r="AJ225" s="5"/>
      <c r="AL225" s="5"/>
      <c r="AM225" s="5">
        <v>68859.923478260855</v>
      </c>
      <c r="AN225" s="5">
        <f t="shared" si="49"/>
        <v>0</v>
      </c>
      <c r="AO225" s="5"/>
      <c r="AP225" s="5"/>
      <c r="AQ225" s="20">
        <v>0</v>
      </c>
      <c r="AR225" s="20"/>
      <c r="AT225" s="3">
        <v>0</v>
      </c>
      <c r="AV225" s="5">
        <f t="shared" si="56"/>
        <v>0</v>
      </c>
      <c r="AX225" s="38">
        <f t="shared" si="50"/>
        <v>0</v>
      </c>
      <c r="BA225" s="3">
        <v>0</v>
      </c>
      <c r="BB225" s="3">
        <v>0</v>
      </c>
      <c r="BC225" s="3">
        <v>0</v>
      </c>
      <c r="BD225" s="3">
        <f t="shared" si="57"/>
        <v>0</v>
      </c>
      <c r="BE225" s="3">
        <v>1</v>
      </c>
      <c r="BF225" s="3">
        <v>0</v>
      </c>
      <c r="BH225" s="3">
        <f t="shared" si="58"/>
        <v>0</v>
      </c>
      <c r="BJ225" s="38">
        <f t="shared" si="51"/>
        <v>0</v>
      </c>
      <c r="BL225" s="3">
        <f t="shared" si="52"/>
        <v>71989.919999999998</v>
      </c>
    </row>
    <row r="226" spans="1:64" x14ac:dyDescent="0.35">
      <c r="A226" s="1" t="s">
        <v>609</v>
      </c>
      <c r="B226" s="1" t="str">
        <f t="shared" si="53"/>
        <v>Premium</v>
      </c>
      <c r="C226" s="1" t="s">
        <v>46</v>
      </c>
      <c r="D226" s="1" t="s">
        <v>47</v>
      </c>
      <c r="E226" s="1" t="s">
        <v>48</v>
      </c>
      <c r="F226" s="1" t="s">
        <v>49</v>
      </c>
      <c r="G226" s="1" t="s">
        <v>50</v>
      </c>
      <c r="H226" s="1" t="s">
        <v>51</v>
      </c>
      <c r="I226" s="1" t="s">
        <v>52</v>
      </c>
      <c r="J226" s="1" t="s">
        <v>53</v>
      </c>
      <c r="K226" s="1" t="s">
        <v>54</v>
      </c>
      <c r="L226" s="1" t="s">
        <v>70</v>
      </c>
      <c r="M226" s="1" t="s">
        <v>56</v>
      </c>
      <c r="N226" s="1" t="s">
        <v>57</v>
      </c>
      <c r="O226" s="1" t="s">
        <v>58</v>
      </c>
      <c r="P226" s="1" t="s">
        <v>179</v>
      </c>
      <c r="Q226" s="1" t="s">
        <v>60</v>
      </c>
      <c r="R226" s="1" t="s">
        <v>73</v>
      </c>
      <c r="S226" s="1">
        <v>2457</v>
      </c>
      <c r="T226" s="2">
        <f>U226*0.98*0.98</f>
        <v>82627.337966101695</v>
      </c>
      <c r="U226" s="13">
        <v>86034.296091317883</v>
      </c>
      <c r="V226" s="13">
        <v>0</v>
      </c>
      <c r="W226" s="13">
        <v>3898</v>
      </c>
      <c r="X226" s="13"/>
      <c r="Y226" s="2">
        <f>(U226*0.98-S226-V226-W226-X226)*1.18/0.92</f>
        <v>99990.391304347824</v>
      </c>
      <c r="Z226" s="1">
        <v>99990</v>
      </c>
      <c r="AA226" s="5"/>
      <c r="AB226" s="5"/>
      <c r="AC226" s="14">
        <v>0</v>
      </c>
      <c r="AD226" s="5">
        <v>0</v>
      </c>
      <c r="AE226" s="5"/>
      <c r="AF226" s="5">
        <f t="shared" si="55"/>
        <v>3898</v>
      </c>
      <c r="AG226" s="5"/>
      <c r="AH226" s="13">
        <v>0</v>
      </c>
      <c r="AI226" s="13">
        <v>3898</v>
      </c>
      <c r="AJ226" s="5"/>
      <c r="AL226" s="5"/>
      <c r="AM226" s="5">
        <v>99990.391304347824</v>
      </c>
      <c r="AN226" s="5">
        <f t="shared" si="49"/>
        <v>0</v>
      </c>
      <c r="AO226" s="5"/>
      <c r="AP226" s="5">
        <f t="shared" ref="AP226:AP231" si="59">U226-AL226</f>
        <v>86034.296091317883</v>
      </c>
      <c r="AQ226" s="20">
        <v>0</v>
      </c>
      <c r="AR226" s="20">
        <v>3898</v>
      </c>
      <c r="AT226" s="3">
        <v>0</v>
      </c>
      <c r="AV226" s="5">
        <f t="shared" si="56"/>
        <v>0</v>
      </c>
      <c r="AX226" s="38">
        <f t="shared" si="50"/>
        <v>0</v>
      </c>
      <c r="BA226" s="3">
        <v>0</v>
      </c>
      <c r="BB226" s="3">
        <v>0</v>
      </c>
      <c r="BC226" s="3">
        <v>0</v>
      </c>
      <c r="BD226" s="3">
        <f t="shared" si="57"/>
        <v>0</v>
      </c>
      <c r="BE226" s="3">
        <v>0</v>
      </c>
      <c r="BF226" s="3">
        <v>0</v>
      </c>
      <c r="BH226" s="3">
        <f t="shared" si="58"/>
        <v>0</v>
      </c>
      <c r="BJ226" s="38">
        <f t="shared" si="51"/>
        <v>0</v>
      </c>
      <c r="BL226" s="3">
        <f t="shared" si="52"/>
        <v>101520.4693877551</v>
      </c>
    </row>
    <row r="227" spans="1:64" x14ac:dyDescent="0.35">
      <c r="A227" s="1" t="s">
        <v>610</v>
      </c>
      <c r="B227" s="1" t="str">
        <f t="shared" si="53"/>
        <v>Mainstream</v>
      </c>
      <c r="C227" s="1" t="s">
        <v>79</v>
      </c>
      <c r="D227" s="1" t="s">
        <v>210</v>
      </c>
      <c r="E227" s="1" t="s">
        <v>81</v>
      </c>
      <c r="F227" s="1" t="s">
        <v>82</v>
      </c>
      <c r="G227" s="1" t="s">
        <v>611</v>
      </c>
      <c r="H227" s="1" t="s">
        <v>212</v>
      </c>
      <c r="I227" s="1" t="s">
        <v>362</v>
      </c>
      <c r="J227" s="1" t="s">
        <v>612</v>
      </c>
      <c r="K227" s="1" t="s">
        <v>92</v>
      </c>
      <c r="L227" s="1" t="s">
        <v>70</v>
      </c>
      <c r="M227" s="1" t="s">
        <v>56</v>
      </c>
      <c r="N227" s="1" t="s">
        <v>57</v>
      </c>
      <c r="O227" s="1" t="s">
        <v>87</v>
      </c>
      <c r="P227" s="1" t="s">
        <v>161</v>
      </c>
      <c r="Q227" s="1" t="s">
        <v>165</v>
      </c>
      <c r="R227" s="1" t="s">
        <v>61</v>
      </c>
      <c r="S227" s="1">
        <v>0</v>
      </c>
      <c r="T227" s="2">
        <v>37209</v>
      </c>
      <c r="U227" s="13">
        <v>39345.762711864409</v>
      </c>
      <c r="V227" s="13">
        <v>0</v>
      </c>
      <c r="W227" s="13">
        <v>2280</v>
      </c>
      <c r="X227" s="13"/>
      <c r="Y227" s="2">
        <f>(U227*0.89-S227-V227-W227-X227)*1.18/0.92</f>
        <v>41989.695652173912</v>
      </c>
      <c r="Z227" s="18">
        <f>AC227</f>
        <v>41990</v>
      </c>
      <c r="AA227" s="5" t="s">
        <v>90</v>
      </c>
      <c r="AB227" s="5"/>
      <c r="AC227" s="14">
        <v>41990</v>
      </c>
      <c r="AD227" s="5">
        <f t="shared" si="54"/>
        <v>-0.23728813559396031</v>
      </c>
      <c r="AE227" s="5"/>
      <c r="AF227" s="5">
        <f t="shared" si="55"/>
        <v>2280</v>
      </c>
      <c r="AG227" s="5"/>
      <c r="AH227" s="13">
        <v>0</v>
      </c>
      <c r="AI227" s="13">
        <v>2280</v>
      </c>
      <c r="AJ227" s="5"/>
      <c r="AL227" s="5"/>
      <c r="AM227" s="5">
        <v>43990.565217391304</v>
      </c>
      <c r="AN227" s="5">
        <f t="shared" si="49"/>
        <v>-2000.8695652173919</v>
      </c>
      <c r="AO227" s="5"/>
      <c r="AP227" s="5">
        <f t="shared" si="59"/>
        <v>39345.762711864409</v>
      </c>
      <c r="AQ227" s="20">
        <v>0</v>
      </c>
      <c r="AR227" s="20">
        <v>720</v>
      </c>
      <c r="AT227" s="3">
        <v>9</v>
      </c>
      <c r="AV227" s="5">
        <f t="shared" si="56"/>
        <v>90</v>
      </c>
      <c r="AX227" s="38">
        <f t="shared" si="50"/>
        <v>205200</v>
      </c>
      <c r="BA227" s="3">
        <v>0</v>
      </c>
      <c r="BB227" s="3">
        <v>0</v>
      </c>
      <c r="BC227" s="3">
        <v>0</v>
      </c>
      <c r="BD227" s="3">
        <f t="shared" si="57"/>
        <v>0</v>
      </c>
      <c r="BE227" s="3">
        <v>1912</v>
      </c>
      <c r="BF227" s="3">
        <v>3</v>
      </c>
      <c r="BH227" s="3">
        <f t="shared" si="58"/>
        <v>0</v>
      </c>
      <c r="BJ227" s="38">
        <f t="shared" si="51"/>
        <v>0</v>
      </c>
      <c r="BL227" s="3">
        <f t="shared" si="52"/>
        <v>46428</v>
      </c>
    </row>
    <row r="228" spans="1:64" x14ac:dyDescent="0.35">
      <c r="A228" s="4" t="s">
        <v>613</v>
      </c>
      <c r="B228" s="1" t="str">
        <f t="shared" si="53"/>
        <v>Premium</v>
      </c>
      <c r="C228" s="1" t="s">
        <v>46</v>
      </c>
      <c r="D228" s="1" t="s">
        <v>460</v>
      </c>
      <c r="E228" s="1" t="s">
        <v>81</v>
      </c>
      <c r="F228" s="1" t="s">
        <v>115</v>
      </c>
      <c r="G228" s="1" t="s">
        <v>441</v>
      </c>
      <c r="H228" s="1" t="s">
        <v>67</v>
      </c>
      <c r="I228" s="1" t="s">
        <v>362</v>
      </c>
      <c r="J228" s="1" t="s">
        <v>614</v>
      </c>
      <c r="K228" s="1" t="s">
        <v>54</v>
      </c>
      <c r="L228" s="4" t="s">
        <v>70</v>
      </c>
      <c r="M228" s="1" t="s">
        <v>100</v>
      </c>
      <c r="N228" s="1" t="s">
        <v>57</v>
      </c>
      <c r="O228" s="1" t="s">
        <v>87</v>
      </c>
      <c r="P228" s="1" t="s">
        <v>205</v>
      </c>
      <c r="Q228" s="1" t="s">
        <v>127</v>
      </c>
      <c r="R228" s="1" t="s">
        <v>61</v>
      </c>
      <c r="S228" s="1">
        <v>725</v>
      </c>
      <c r="T228" s="2">
        <f>U228*0.965*0.98</f>
        <v>72995.125876348233</v>
      </c>
      <c r="U228" s="13">
        <v>77186.344375963032</v>
      </c>
      <c r="V228" s="13">
        <v>0</v>
      </c>
      <c r="W228" s="13"/>
      <c r="X228" s="13"/>
      <c r="Y228" s="2">
        <f>(U228*0.88-S228-V228-W228-X228)*1.18/0.92</f>
        <v>86190</v>
      </c>
      <c r="Z228" s="1">
        <v>86190</v>
      </c>
      <c r="AA228" s="5"/>
      <c r="AB228" s="5"/>
      <c r="AC228" s="14">
        <v>86190</v>
      </c>
      <c r="AD228" s="5">
        <f t="shared" si="54"/>
        <v>0</v>
      </c>
      <c r="AE228" s="5"/>
      <c r="AF228" s="5">
        <f t="shared" si="55"/>
        <v>0</v>
      </c>
      <c r="AG228" s="5"/>
      <c r="AH228" s="13">
        <v>0</v>
      </c>
      <c r="AI228" s="13"/>
      <c r="AJ228" s="5"/>
      <c r="AL228" s="5"/>
      <c r="AM228" s="5">
        <v>86190</v>
      </c>
      <c r="AN228" s="5">
        <f t="shared" si="49"/>
        <v>0</v>
      </c>
      <c r="AO228" s="5"/>
      <c r="AP228" s="5">
        <f t="shared" si="59"/>
        <v>77186.344375963032</v>
      </c>
      <c r="AQ228" s="20">
        <v>0</v>
      </c>
      <c r="AR228" s="20"/>
      <c r="AT228" s="3">
        <v>0</v>
      </c>
      <c r="AV228" s="5">
        <f t="shared" si="56"/>
        <v>0</v>
      </c>
      <c r="AX228" s="38">
        <f t="shared" si="50"/>
        <v>0</v>
      </c>
      <c r="BA228" s="3">
        <v>0</v>
      </c>
      <c r="BB228" s="3">
        <v>0</v>
      </c>
      <c r="BC228" s="3">
        <v>0</v>
      </c>
      <c r="BD228" s="3">
        <f t="shared" si="57"/>
        <v>0</v>
      </c>
      <c r="BE228" s="3">
        <v>276</v>
      </c>
      <c r="BF228" s="3">
        <v>200</v>
      </c>
      <c r="BH228" s="3">
        <f t="shared" si="58"/>
        <v>0</v>
      </c>
      <c r="BJ228" s="38">
        <f t="shared" si="51"/>
        <v>0</v>
      </c>
      <c r="BL228" s="3">
        <f t="shared" si="52"/>
        <v>91079.886363636368</v>
      </c>
    </row>
    <row r="229" spans="1:64" x14ac:dyDescent="0.35">
      <c r="A229" s="1" t="s">
        <v>615</v>
      </c>
      <c r="B229" s="1" t="str">
        <f t="shared" si="53"/>
        <v>Premium</v>
      </c>
      <c r="C229" s="1" t="s">
        <v>46</v>
      </c>
      <c r="D229" s="1" t="s">
        <v>460</v>
      </c>
      <c r="E229" s="1" t="s">
        <v>81</v>
      </c>
      <c r="F229" s="1" t="s">
        <v>115</v>
      </c>
      <c r="G229" s="1" t="s">
        <v>436</v>
      </c>
      <c r="H229" s="1" t="s">
        <v>67</v>
      </c>
      <c r="I229" s="1" t="s">
        <v>362</v>
      </c>
      <c r="J229" s="1" t="s">
        <v>155</v>
      </c>
      <c r="K229" s="1" t="s">
        <v>54</v>
      </c>
      <c r="L229" s="1" t="s">
        <v>70</v>
      </c>
      <c r="M229" s="1" t="s">
        <v>100</v>
      </c>
      <c r="N229" s="1" t="s">
        <v>57</v>
      </c>
      <c r="O229" s="1" t="s">
        <v>87</v>
      </c>
      <c r="P229" s="1" t="s">
        <v>616</v>
      </c>
      <c r="Q229" s="1" t="s">
        <v>127</v>
      </c>
      <c r="R229" s="1" t="s">
        <v>61</v>
      </c>
      <c r="S229" s="1">
        <v>0</v>
      </c>
      <c r="T229" s="2">
        <f>U229*0.965*0.98</f>
        <v>73215.613135593216</v>
      </c>
      <c r="U229" s="13">
        <v>77419.491525423728</v>
      </c>
      <c r="V229" s="13">
        <v>0</v>
      </c>
      <c r="W229" s="13"/>
      <c r="X229" s="13"/>
      <c r="Y229" s="2">
        <f>(U229*0.88-S229-V229-W229-X229)*1.18/0.92</f>
        <v>87383.043478260865</v>
      </c>
      <c r="Z229" s="18">
        <v>87190</v>
      </c>
      <c r="AA229" s="5"/>
      <c r="AB229" s="5"/>
      <c r="AC229" s="14">
        <v>87190</v>
      </c>
      <c r="AD229" s="5">
        <f t="shared" si="54"/>
        <v>150.50847457626728</v>
      </c>
      <c r="AE229" s="5"/>
      <c r="AF229" s="5">
        <f t="shared" si="55"/>
        <v>0</v>
      </c>
      <c r="AG229" s="5"/>
      <c r="AH229" s="13">
        <v>0</v>
      </c>
      <c r="AI229" s="13"/>
      <c r="AJ229" s="5"/>
      <c r="AL229" s="5"/>
      <c r="AM229" s="5">
        <v>87383.043478260865</v>
      </c>
      <c r="AN229" s="5">
        <f t="shared" si="49"/>
        <v>0</v>
      </c>
      <c r="AO229" s="5"/>
      <c r="AP229" s="5">
        <f t="shared" si="59"/>
        <v>77419.491525423728</v>
      </c>
      <c r="AQ229" s="20">
        <v>0</v>
      </c>
      <c r="AR229" s="20"/>
      <c r="AT229" s="3">
        <v>4</v>
      </c>
      <c r="AV229" s="5">
        <f t="shared" si="56"/>
        <v>40</v>
      </c>
      <c r="AX229" s="38">
        <f t="shared" si="50"/>
        <v>0</v>
      </c>
      <c r="BA229" s="3">
        <v>17</v>
      </c>
      <c r="BB229" s="3">
        <v>16</v>
      </c>
      <c r="BC229" s="3">
        <v>6</v>
      </c>
      <c r="BD229" s="3">
        <f t="shared" si="57"/>
        <v>39</v>
      </c>
      <c r="BE229" s="3">
        <v>31</v>
      </c>
      <c r="BF229" s="3">
        <v>13</v>
      </c>
      <c r="BH229" s="3">
        <f t="shared" si="58"/>
        <v>73</v>
      </c>
      <c r="BJ229" s="38">
        <f t="shared" si="51"/>
        <v>0</v>
      </c>
      <c r="BL229" s="3">
        <f t="shared" si="52"/>
        <v>91355</v>
      </c>
    </row>
    <row r="230" spans="1:64" x14ac:dyDescent="0.35">
      <c r="A230" s="1" t="s">
        <v>617</v>
      </c>
      <c r="B230" s="1" t="str">
        <f t="shared" si="53"/>
        <v>Mainstream</v>
      </c>
      <c r="C230" s="1" t="s">
        <v>46</v>
      </c>
      <c r="D230" s="1" t="s">
        <v>80</v>
      </c>
      <c r="E230" s="1" t="s">
        <v>81</v>
      </c>
      <c r="F230" s="1" t="s">
        <v>82</v>
      </c>
      <c r="G230" s="1" t="s">
        <v>618</v>
      </c>
      <c r="H230" s="1" t="s">
        <v>84</v>
      </c>
      <c r="I230" s="1" t="s">
        <v>85</v>
      </c>
      <c r="J230" s="1" t="s">
        <v>619</v>
      </c>
      <c r="K230" s="1" t="s">
        <v>92</v>
      </c>
      <c r="L230" s="1" t="s">
        <v>70</v>
      </c>
      <c r="M230" s="1" t="s">
        <v>56</v>
      </c>
      <c r="N230" s="1" t="s">
        <v>57</v>
      </c>
      <c r="O230" s="1" t="s">
        <v>87</v>
      </c>
      <c r="P230" s="1" t="s">
        <v>88</v>
      </c>
      <c r="Q230" s="1" t="s">
        <v>89</v>
      </c>
      <c r="R230" s="1" t="s">
        <v>61</v>
      </c>
      <c r="S230" s="1">
        <v>0</v>
      </c>
      <c r="T230" s="2">
        <v>41987.188599999994</v>
      </c>
      <c r="U230" s="14">
        <v>44397.999999999993</v>
      </c>
      <c r="V230" s="13">
        <v>0</v>
      </c>
      <c r="W230" s="13">
        <v>5217</v>
      </c>
      <c r="X230" s="13"/>
      <c r="Y230" s="2">
        <f>(U230*0.89-S230-V230-W230-X230)*1.18/0.92</f>
        <v>43989.912608695638</v>
      </c>
      <c r="Z230" s="18">
        <f>AC230</f>
        <v>43990</v>
      </c>
      <c r="AA230" s="5" t="s">
        <v>90</v>
      </c>
      <c r="AB230" s="5"/>
      <c r="AC230" s="14">
        <v>43990</v>
      </c>
      <c r="AD230" s="5">
        <f t="shared" si="54"/>
        <v>-6.8135593231013689E-2</v>
      </c>
      <c r="AE230" s="5"/>
      <c r="AF230" s="5">
        <f t="shared" si="55"/>
        <v>5217</v>
      </c>
      <c r="AG230" s="5"/>
      <c r="AH230" s="13">
        <v>0</v>
      </c>
      <c r="AI230" s="13">
        <v>4772.9518644067721</v>
      </c>
      <c r="AJ230" s="5"/>
      <c r="AL230" s="5"/>
      <c r="AM230" s="5">
        <v>43989.999999999993</v>
      </c>
      <c r="AN230" s="5">
        <f t="shared" si="49"/>
        <v>-8.7391304354241583E-2</v>
      </c>
      <c r="AO230" s="5"/>
      <c r="AP230" s="5">
        <f t="shared" si="59"/>
        <v>44397.999999999993</v>
      </c>
      <c r="AQ230" s="20">
        <v>0</v>
      </c>
      <c r="AR230" s="20">
        <v>4772.9518644067721</v>
      </c>
      <c r="AT230" s="3">
        <v>0</v>
      </c>
      <c r="AV230" s="5">
        <f t="shared" si="56"/>
        <v>0</v>
      </c>
      <c r="AX230" s="38">
        <f t="shared" si="50"/>
        <v>0</v>
      </c>
      <c r="BA230" s="3">
        <v>0</v>
      </c>
      <c r="BB230" s="3">
        <v>0</v>
      </c>
      <c r="BC230" s="3">
        <v>0</v>
      </c>
      <c r="BD230" s="3">
        <f t="shared" si="57"/>
        <v>0</v>
      </c>
      <c r="BE230" s="3">
        <v>2</v>
      </c>
      <c r="BF230" s="3">
        <v>0</v>
      </c>
      <c r="BH230" s="3">
        <f t="shared" si="58"/>
        <v>0</v>
      </c>
      <c r="BJ230" s="38">
        <f t="shared" si="51"/>
        <v>0</v>
      </c>
      <c r="BL230" s="3">
        <f t="shared" si="52"/>
        <v>52389.639999999992</v>
      </c>
    </row>
    <row r="231" spans="1:64" x14ac:dyDescent="0.35">
      <c r="A231" s="1" t="s">
        <v>620</v>
      </c>
      <c r="B231" s="1" t="str">
        <f t="shared" si="53"/>
        <v>Premium</v>
      </c>
      <c r="C231" s="1" t="s">
        <v>46</v>
      </c>
      <c r="D231" s="1" t="s">
        <v>106</v>
      </c>
      <c r="E231" s="1" t="s">
        <v>81</v>
      </c>
      <c r="F231" s="1" t="s">
        <v>621</v>
      </c>
      <c r="G231" s="4" t="s">
        <v>622</v>
      </c>
      <c r="H231" s="1" t="s">
        <v>51</v>
      </c>
      <c r="I231" s="1" t="s">
        <v>623</v>
      </c>
      <c r="J231" s="4" t="s">
        <v>624</v>
      </c>
      <c r="K231" s="4" t="s">
        <v>54</v>
      </c>
      <c r="L231" s="4" t="s">
        <v>70</v>
      </c>
      <c r="M231" s="4" t="s">
        <v>100</v>
      </c>
      <c r="N231" s="4" t="s">
        <v>57</v>
      </c>
      <c r="O231" s="4" t="s">
        <v>625</v>
      </c>
      <c r="P231" s="4" t="s">
        <v>626</v>
      </c>
      <c r="Q231" s="1" t="s">
        <v>127</v>
      </c>
      <c r="R231" s="1" t="s">
        <v>61</v>
      </c>
      <c r="S231" s="1">
        <v>0</v>
      </c>
      <c r="T231" s="2">
        <f>U231*0.965*0.98</f>
        <v>74729.607434514633</v>
      </c>
      <c r="U231" s="13">
        <v>79020.416024653314</v>
      </c>
      <c r="V231" s="13">
        <v>0</v>
      </c>
      <c r="W231" s="13"/>
      <c r="X231" s="13"/>
      <c r="Y231" s="2">
        <f>(U231*0.88-S231-V231-W231-X231)*1.18/0.92</f>
        <v>89189.999999999985</v>
      </c>
      <c r="Z231" s="2">
        <v>89189.999999999985</v>
      </c>
      <c r="AA231" s="5"/>
      <c r="AB231" s="5"/>
      <c r="AC231" s="14">
        <v>89189.999999999985</v>
      </c>
      <c r="AD231" s="5">
        <f t="shared" si="54"/>
        <v>0</v>
      </c>
      <c r="AE231" s="5"/>
      <c r="AF231" s="5">
        <f t="shared" si="55"/>
        <v>0</v>
      </c>
      <c r="AG231" s="5"/>
      <c r="AH231" s="13">
        <v>0</v>
      </c>
      <c r="AI231" s="13"/>
      <c r="AJ231" s="5"/>
      <c r="AL231" s="5"/>
      <c r="AM231" s="5">
        <v>89189.999999999985</v>
      </c>
      <c r="AN231" s="5">
        <f t="shared" si="49"/>
        <v>0</v>
      </c>
      <c r="AO231" s="5"/>
      <c r="AP231" s="5">
        <f t="shared" si="59"/>
        <v>79020.416024653314</v>
      </c>
      <c r="AQ231" s="20">
        <v>0</v>
      </c>
      <c r="AR231" s="20"/>
      <c r="AT231" s="3">
        <v>0</v>
      </c>
      <c r="AV231" s="5">
        <f t="shared" si="56"/>
        <v>0</v>
      </c>
      <c r="AX231" s="38">
        <f t="shared" si="50"/>
        <v>0</v>
      </c>
      <c r="BA231" s="3">
        <v>15</v>
      </c>
      <c r="BB231" s="3">
        <v>0</v>
      </c>
      <c r="BC231" s="3">
        <v>0</v>
      </c>
      <c r="BD231" s="3">
        <f t="shared" si="57"/>
        <v>15</v>
      </c>
      <c r="BE231" s="3">
        <v>104</v>
      </c>
      <c r="BF231" s="3">
        <v>2</v>
      </c>
      <c r="BH231" s="3">
        <f t="shared" si="58"/>
        <v>28</v>
      </c>
      <c r="BJ231" s="38">
        <f t="shared" si="51"/>
        <v>0</v>
      </c>
      <c r="BL231" s="3">
        <f t="shared" si="52"/>
        <v>93244.090909090912</v>
      </c>
    </row>
    <row r="232" spans="1:64" x14ac:dyDescent="0.35">
      <c r="A232" s="1" t="s">
        <v>627</v>
      </c>
      <c r="B232" s="1" t="str">
        <f t="shared" si="53"/>
        <v>Premium</v>
      </c>
      <c r="C232" s="1" t="s">
        <v>46</v>
      </c>
      <c r="D232" s="1" t="s">
        <v>460</v>
      </c>
      <c r="E232" s="1" t="s">
        <v>220</v>
      </c>
      <c r="F232" s="1" t="s">
        <v>628</v>
      </c>
      <c r="G232" s="1" t="s">
        <v>629</v>
      </c>
      <c r="H232" s="1" t="s">
        <v>67</v>
      </c>
      <c r="I232" s="1" t="s">
        <v>154</v>
      </c>
      <c r="J232" s="1" t="s">
        <v>630</v>
      </c>
      <c r="K232" s="1" t="s">
        <v>54</v>
      </c>
      <c r="L232" s="1" t="s">
        <v>55</v>
      </c>
      <c r="M232" s="1" t="s">
        <v>100</v>
      </c>
      <c r="N232" s="1" t="s">
        <v>200</v>
      </c>
      <c r="O232" s="1" t="s">
        <v>87</v>
      </c>
      <c r="P232" s="1" t="s">
        <v>631</v>
      </c>
      <c r="Q232" s="1">
        <v>0</v>
      </c>
      <c r="R232" s="1" t="s">
        <v>61</v>
      </c>
      <c r="S232" s="1">
        <v>1881</v>
      </c>
      <c r="T232" s="2">
        <f>U232*0.98*0.965</f>
        <v>190701.33394260402</v>
      </c>
      <c r="U232" s="13">
        <v>201650.98228043146</v>
      </c>
      <c r="V232" s="13">
        <v>0</v>
      </c>
      <c r="W232" s="13"/>
      <c r="X232" s="13"/>
      <c r="Y232" s="2">
        <f>(U232*0.88-S232-V232-W232-X232)*1.18/0.92</f>
        <v>225190.00000000003</v>
      </c>
      <c r="Z232" s="1">
        <v>225190</v>
      </c>
      <c r="AA232" s="5"/>
      <c r="AB232" s="5"/>
      <c r="AC232" s="14">
        <v>0</v>
      </c>
      <c r="AD232" s="5">
        <f t="shared" si="54"/>
        <v>175571.8644067797</v>
      </c>
      <c r="AE232" s="5"/>
      <c r="AF232" s="5">
        <f t="shared" si="55"/>
        <v>0</v>
      </c>
      <c r="AG232" s="5"/>
      <c r="AH232" s="13">
        <v>0</v>
      </c>
      <c r="AI232" s="13"/>
      <c r="AJ232" s="5"/>
      <c r="AL232" s="5"/>
      <c r="AM232" s="5">
        <v>225190.00000000003</v>
      </c>
      <c r="AN232" s="5">
        <f t="shared" si="49"/>
        <v>0</v>
      </c>
      <c r="AO232" s="5"/>
      <c r="AP232" s="5"/>
      <c r="AQ232" s="20">
        <v>0</v>
      </c>
      <c r="AR232" s="20"/>
      <c r="AT232" s="3">
        <v>2</v>
      </c>
      <c r="AV232" s="5">
        <f t="shared" si="56"/>
        <v>20</v>
      </c>
      <c r="AX232" s="38">
        <f t="shared" si="50"/>
        <v>0</v>
      </c>
      <c r="BA232" s="3">
        <v>7</v>
      </c>
      <c r="BB232" s="3">
        <v>2</v>
      </c>
      <c r="BC232" s="3">
        <v>19</v>
      </c>
      <c r="BD232" s="3">
        <f t="shared" si="57"/>
        <v>28</v>
      </c>
      <c r="BE232" s="3">
        <v>151</v>
      </c>
      <c r="BF232" s="3">
        <v>16</v>
      </c>
      <c r="BH232" s="3">
        <f t="shared" si="58"/>
        <v>52</v>
      </c>
      <c r="BJ232" s="38">
        <f t="shared" si="51"/>
        <v>0</v>
      </c>
      <c r="BL232" s="3">
        <f t="shared" si="52"/>
        <v>237948.15909090912</v>
      </c>
    </row>
    <row r="233" spans="1:64" x14ac:dyDescent="0.35">
      <c r="A233" s="1" t="s">
        <v>632</v>
      </c>
      <c r="B233" s="1" t="str">
        <f t="shared" si="53"/>
        <v>Mainstream</v>
      </c>
      <c r="C233" s="1" t="s">
        <v>46</v>
      </c>
      <c r="D233" s="1" t="s">
        <v>80</v>
      </c>
      <c r="E233" s="1" t="s">
        <v>81</v>
      </c>
      <c r="F233" s="1" t="s">
        <v>82</v>
      </c>
      <c r="G233" s="1" t="s">
        <v>633</v>
      </c>
      <c r="H233" s="1" t="s">
        <v>84</v>
      </c>
      <c r="I233" s="1" t="s">
        <v>68</v>
      </c>
      <c r="J233" s="1" t="s">
        <v>591</v>
      </c>
      <c r="K233" s="1" t="s">
        <v>54</v>
      </c>
      <c r="L233" s="1" t="s">
        <v>70</v>
      </c>
      <c r="M233" s="1" t="s">
        <v>56</v>
      </c>
      <c r="N233" s="1" t="s">
        <v>57</v>
      </c>
      <c r="O233" s="1" t="s">
        <v>87</v>
      </c>
      <c r="P233" s="1" t="s">
        <v>161</v>
      </c>
      <c r="Q233" s="1" t="s">
        <v>165</v>
      </c>
      <c r="R233" s="1" t="s">
        <v>73</v>
      </c>
      <c r="S233" s="1">
        <v>0</v>
      </c>
      <c r="T233" s="2">
        <v>42282</v>
      </c>
      <c r="U233" s="13">
        <v>44025.423728813563</v>
      </c>
      <c r="V233" s="13">
        <v>0</v>
      </c>
      <c r="W233" s="13">
        <v>0</v>
      </c>
      <c r="X233" s="13"/>
      <c r="Y233" s="2">
        <f>(U233*0.98-S233-V233-W233-X233)*1.18/0.92</f>
        <v>55338.043478260865</v>
      </c>
      <c r="Z233" s="18">
        <f>AC233</f>
        <v>55390</v>
      </c>
      <c r="AA233" s="5" t="s">
        <v>90</v>
      </c>
      <c r="AB233" s="5"/>
      <c r="AC233" s="14">
        <v>55390</v>
      </c>
      <c r="AD233" s="5">
        <f t="shared" si="54"/>
        <v>-40.508474576275134</v>
      </c>
      <c r="AE233" s="5"/>
      <c r="AF233" s="5">
        <f t="shared" si="55"/>
        <v>0</v>
      </c>
      <c r="AG233" s="5"/>
      <c r="AH233" s="13">
        <v>0</v>
      </c>
      <c r="AI233" s="13"/>
      <c r="AJ233" s="5"/>
      <c r="AL233" s="5"/>
      <c r="AM233" s="5">
        <v>55338.043478260865</v>
      </c>
      <c r="AN233" s="5">
        <f t="shared" si="49"/>
        <v>0</v>
      </c>
      <c r="AO233" s="5"/>
      <c r="AP233" s="5">
        <f t="shared" ref="AP233:AP239" si="60">U233-AL233</f>
        <v>44025.423728813563</v>
      </c>
      <c r="AQ233" s="20">
        <v>0</v>
      </c>
      <c r="AR233" s="20"/>
      <c r="AT233" s="3">
        <v>88</v>
      </c>
      <c r="AV233" s="5">
        <f t="shared" si="56"/>
        <v>880</v>
      </c>
      <c r="AX233" s="38">
        <f t="shared" si="50"/>
        <v>0</v>
      </c>
      <c r="BA233" s="3">
        <v>0</v>
      </c>
      <c r="BB233" s="3">
        <v>511</v>
      </c>
      <c r="BC233" s="3">
        <v>401</v>
      </c>
      <c r="BD233" s="3">
        <f t="shared" si="57"/>
        <v>912</v>
      </c>
      <c r="BE233" s="3">
        <v>1163</v>
      </c>
      <c r="BF233" s="3">
        <v>400</v>
      </c>
      <c r="BH233" s="3">
        <f t="shared" si="58"/>
        <v>1688</v>
      </c>
      <c r="BJ233" s="38">
        <f t="shared" si="51"/>
        <v>0</v>
      </c>
      <c r="BL233" s="3">
        <f t="shared" si="52"/>
        <v>51950</v>
      </c>
    </row>
    <row r="234" spans="1:64" x14ac:dyDescent="0.35">
      <c r="A234" s="1" t="s">
        <v>634</v>
      </c>
      <c r="B234" s="1" t="str">
        <f t="shared" si="53"/>
        <v>Mainstream</v>
      </c>
      <c r="C234" s="1" t="s">
        <v>46</v>
      </c>
      <c r="D234" s="1" t="s">
        <v>80</v>
      </c>
      <c r="E234" s="1" t="s">
        <v>81</v>
      </c>
      <c r="F234" s="1" t="s">
        <v>82</v>
      </c>
      <c r="G234" s="1" t="s">
        <v>635</v>
      </c>
      <c r="H234" s="1" t="s">
        <v>84</v>
      </c>
      <c r="I234" s="1" t="s">
        <v>154</v>
      </c>
      <c r="J234" s="1" t="s">
        <v>437</v>
      </c>
      <c r="K234" s="1" t="s">
        <v>54</v>
      </c>
      <c r="L234" s="1" t="s">
        <v>70</v>
      </c>
      <c r="M234" s="1" t="s">
        <v>56</v>
      </c>
      <c r="N234" s="1" t="s">
        <v>57</v>
      </c>
      <c r="O234" s="1" t="s">
        <v>87</v>
      </c>
      <c r="P234" s="1" t="s">
        <v>161</v>
      </c>
      <c r="Q234" s="1" t="s">
        <v>165</v>
      </c>
      <c r="R234" s="1" t="s">
        <v>61</v>
      </c>
      <c r="S234" s="1">
        <v>0</v>
      </c>
      <c r="T234" s="2">
        <v>49609</v>
      </c>
      <c r="U234" s="13">
        <v>52457.627118644072</v>
      </c>
      <c r="V234" s="13">
        <v>0</v>
      </c>
      <c r="W234" s="13">
        <v>383</v>
      </c>
      <c r="X234" s="13"/>
      <c r="Y234" s="2">
        <f>(U234*0.89-S234-V234-W234-X234)*1.18/0.92</f>
        <v>59390.282608695656</v>
      </c>
      <c r="Z234" s="18">
        <f>AC234</f>
        <v>59390</v>
      </c>
      <c r="AA234" s="5" t="s">
        <v>90</v>
      </c>
      <c r="AB234" s="5"/>
      <c r="AC234" s="14">
        <v>59390</v>
      </c>
      <c r="AD234" s="5">
        <f t="shared" si="54"/>
        <v>0.22033898305356056</v>
      </c>
      <c r="AE234" s="5"/>
      <c r="AF234" s="5">
        <f t="shared" si="55"/>
        <v>383</v>
      </c>
      <c r="AG234" s="5"/>
      <c r="AH234" s="13">
        <v>0</v>
      </c>
      <c r="AI234" s="13"/>
      <c r="AJ234" s="5"/>
      <c r="AL234" s="5"/>
      <c r="AM234" s="5">
        <v>59208.695652173912</v>
      </c>
      <c r="AN234" s="5">
        <f t="shared" si="49"/>
        <v>181.58695652174356</v>
      </c>
      <c r="AO234" s="5"/>
      <c r="AP234" s="5">
        <f t="shared" si="60"/>
        <v>52457.627118644072</v>
      </c>
      <c r="AQ234" s="20">
        <v>0</v>
      </c>
      <c r="AR234" s="20"/>
      <c r="AT234" s="3">
        <v>27</v>
      </c>
      <c r="AV234" s="5">
        <f t="shared" si="56"/>
        <v>270</v>
      </c>
      <c r="AX234" s="38">
        <f t="shared" si="50"/>
        <v>103410</v>
      </c>
      <c r="BA234" s="3">
        <v>300</v>
      </c>
      <c r="BB234" s="3">
        <v>0</v>
      </c>
      <c r="BC234" s="3">
        <v>100</v>
      </c>
      <c r="BD234" s="3">
        <f t="shared" si="57"/>
        <v>400</v>
      </c>
      <c r="BE234" s="3">
        <v>1100</v>
      </c>
      <c r="BF234" s="3">
        <v>0</v>
      </c>
      <c r="BH234" s="3">
        <f t="shared" si="58"/>
        <v>740</v>
      </c>
      <c r="BJ234" s="38">
        <f t="shared" si="51"/>
        <v>0</v>
      </c>
      <c r="BL234" s="3">
        <f t="shared" si="52"/>
        <v>61900</v>
      </c>
    </row>
    <row r="235" spans="1:64" x14ac:dyDescent="0.35">
      <c r="A235" s="1" t="s">
        <v>636</v>
      </c>
      <c r="B235" s="1" t="str">
        <f t="shared" si="53"/>
        <v>Mainstream</v>
      </c>
      <c r="C235" s="1" t="s">
        <v>46</v>
      </c>
      <c r="D235" s="1" t="s">
        <v>460</v>
      </c>
      <c r="E235" s="1" t="s">
        <v>81</v>
      </c>
      <c r="F235" s="1" t="s">
        <v>82</v>
      </c>
      <c r="G235" s="1" t="s">
        <v>268</v>
      </c>
      <c r="H235" s="1" t="s">
        <v>67</v>
      </c>
      <c r="I235" s="1" t="s">
        <v>68</v>
      </c>
      <c r="J235" s="1" t="s">
        <v>637</v>
      </c>
      <c r="K235" s="1" t="s">
        <v>54</v>
      </c>
      <c r="L235" s="1" t="s">
        <v>70</v>
      </c>
      <c r="M235" s="1" t="s">
        <v>56</v>
      </c>
      <c r="N235" s="1" t="s">
        <v>57</v>
      </c>
      <c r="O235" s="1" t="s">
        <v>87</v>
      </c>
      <c r="P235" s="1" t="s">
        <v>161</v>
      </c>
      <c r="Q235" s="1" t="s">
        <v>165</v>
      </c>
      <c r="R235" s="1" t="s">
        <v>73</v>
      </c>
      <c r="S235" s="1">
        <v>0</v>
      </c>
      <c r="T235" s="2">
        <v>47886</v>
      </c>
      <c r="U235" s="13">
        <v>49860.169491525427</v>
      </c>
      <c r="V235" s="13">
        <v>0</v>
      </c>
      <c r="W235" s="13">
        <v>0</v>
      </c>
      <c r="X235" s="13"/>
      <c r="Y235" s="2">
        <f>(U235*0.98-S235-V235-W235-X235)*1.18/0.92</f>
        <v>62672.065217391304</v>
      </c>
      <c r="Z235" s="18">
        <f>AC235</f>
        <v>62990</v>
      </c>
      <c r="AA235" s="5" t="s">
        <v>90</v>
      </c>
      <c r="AB235" s="5"/>
      <c r="AC235" s="14">
        <v>62990</v>
      </c>
      <c r="AD235" s="5">
        <f t="shared" si="54"/>
        <v>-247.88135593220366</v>
      </c>
      <c r="AE235" s="5"/>
      <c r="AF235" s="5">
        <f t="shared" si="55"/>
        <v>0</v>
      </c>
      <c r="AG235" s="5"/>
      <c r="AH235" s="13">
        <v>0</v>
      </c>
      <c r="AI235" s="13"/>
      <c r="AJ235" s="5"/>
      <c r="AL235" s="5"/>
      <c r="AM235" s="5">
        <v>62672.065217391304</v>
      </c>
      <c r="AN235" s="5">
        <f t="shared" si="49"/>
        <v>0</v>
      </c>
      <c r="AO235" s="5"/>
      <c r="AP235" s="5">
        <f t="shared" si="60"/>
        <v>49860.169491525427</v>
      </c>
      <c r="AQ235" s="20">
        <v>0</v>
      </c>
      <c r="AR235" s="20"/>
      <c r="AT235" s="3">
        <v>51</v>
      </c>
      <c r="AV235" s="5">
        <f t="shared" si="56"/>
        <v>510</v>
      </c>
      <c r="AX235" s="38">
        <f t="shared" si="50"/>
        <v>0</v>
      </c>
      <c r="BA235" s="3">
        <v>0</v>
      </c>
      <c r="BB235" s="3">
        <v>0</v>
      </c>
      <c r="BC235" s="3">
        <v>560</v>
      </c>
      <c r="BD235" s="3">
        <f t="shared" si="57"/>
        <v>560</v>
      </c>
      <c r="BE235" s="3">
        <v>432</v>
      </c>
      <c r="BF235" s="3">
        <v>600</v>
      </c>
      <c r="BH235" s="3">
        <f t="shared" si="58"/>
        <v>1036</v>
      </c>
      <c r="BJ235" s="38">
        <f t="shared" si="51"/>
        <v>0</v>
      </c>
      <c r="BL235" s="3">
        <f t="shared" si="52"/>
        <v>58835</v>
      </c>
    </row>
    <row r="236" spans="1:64" x14ac:dyDescent="0.35">
      <c r="A236" s="1" t="s">
        <v>638</v>
      </c>
      <c r="B236" s="1" t="str">
        <f t="shared" si="53"/>
        <v>Mainstream</v>
      </c>
      <c r="C236" s="1" t="s">
        <v>46</v>
      </c>
      <c r="D236" s="1" t="s">
        <v>287</v>
      </c>
      <c r="E236" s="1" t="s">
        <v>48</v>
      </c>
      <c r="F236" s="1" t="s">
        <v>65</v>
      </c>
      <c r="G236" s="1" t="s">
        <v>76</v>
      </c>
      <c r="H236" s="1" t="s">
        <v>123</v>
      </c>
      <c r="I236" s="1" t="s">
        <v>639</v>
      </c>
      <c r="J236" s="1" t="s">
        <v>640</v>
      </c>
      <c r="K236" s="1" t="s">
        <v>54</v>
      </c>
      <c r="L236" s="1" t="s">
        <v>70</v>
      </c>
      <c r="M236" s="1" t="s">
        <v>56</v>
      </c>
      <c r="N236" s="1" t="s">
        <v>57</v>
      </c>
      <c r="O236" s="1" t="s">
        <v>143</v>
      </c>
      <c r="P236" s="1" t="s">
        <v>129</v>
      </c>
      <c r="Q236" s="1" t="s">
        <v>104</v>
      </c>
      <c r="R236" s="1" t="s">
        <v>73</v>
      </c>
      <c r="S236" s="1">
        <v>725</v>
      </c>
      <c r="T236" s="2">
        <f>U236*0.98*0.98</f>
        <v>49240.847457627118</v>
      </c>
      <c r="U236" s="13">
        <v>51271.186440677971</v>
      </c>
      <c r="V236" s="13">
        <v>0</v>
      </c>
      <c r="W236" s="13">
        <v>6647.203389830509</v>
      </c>
      <c r="X236" s="13"/>
      <c r="Y236" s="2">
        <f>(U236*0.98-S236-V236-W236-X236)*1.18/0.92</f>
        <v>54989.999999999993</v>
      </c>
      <c r="Z236" s="1">
        <v>54990</v>
      </c>
      <c r="AA236" s="5"/>
      <c r="AB236" s="5"/>
      <c r="AC236" s="14">
        <v>54990</v>
      </c>
      <c r="AD236" s="5">
        <f t="shared" si="54"/>
        <v>-5.6727805127531806E-12</v>
      </c>
      <c r="AE236" s="5"/>
      <c r="AF236" s="5">
        <f t="shared" si="55"/>
        <v>6647.203389830509</v>
      </c>
      <c r="AG236" s="5"/>
      <c r="AH236" s="13">
        <v>0</v>
      </c>
      <c r="AI236" s="13">
        <v>6647.203389830509</v>
      </c>
      <c r="AJ236" s="5"/>
      <c r="AL236" s="5"/>
      <c r="AM236" s="5">
        <v>54989.999999999993</v>
      </c>
      <c r="AN236" s="5">
        <f t="shared" si="49"/>
        <v>0</v>
      </c>
      <c r="AO236" s="5"/>
      <c r="AP236" s="5">
        <f t="shared" si="60"/>
        <v>51271.186440677971</v>
      </c>
      <c r="AQ236" s="20">
        <v>0</v>
      </c>
      <c r="AR236" s="20">
        <v>6647.203389830509</v>
      </c>
      <c r="AT236" s="3">
        <v>0</v>
      </c>
      <c r="AV236" s="5">
        <f t="shared" si="56"/>
        <v>0</v>
      </c>
      <c r="AX236" s="38">
        <f t="shared" si="50"/>
        <v>0</v>
      </c>
      <c r="BA236" s="3">
        <v>0</v>
      </c>
      <c r="BB236" s="3">
        <v>0</v>
      </c>
      <c r="BC236" s="3">
        <v>0</v>
      </c>
      <c r="BD236" s="3">
        <f t="shared" si="57"/>
        <v>0</v>
      </c>
      <c r="BE236" s="3">
        <v>0</v>
      </c>
      <c r="BF236" s="3">
        <v>0</v>
      </c>
      <c r="BH236" s="3">
        <f t="shared" si="58"/>
        <v>0</v>
      </c>
      <c r="BJ236" s="38">
        <f t="shared" si="51"/>
        <v>0</v>
      </c>
      <c r="BL236" s="3">
        <f t="shared" si="52"/>
        <v>60500</v>
      </c>
    </row>
    <row r="237" spans="1:64" x14ac:dyDescent="0.35">
      <c r="A237" s="1" t="s">
        <v>641</v>
      </c>
      <c r="B237" s="1" t="str">
        <f t="shared" si="53"/>
        <v>Mainstream</v>
      </c>
      <c r="C237" s="1" t="s">
        <v>46</v>
      </c>
      <c r="D237" s="1" t="s">
        <v>80</v>
      </c>
      <c r="E237" s="1" t="s">
        <v>48</v>
      </c>
      <c r="F237" s="1" t="s">
        <v>65</v>
      </c>
      <c r="G237" s="1" t="s">
        <v>234</v>
      </c>
      <c r="H237" s="1" t="s">
        <v>84</v>
      </c>
      <c r="I237" s="1" t="s">
        <v>85</v>
      </c>
      <c r="J237" s="1" t="s">
        <v>272</v>
      </c>
      <c r="K237" s="1" t="s">
        <v>54</v>
      </c>
      <c r="L237" s="1" t="s">
        <v>70</v>
      </c>
      <c r="M237" s="1" t="s">
        <v>56</v>
      </c>
      <c r="N237" s="1" t="s">
        <v>57</v>
      </c>
      <c r="O237" s="1" t="s">
        <v>143</v>
      </c>
      <c r="P237" s="1" t="s">
        <v>129</v>
      </c>
      <c r="Q237" s="1" t="s">
        <v>104</v>
      </c>
      <c r="R237" s="1" t="s">
        <v>73</v>
      </c>
      <c r="S237" s="1">
        <v>725</v>
      </c>
      <c r="T237" s="2">
        <f>U237*0.98*0.98</f>
        <v>48634.655999999995</v>
      </c>
      <c r="U237" s="13">
        <v>50640</v>
      </c>
      <c r="V237" s="13">
        <v>0</v>
      </c>
      <c r="W237" s="13">
        <v>6028.6406779660974</v>
      </c>
      <c r="X237" s="13"/>
      <c r="Y237" s="2">
        <f>(U237*0.98-S237-V237-W237-X237)*1.18/0.92</f>
        <v>54989.999999999993</v>
      </c>
      <c r="Z237" s="1">
        <v>54990</v>
      </c>
      <c r="AA237" s="5"/>
      <c r="AB237" s="5"/>
      <c r="AC237" s="14">
        <v>54990</v>
      </c>
      <c r="AD237" s="5">
        <f t="shared" si="54"/>
        <v>-5.6727805127531806E-12</v>
      </c>
      <c r="AE237" s="5"/>
      <c r="AF237" s="5">
        <f t="shared" si="55"/>
        <v>6028.6406779660974</v>
      </c>
      <c r="AG237" s="5"/>
      <c r="AH237" s="13">
        <v>0</v>
      </c>
      <c r="AI237" s="13">
        <v>6028.6406779660974</v>
      </c>
      <c r="AJ237" s="5"/>
      <c r="AL237" s="5"/>
      <c r="AM237" s="5">
        <v>54989.999999999993</v>
      </c>
      <c r="AN237" s="5">
        <f t="shared" si="49"/>
        <v>0</v>
      </c>
      <c r="AO237" s="5"/>
      <c r="AP237" s="5">
        <f t="shared" si="60"/>
        <v>50640</v>
      </c>
      <c r="AQ237" s="20">
        <v>0</v>
      </c>
      <c r="AR237" s="20">
        <v>6028.6406779660974</v>
      </c>
      <c r="AT237" s="3">
        <v>1</v>
      </c>
      <c r="AV237" s="5">
        <f t="shared" si="56"/>
        <v>10</v>
      </c>
      <c r="AX237" s="38">
        <f t="shared" si="50"/>
        <v>60286.406779660974</v>
      </c>
      <c r="BA237" s="3">
        <v>-1</v>
      </c>
      <c r="BB237" s="3">
        <v>0</v>
      </c>
      <c r="BC237" s="3">
        <v>-1</v>
      </c>
      <c r="BD237" s="3">
        <f t="shared" si="57"/>
        <v>-2</v>
      </c>
      <c r="BE237" s="3">
        <v>3</v>
      </c>
      <c r="BF237" s="3">
        <v>0</v>
      </c>
      <c r="BH237" s="3">
        <f t="shared" si="58"/>
        <v>-4</v>
      </c>
      <c r="BJ237" s="38">
        <f t="shared" si="51"/>
        <v>0</v>
      </c>
      <c r="BL237" s="3">
        <f t="shared" si="52"/>
        <v>59755.199999999997</v>
      </c>
    </row>
    <row r="238" spans="1:64" x14ac:dyDescent="0.35">
      <c r="A238" s="1" t="s">
        <v>642</v>
      </c>
      <c r="B238" s="1" t="str">
        <f t="shared" si="53"/>
        <v>Premium</v>
      </c>
      <c r="C238" s="1" t="s">
        <v>46</v>
      </c>
      <c r="D238" s="1" t="s">
        <v>287</v>
      </c>
      <c r="E238" s="1" t="s">
        <v>48</v>
      </c>
      <c r="F238" s="1" t="s">
        <v>65</v>
      </c>
      <c r="G238" s="1" t="s">
        <v>76</v>
      </c>
      <c r="H238" s="1" t="s">
        <v>123</v>
      </c>
      <c r="I238" s="1" t="s">
        <v>639</v>
      </c>
      <c r="J238" s="1" t="s">
        <v>640</v>
      </c>
      <c r="K238" s="1" t="s">
        <v>92</v>
      </c>
      <c r="L238" s="1" t="s">
        <v>70</v>
      </c>
      <c r="M238" s="1" t="s">
        <v>56</v>
      </c>
      <c r="N238" s="1" t="s">
        <v>57</v>
      </c>
      <c r="O238" s="1" t="s">
        <v>110</v>
      </c>
      <c r="P238" s="1" t="s">
        <v>129</v>
      </c>
      <c r="Q238" s="1" t="s">
        <v>104</v>
      </c>
      <c r="R238" s="1" t="s">
        <v>61</v>
      </c>
      <c r="S238" s="1">
        <v>725</v>
      </c>
      <c r="T238" s="2">
        <f>U238*0.98*0.965</f>
        <v>54169.695999999996</v>
      </c>
      <c r="U238" s="13">
        <v>57280</v>
      </c>
      <c r="V238" s="13">
        <v>0</v>
      </c>
      <c r="W238" s="13">
        <v>0</v>
      </c>
      <c r="X238" s="13"/>
      <c r="Y238" s="2">
        <f>(U238*0.88-S238-V238-W238-X238)*1.18/0.92</f>
        <v>63721.795652173903</v>
      </c>
      <c r="Z238" s="1">
        <v>64190</v>
      </c>
      <c r="AA238" s="5"/>
      <c r="AB238" s="5"/>
      <c r="AC238" s="14">
        <v>0</v>
      </c>
      <c r="AD238" s="5">
        <v>0</v>
      </c>
      <c r="AE238" s="5"/>
      <c r="AF238" s="5">
        <f t="shared" si="55"/>
        <v>0</v>
      </c>
      <c r="AG238" s="5"/>
      <c r="AH238" s="13">
        <v>0</v>
      </c>
      <c r="AI238" s="13"/>
      <c r="AJ238" s="5"/>
      <c r="AL238" s="5"/>
      <c r="AM238" s="5">
        <v>63721.795652173903</v>
      </c>
      <c r="AN238" s="5">
        <f t="shared" si="49"/>
        <v>0</v>
      </c>
      <c r="AO238" s="5"/>
      <c r="AP238" s="5">
        <f t="shared" si="60"/>
        <v>57280</v>
      </c>
      <c r="AQ238" s="20">
        <v>0</v>
      </c>
      <c r="AR238" s="20"/>
      <c r="AT238" s="3">
        <v>0</v>
      </c>
      <c r="AV238" s="5">
        <f t="shared" si="56"/>
        <v>0</v>
      </c>
      <c r="AX238" s="38">
        <f t="shared" si="50"/>
        <v>0</v>
      </c>
      <c r="BA238" s="3">
        <v>0</v>
      </c>
      <c r="BB238" s="3">
        <v>0</v>
      </c>
      <c r="BC238" s="3">
        <v>0</v>
      </c>
      <c r="BD238" s="3">
        <f t="shared" si="57"/>
        <v>0</v>
      </c>
      <c r="BE238" s="3">
        <v>18</v>
      </c>
      <c r="BF238" s="3">
        <v>0</v>
      </c>
      <c r="BH238" s="3">
        <f t="shared" si="58"/>
        <v>0</v>
      </c>
      <c r="BJ238" s="38">
        <f t="shared" si="51"/>
        <v>0</v>
      </c>
      <c r="BL238" s="3">
        <f t="shared" si="52"/>
        <v>67590.399999999994</v>
      </c>
    </row>
    <row r="239" spans="1:64" x14ac:dyDescent="0.35">
      <c r="A239" s="1" t="s">
        <v>643</v>
      </c>
      <c r="B239" s="1" t="str">
        <f t="shared" si="53"/>
        <v>Entry</v>
      </c>
      <c r="C239" s="1" t="s">
        <v>253</v>
      </c>
      <c r="D239" s="1" t="s">
        <v>644</v>
      </c>
      <c r="E239" s="1" t="s">
        <v>81</v>
      </c>
      <c r="F239" s="1" t="s">
        <v>82</v>
      </c>
      <c r="G239" s="1" t="s">
        <v>645</v>
      </c>
      <c r="H239" s="1" t="s">
        <v>262</v>
      </c>
      <c r="I239" s="1" t="s">
        <v>261</v>
      </c>
      <c r="J239" s="1" t="s">
        <v>262</v>
      </c>
      <c r="K239" s="1" t="s">
        <v>418</v>
      </c>
      <c r="L239" s="1" t="s">
        <v>646</v>
      </c>
      <c r="M239" s="1" t="s">
        <v>420</v>
      </c>
      <c r="N239" s="1" t="s">
        <v>308</v>
      </c>
      <c r="O239" s="1" t="s">
        <v>498</v>
      </c>
      <c r="P239" s="1" t="s">
        <v>553</v>
      </c>
      <c r="Q239" s="1" t="s">
        <v>647</v>
      </c>
      <c r="R239" s="1" t="s">
        <v>73</v>
      </c>
      <c r="S239" s="1">
        <v>0</v>
      </c>
      <c r="T239" s="2">
        <v>18711.440644067799</v>
      </c>
      <c r="U239" s="13">
        <v>19483.050847457627</v>
      </c>
      <c r="V239" s="13">
        <v>0</v>
      </c>
      <c r="W239" s="13">
        <v>0</v>
      </c>
      <c r="X239" s="13"/>
      <c r="Y239" s="2">
        <f>(U239*0.98-S239-V239-W239-X239)*1.18/0.92</f>
        <v>24489.347826086952</v>
      </c>
      <c r="Z239" s="18">
        <f>AC239</f>
        <v>24490</v>
      </c>
      <c r="AA239" s="5" t="s">
        <v>90</v>
      </c>
      <c r="AB239" s="5"/>
      <c r="AC239" s="14">
        <v>24490</v>
      </c>
      <c r="AD239" s="5">
        <f t="shared" si="54"/>
        <v>-0.50847457627439285</v>
      </c>
      <c r="AE239" s="5"/>
      <c r="AF239" s="5">
        <f t="shared" si="55"/>
        <v>0</v>
      </c>
      <c r="AG239" s="5"/>
      <c r="AH239" s="13">
        <v>0</v>
      </c>
      <c r="AI239" s="13"/>
      <c r="AJ239" s="5"/>
      <c r="AL239" s="5"/>
      <c r="AM239" s="5">
        <v>24489.347826086952</v>
      </c>
      <c r="AN239" s="5">
        <f t="shared" si="49"/>
        <v>0</v>
      </c>
      <c r="AO239" s="5"/>
      <c r="AP239" s="5">
        <f t="shared" si="60"/>
        <v>19483.050847457627</v>
      </c>
      <c r="AQ239" s="20">
        <v>0</v>
      </c>
      <c r="AR239" s="20"/>
      <c r="AT239" s="3">
        <v>0</v>
      </c>
      <c r="AV239" s="5">
        <f t="shared" si="56"/>
        <v>0</v>
      </c>
      <c r="AX239" s="38">
        <f t="shared" si="50"/>
        <v>0</v>
      </c>
      <c r="BA239" s="3">
        <v>0</v>
      </c>
      <c r="BB239" s="3">
        <v>-1</v>
      </c>
      <c r="BC239" s="3">
        <v>0</v>
      </c>
      <c r="BD239" s="3">
        <f t="shared" si="57"/>
        <v>-1</v>
      </c>
      <c r="BE239" s="3">
        <v>0</v>
      </c>
      <c r="BF239" s="3">
        <v>0</v>
      </c>
      <c r="BH239" s="3">
        <f t="shared" si="58"/>
        <v>-2</v>
      </c>
      <c r="BJ239" s="38">
        <f t="shared" si="51"/>
        <v>0</v>
      </c>
      <c r="BL239" s="3">
        <f t="shared" si="52"/>
        <v>22990</v>
      </c>
    </row>
    <row r="240" spans="1:64" x14ac:dyDescent="0.35">
      <c r="A240" s="1" t="s">
        <v>648</v>
      </c>
      <c r="B240" s="1" t="str">
        <f t="shared" si="53"/>
        <v>Premium</v>
      </c>
      <c r="C240" s="1" t="s">
        <v>46</v>
      </c>
      <c r="D240" s="1" t="s">
        <v>114</v>
      </c>
      <c r="E240" s="1" t="s">
        <v>220</v>
      </c>
      <c r="F240" s="1" t="s">
        <v>221</v>
      </c>
      <c r="G240" s="1" t="s">
        <v>509</v>
      </c>
      <c r="H240" s="1" t="s">
        <v>51</v>
      </c>
      <c r="I240" s="1" t="s">
        <v>124</v>
      </c>
      <c r="J240" s="1" t="s">
        <v>199</v>
      </c>
      <c r="K240" s="1" t="s">
        <v>54</v>
      </c>
      <c r="L240" s="1" t="s">
        <v>70</v>
      </c>
      <c r="M240" s="1" t="s">
        <v>100</v>
      </c>
      <c r="N240" s="1" t="s">
        <v>57</v>
      </c>
      <c r="O240" s="1" t="s">
        <v>87</v>
      </c>
      <c r="P240" s="1" t="s">
        <v>223</v>
      </c>
      <c r="Q240" s="1" t="s">
        <v>127</v>
      </c>
      <c r="R240" s="1" t="s">
        <v>61</v>
      </c>
      <c r="S240" s="1">
        <v>725</v>
      </c>
      <c r="T240" s="2">
        <f>U240*0.98*0.965</f>
        <v>58751.339281587054</v>
      </c>
      <c r="U240" s="13">
        <v>62124.711093990758</v>
      </c>
      <c r="V240" s="13">
        <v>0</v>
      </c>
      <c r="W240" s="13"/>
      <c r="X240" s="13"/>
      <c r="Y240" s="2">
        <f>(U240*0.88-S240-V240-W240-X240)*1.18/0.92</f>
        <v>69189.999999999985</v>
      </c>
      <c r="Z240" s="2">
        <v>69190</v>
      </c>
      <c r="AA240" s="5"/>
      <c r="AB240" s="5"/>
      <c r="AC240" s="14">
        <v>0</v>
      </c>
      <c r="AD240" s="5">
        <f t="shared" si="54"/>
        <v>53944.745762711857</v>
      </c>
      <c r="AE240" s="5"/>
      <c r="AF240" s="5">
        <f t="shared" si="55"/>
        <v>0</v>
      </c>
      <c r="AG240" s="5"/>
      <c r="AH240" s="13">
        <v>0</v>
      </c>
      <c r="AI240" s="13"/>
      <c r="AJ240" s="5"/>
      <c r="AL240" s="5"/>
      <c r="AM240" s="5">
        <v>69189.999999999985</v>
      </c>
      <c r="AN240" s="5">
        <f t="shared" si="49"/>
        <v>0</v>
      </c>
      <c r="AO240" s="5"/>
      <c r="AP240" s="5"/>
      <c r="AQ240" s="20">
        <v>0</v>
      </c>
      <c r="AR240" s="20"/>
      <c r="AT240" s="3">
        <v>0</v>
      </c>
      <c r="AV240" s="5">
        <f t="shared" si="56"/>
        <v>0</v>
      </c>
      <c r="AX240" s="38">
        <f t="shared" si="50"/>
        <v>0</v>
      </c>
      <c r="BA240" s="3">
        <v>0</v>
      </c>
      <c r="BB240" s="3">
        <v>6</v>
      </c>
      <c r="BC240" s="3">
        <v>-3</v>
      </c>
      <c r="BD240" s="3">
        <f t="shared" si="57"/>
        <v>3</v>
      </c>
      <c r="BE240" s="3">
        <v>522</v>
      </c>
      <c r="BF240" s="3">
        <v>0</v>
      </c>
      <c r="BH240" s="3">
        <f t="shared" si="58"/>
        <v>6</v>
      </c>
      <c r="BJ240" s="38">
        <f t="shared" si="51"/>
        <v>0</v>
      </c>
      <c r="BL240" s="3">
        <f t="shared" si="52"/>
        <v>73307.159090909088</v>
      </c>
    </row>
    <row r="241" spans="1:64" x14ac:dyDescent="0.35">
      <c r="A241" s="1" t="s">
        <v>649</v>
      </c>
      <c r="B241" s="1" t="str">
        <f t="shared" si="53"/>
        <v>Mainstream</v>
      </c>
      <c r="C241" s="1" t="s">
        <v>79</v>
      </c>
      <c r="D241" s="1" t="s">
        <v>210</v>
      </c>
      <c r="E241" s="1" t="s">
        <v>81</v>
      </c>
      <c r="F241" s="1" t="s">
        <v>82</v>
      </c>
      <c r="G241" s="1" t="s">
        <v>302</v>
      </c>
      <c r="H241" s="1" t="s">
        <v>212</v>
      </c>
      <c r="I241" s="1" t="s">
        <v>68</v>
      </c>
      <c r="J241" s="1" t="s">
        <v>213</v>
      </c>
      <c r="K241" s="1" t="s">
        <v>92</v>
      </c>
      <c r="L241" s="1" t="s">
        <v>263</v>
      </c>
      <c r="M241" s="1" t="s">
        <v>100</v>
      </c>
      <c r="N241" s="1" t="s">
        <v>57</v>
      </c>
      <c r="O241" s="1" t="s">
        <v>87</v>
      </c>
      <c r="P241" s="1" t="s">
        <v>250</v>
      </c>
      <c r="Q241" s="1" t="s">
        <v>165</v>
      </c>
      <c r="R241" s="1" t="s">
        <v>61</v>
      </c>
      <c r="S241" s="1">
        <v>0</v>
      </c>
      <c r="T241" s="2">
        <v>33171.629661016952</v>
      </c>
      <c r="U241" s="13">
        <v>35076.271186440681</v>
      </c>
      <c r="V241" s="13">
        <v>0</v>
      </c>
      <c r="W241" s="13">
        <v>3938</v>
      </c>
      <c r="X241" s="13"/>
      <c r="Y241" s="2">
        <f>(U241*0.89-S241-V241-W241-X241)*1.18/0.92</f>
        <v>34989.413043478264</v>
      </c>
      <c r="Z241" s="18">
        <f>AC241</f>
        <v>34990</v>
      </c>
      <c r="AA241" s="5" t="s">
        <v>90</v>
      </c>
      <c r="AB241" s="5"/>
      <c r="AC241" s="14">
        <v>34990</v>
      </c>
      <c r="AD241" s="5">
        <f t="shared" si="54"/>
        <v>-0.45762711864184807</v>
      </c>
      <c r="AE241" s="5"/>
      <c r="AF241" s="5">
        <f t="shared" si="55"/>
        <v>3938</v>
      </c>
      <c r="AG241" s="5"/>
      <c r="AH241" s="13">
        <v>0</v>
      </c>
      <c r="AI241" s="13">
        <v>3937.5423728813585</v>
      </c>
      <c r="AJ241" s="5"/>
      <c r="AL241" s="5"/>
      <c r="AM241" s="5">
        <v>34990</v>
      </c>
      <c r="AN241" s="5">
        <f t="shared" si="49"/>
        <v>-0.58695652173628332</v>
      </c>
      <c r="AO241" s="5"/>
      <c r="AP241" s="5">
        <f t="shared" ref="AP241:AP254" si="61">U241-AL241</f>
        <v>35076.271186440681</v>
      </c>
      <c r="AQ241" s="20">
        <v>0</v>
      </c>
      <c r="AR241" s="20">
        <v>3937.5423728813585</v>
      </c>
      <c r="AT241" s="3">
        <v>7</v>
      </c>
      <c r="AV241" s="5">
        <f t="shared" si="56"/>
        <v>70</v>
      </c>
      <c r="AX241" s="38">
        <f t="shared" si="50"/>
        <v>275660</v>
      </c>
      <c r="BA241" s="3">
        <v>0</v>
      </c>
      <c r="BB241" s="3">
        <v>50</v>
      </c>
      <c r="BC241" s="3">
        <v>0</v>
      </c>
      <c r="BD241" s="3">
        <f t="shared" si="57"/>
        <v>50</v>
      </c>
      <c r="BE241" s="3">
        <v>190</v>
      </c>
      <c r="BF241" s="3">
        <v>14</v>
      </c>
      <c r="BH241" s="3">
        <f t="shared" si="58"/>
        <v>93</v>
      </c>
      <c r="BJ241" s="38">
        <f t="shared" si="51"/>
        <v>0</v>
      </c>
      <c r="BL241" s="3">
        <f t="shared" si="52"/>
        <v>41390</v>
      </c>
    </row>
    <row r="242" spans="1:64" x14ac:dyDescent="0.35">
      <c r="A242" s="1" t="s">
        <v>650</v>
      </c>
      <c r="B242" s="1" t="str">
        <f t="shared" si="53"/>
        <v>Mainstream</v>
      </c>
      <c r="C242" s="1" t="s">
        <v>79</v>
      </c>
      <c r="D242" s="1" t="s">
        <v>210</v>
      </c>
      <c r="E242" s="1" t="s">
        <v>81</v>
      </c>
      <c r="F242" s="1" t="s">
        <v>82</v>
      </c>
      <c r="G242" s="1" t="s">
        <v>302</v>
      </c>
      <c r="H242" s="1" t="s">
        <v>212</v>
      </c>
      <c r="I242" s="1" t="s">
        <v>68</v>
      </c>
      <c r="J242" s="1" t="s">
        <v>213</v>
      </c>
      <c r="K242" s="1" t="s">
        <v>92</v>
      </c>
      <c r="L242" s="1" t="s">
        <v>70</v>
      </c>
      <c r="M242" s="1" t="s">
        <v>100</v>
      </c>
      <c r="N242" s="1" t="s">
        <v>57</v>
      </c>
      <c r="O242" s="1" t="s">
        <v>87</v>
      </c>
      <c r="P242" s="1" t="s">
        <v>250</v>
      </c>
      <c r="Q242" s="1" t="s">
        <v>165</v>
      </c>
      <c r="R242" s="1" t="s">
        <v>73</v>
      </c>
      <c r="S242" s="1">
        <v>725</v>
      </c>
      <c r="T242" s="2">
        <v>32678</v>
      </c>
      <c r="U242" s="13">
        <v>34025</v>
      </c>
      <c r="V242" s="13">
        <v>0</v>
      </c>
      <c r="W242" s="13">
        <v>1831</v>
      </c>
      <c r="X242" s="13"/>
      <c r="Y242" s="2">
        <f>(U242*0.98-S242-V242-W242-X242)*1.18/0.92</f>
        <v>39489.597826086952</v>
      </c>
      <c r="Z242" s="18">
        <f>AC242</f>
        <v>39490</v>
      </c>
      <c r="AA242" s="5" t="s">
        <v>90</v>
      </c>
      <c r="AB242" s="5"/>
      <c r="AC242" s="14">
        <v>39490</v>
      </c>
      <c r="AD242" s="5">
        <f t="shared" si="54"/>
        <v>-0.31355932203710468</v>
      </c>
      <c r="AE242" s="5"/>
      <c r="AF242" s="5">
        <f t="shared" si="55"/>
        <v>1831</v>
      </c>
      <c r="AG242" s="5"/>
      <c r="AH242" s="13">
        <v>0</v>
      </c>
      <c r="AI242" s="13">
        <v>1831</v>
      </c>
      <c r="AJ242" s="5"/>
      <c r="AL242" s="5"/>
      <c r="AM242" s="5">
        <v>35989.358695652169</v>
      </c>
      <c r="AN242" s="5">
        <f t="shared" si="49"/>
        <v>3500.2391304347839</v>
      </c>
      <c r="AO242" s="5"/>
      <c r="AP242" s="5">
        <f t="shared" si="61"/>
        <v>34025</v>
      </c>
      <c r="AQ242" s="20">
        <v>0</v>
      </c>
      <c r="AR242" s="20">
        <v>3000.1779661016953</v>
      </c>
      <c r="AT242" s="3">
        <v>55</v>
      </c>
      <c r="AV242" s="5">
        <f t="shared" si="56"/>
        <v>550</v>
      </c>
      <c r="AX242" s="38">
        <f t="shared" si="50"/>
        <v>1007050</v>
      </c>
      <c r="BA242" s="3">
        <v>0</v>
      </c>
      <c r="BB242" s="3">
        <v>400</v>
      </c>
      <c r="BC242" s="3">
        <v>60</v>
      </c>
      <c r="BD242" s="3">
        <f t="shared" si="57"/>
        <v>460</v>
      </c>
      <c r="BE242" s="3">
        <v>17536</v>
      </c>
      <c r="BF242" s="3">
        <v>0</v>
      </c>
      <c r="BH242" s="3">
        <f t="shared" si="58"/>
        <v>851</v>
      </c>
      <c r="BJ242" s="38">
        <f t="shared" si="51"/>
        <v>0</v>
      </c>
      <c r="BL242" s="3">
        <f t="shared" si="52"/>
        <v>40149.5</v>
      </c>
    </row>
    <row r="243" spans="1:64" x14ac:dyDescent="0.35">
      <c r="A243" s="1" t="s">
        <v>651</v>
      </c>
      <c r="B243" s="1" t="str">
        <f t="shared" si="53"/>
        <v>Mainstream</v>
      </c>
      <c r="C243" s="1" t="s">
        <v>79</v>
      </c>
      <c r="D243" s="1" t="s">
        <v>210</v>
      </c>
      <c r="E243" s="1" t="s">
        <v>81</v>
      </c>
      <c r="F243" s="1" t="s">
        <v>82</v>
      </c>
      <c r="G243" s="1" t="s">
        <v>611</v>
      </c>
      <c r="H243" s="1" t="s">
        <v>212</v>
      </c>
      <c r="I243" s="1" t="s">
        <v>362</v>
      </c>
      <c r="J243" s="1" t="s">
        <v>612</v>
      </c>
      <c r="K243" s="1" t="s">
        <v>92</v>
      </c>
      <c r="L243" s="1" t="s">
        <v>70</v>
      </c>
      <c r="M243" s="1" t="s">
        <v>56</v>
      </c>
      <c r="N243" s="1" t="s">
        <v>57</v>
      </c>
      <c r="O243" s="1" t="s">
        <v>87</v>
      </c>
      <c r="P243" s="1" t="s">
        <v>161</v>
      </c>
      <c r="Q243" s="1" t="s">
        <v>165</v>
      </c>
      <c r="R243" s="1" t="s">
        <v>73</v>
      </c>
      <c r="S243" s="1">
        <v>0</v>
      </c>
      <c r="T243" s="2">
        <v>35152.267796610169</v>
      </c>
      <c r="U243" s="13">
        <v>36601.694915254237</v>
      </c>
      <c r="V243" s="13">
        <v>0</v>
      </c>
      <c r="W243" s="13">
        <v>3132</v>
      </c>
      <c r="X243" s="13"/>
      <c r="Y243" s="2">
        <f>(U243*0.98-S243-V243-W243-X243)*1.18/0.92</f>
        <v>41989.608695652176</v>
      </c>
      <c r="Z243" s="18">
        <f>AC243</f>
        <v>41990</v>
      </c>
      <c r="AA243" s="5" t="s">
        <v>90</v>
      </c>
      <c r="AB243" s="5"/>
      <c r="AC243" s="14">
        <v>41990</v>
      </c>
      <c r="AD243" s="5">
        <f t="shared" si="54"/>
        <v>-0.30508474576123207</v>
      </c>
      <c r="AE243" s="5"/>
      <c r="AF243" s="5">
        <f t="shared" si="55"/>
        <v>3132</v>
      </c>
      <c r="AG243" s="5"/>
      <c r="AH243" s="13">
        <v>0</v>
      </c>
      <c r="AI243" s="13">
        <v>3132</v>
      </c>
      <c r="AJ243" s="5"/>
      <c r="AL243" s="5"/>
      <c r="AM243" s="5">
        <v>43990.47826086956</v>
      </c>
      <c r="AN243" s="5">
        <f t="shared" si="49"/>
        <v>-2000.8695652173847</v>
      </c>
      <c r="AO243" s="5"/>
      <c r="AP243" s="5">
        <f t="shared" si="61"/>
        <v>36601.694915254237</v>
      </c>
      <c r="AQ243" s="20">
        <v>0</v>
      </c>
      <c r="AR243" s="20">
        <v>1572</v>
      </c>
      <c r="AT243" s="3">
        <v>4</v>
      </c>
      <c r="AV243" s="5">
        <f t="shared" si="56"/>
        <v>40</v>
      </c>
      <c r="AX243" s="38">
        <f t="shared" si="50"/>
        <v>125280</v>
      </c>
      <c r="BA243" s="3">
        <v>0</v>
      </c>
      <c r="BB243" s="3">
        <v>0</v>
      </c>
      <c r="BC243" s="3">
        <v>0</v>
      </c>
      <c r="BD243" s="3">
        <f t="shared" si="57"/>
        <v>0</v>
      </c>
      <c r="BE243" s="3">
        <v>476</v>
      </c>
      <c r="BF243" s="3">
        <v>69</v>
      </c>
      <c r="BH243" s="3">
        <f t="shared" si="58"/>
        <v>0</v>
      </c>
      <c r="BJ243" s="38">
        <f t="shared" si="51"/>
        <v>0</v>
      </c>
      <c r="BL243" s="3">
        <f t="shared" si="52"/>
        <v>43190</v>
      </c>
    </row>
    <row r="244" spans="1:64" x14ac:dyDescent="0.35">
      <c r="A244" s="1" t="s">
        <v>652</v>
      </c>
      <c r="B244" s="1" t="str">
        <f t="shared" si="53"/>
        <v>Mainstream</v>
      </c>
      <c r="C244" s="1" t="s">
        <v>46</v>
      </c>
      <c r="D244" s="1" t="s">
        <v>80</v>
      </c>
      <c r="E244" s="1" t="s">
        <v>81</v>
      </c>
      <c r="F244" s="1" t="s">
        <v>82</v>
      </c>
      <c r="G244" s="1" t="s">
        <v>633</v>
      </c>
      <c r="H244" s="1" t="s">
        <v>84</v>
      </c>
      <c r="I244" s="1" t="s">
        <v>68</v>
      </c>
      <c r="J244" s="1" t="s">
        <v>591</v>
      </c>
      <c r="K244" s="1" t="s">
        <v>54</v>
      </c>
      <c r="L244" s="1" t="s">
        <v>70</v>
      </c>
      <c r="M244" s="1" t="s">
        <v>56</v>
      </c>
      <c r="N244" s="1" t="s">
        <v>57</v>
      </c>
      <c r="O244" s="1" t="s">
        <v>87</v>
      </c>
      <c r="P244" s="1" t="s">
        <v>161</v>
      </c>
      <c r="Q244" s="1" t="s">
        <v>165</v>
      </c>
      <c r="R244" s="1" t="s">
        <v>61</v>
      </c>
      <c r="S244" s="1">
        <v>725</v>
      </c>
      <c r="T244" s="2">
        <v>47145.599999999999</v>
      </c>
      <c r="U244" s="13">
        <v>49852.644067796602</v>
      </c>
      <c r="V244" s="13">
        <v>0</v>
      </c>
      <c r="W244" s="13">
        <v>458</v>
      </c>
      <c r="X244" s="13"/>
      <c r="Y244" s="2">
        <f>(U244*0.89-S244-V244-W244-X244)*1.18/0.92</f>
        <v>55390.550869565202</v>
      </c>
      <c r="Z244" s="18">
        <f>AC244</f>
        <v>55390</v>
      </c>
      <c r="AA244" s="5" t="s">
        <v>90</v>
      </c>
      <c r="AB244" s="5"/>
      <c r="AC244" s="14">
        <v>55390</v>
      </c>
      <c r="AD244" s="5">
        <f t="shared" si="54"/>
        <v>0.42949152541207741</v>
      </c>
      <c r="AE244" s="5"/>
      <c r="AF244" s="5">
        <f t="shared" si="55"/>
        <v>458</v>
      </c>
      <c r="AG244" s="5"/>
      <c r="AH244" s="13">
        <v>0</v>
      </c>
      <c r="AI244" s="13"/>
      <c r="AJ244" s="5"/>
      <c r="AL244" s="5"/>
      <c r="AM244" s="5">
        <v>55338.57130434781</v>
      </c>
      <c r="AN244" s="5">
        <f t="shared" si="49"/>
        <v>51.979565217392519</v>
      </c>
      <c r="AO244" s="5"/>
      <c r="AP244" s="5">
        <f t="shared" si="61"/>
        <v>49852.644067796602</v>
      </c>
      <c r="AQ244" s="20">
        <v>0</v>
      </c>
      <c r="AR244" s="20"/>
      <c r="AT244" s="3">
        <v>13</v>
      </c>
      <c r="AV244" s="5">
        <f t="shared" si="56"/>
        <v>130</v>
      </c>
      <c r="AX244" s="38">
        <f t="shared" si="50"/>
        <v>59540</v>
      </c>
      <c r="BA244" s="3">
        <v>0</v>
      </c>
      <c r="BB244" s="3">
        <v>37</v>
      </c>
      <c r="BC244" s="3">
        <v>0</v>
      </c>
      <c r="BD244" s="3">
        <f t="shared" si="57"/>
        <v>37</v>
      </c>
      <c r="BE244" s="3">
        <v>1127</v>
      </c>
      <c r="BF244" s="3">
        <v>3001</v>
      </c>
      <c r="BH244" s="3">
        <f t="shared" si="58"/>
        <v>69</v>
      </c>
      <c r="BJ244" s="38">
        <f t="shared" si="51"/>
        <v>0</v>
      </c>
      <c r="BL244" s="3">
        <f t="shared" si="52"/>
        <v>58826.119999999988</v>
      </c>
    </row>
    <row r="245" spans="1:64" x14ac:dyDescent="0.35">
      <c r="A245" s="1" t="s">
        <v>653</v>
      </c>
      <c r="B245" s="1" t="str">
        <f t="shared" si="53"/>
        <v>Mainstream</v>
      </c>
      <c r="C245" s="1" t="s">
        <v>46</v>
      </c>
      <c r="D245" s="1" t="s">
        <v>654</v>
      </c>
      <c r="E245" s="1" t="s">
        <v>48</v>
      </c>
      <c r="F245" s="1" t="s">
        <v>97</v>
      </c>
      <c r="G245" s="1" t="s">
        <v>655</v>
      </c>
      <c r="H245" s="1" t="s">
        <v>84</v>
      </c>
      <c r="I245" s="1" t="s">
        <v>68</v>
      </c>
      <c r="J245" s="1" t="s">
        <v>656</v>
      </c>
      <c r="K245" s="1" t="s">
        <v>657</v>
      </c>
      <c r="L245" s="1" t="s">
        <v>70</v>
      </c>
      <c r="M245" s="1" t="s">
        <v>100</v>
      </c>
      <c r="N245" s="1" t="s">
        <v>132</v>
      </c>
      <c r="O245" s="1" t="s">
        <v>658</v>
      </c>
      <c r="P245" s="1" t="s">
        <v>659</v>
      </c>
      <c r="Q245" s="1" t="s">
        <v>647</v>
      </c>
      <c r="R245" s="1" t="s">
        <v>73</v>
      </c>
      <c r="S245" s="1">
        <v>725</v>
      </c>
      <c r="T245" s="2">
        <f>U245*0.98*0.98</f>
        <v>46546.844067796606</v>
      </c>
      <c r="U245" s="13">
        <v>48466.101694915254</v>
      </c>
      <c r="V245" s="13">
        <v>0</v>
      </c>
      <c r="W245" s="13">
        <v>0</v>
      </c>
      <c r="X245" s="13"/>
      <c r="Y245" s="2">
        <f>(U245*0.98-S245-V245-W245-X245)*1.18/0.92</f>
        <v>59989.891304347817</v>
      </c>
      <c r="Z245" s="1">
        <v>59990</v>
      </c>
      <c r="AA245" s="5"/>
      <c r="AB245" s="5"/>
      <c r="AC245" s="14">
        <v>59990</v>
      </c>
      <c r="AD245" s="5">
        <f t="shared" si="54"/>
        <v>-8.4745762719017056E-2</v>
      </c>
      <c r="AE245" s="5"/>
      <c r="AF245" s="5">
        <f t="shared" si="55"/>
        <v>0</v>
      </c>
      <c r="AG245" s="5"/>
      <c r="AH245" s="13">
        <v>0</v>
      </c>
      <c r="AI245" s="13"/>
      <c r="AJ245" s="5"/>
      <c r="AL245" s="5"/>
      <c r="AM245" s="5">
        <v>59989.891304347817</v>
      </c>
      <c r="AN245" s="5">
        <f t="shared" si="49"/>
        <v>0</v>
      </c>
      <c r="AO245" s="5"/>
      <c r="AP245" s="5">
        <f t="shared" si="61"/>
        <v>48466.101694915254</v>
      </c>
      <c r="AQ245" s="20">
        <v>0</v>
      </c>
      <c r="AR245" s="20"/>
      <c r="AT245" s="3">
        <v>4</v>
      </c>
      <c r="AV245" s="5">
        <f t="shared" si="56"/>
        <v>40</v>
      </c>
      <c r="AX245" s="38">
        <f t="shared" si="50"/>
        <v>0</v>
      </c>
      <c r="BA245" s="3">
        <v>46</v>
      </c>
      <c r="BB245" s="3">
        <v>9</v>
      </c>
      <c r="BC245" s="3">
        <v>28</v>
      </c>
      <c r="BD245" s="3">
        <f t="shared" si="57"/>
        <v>83</v>
      </c>
      <c r="BE245" s="3">
        <v>144</v>
      </c>
      <c r="BF245" s="3">
        <v>32</v>
      </c>
      <c r="BH245" s="3">
        <f t="shared" si="58"/>
        <v>154</v>
      </c>
      <c r="BJ245" s="38">
        <f t="shared" si="51"/>
        <v>0</v>
      </c>
      <c r="BL245" s="3">
        <f t="shared" si="52"/>
        <v>57190</v>
      </c>
    </row>
    <row r="246" spans="1:64" x14ac:dyDescent="0.35">
      <c r="A246" s="1" t="s">
        <v>660</v>
      </c>
      <c r="B246" s="1" t="str">
        <f t="shared" si="53"/>
        <v>Premium</v>
      </c>
      <c r="C246" s="1" t="s">
        <v>46</v>
      </c>
      <c r="D246" s="1" t="s">
        <v>153</v>
      </c>
      <c r="E246" s="1" t="s">
        <v>48</v>
      </c>
      <c r="F246" s="1" t="s">
        <v>97</v>
      </c>
      <c r="G246" s="1" t="s">
        <v>661</v>
      </c>
      <c r="H246" s="1" t="s">
        <v>67</v>
      </c>
      <c r="I246" s="1" t="s">
        <v>662</v>
      </c>
      <c r="J246" s="1" t="s">
        <v>663</v>
      </c>
      <c r="K246" s="1" t="s">
        <v>54</v>
      </c>
      <c r="L246" s="1" t="s">
        <v>55</v>
      </c>
      <c r="M246" s="1" t="s">
        <v>100</v>
      </c>
      <c r="N246" s="1" t="s">
        <v>57</v>
      </c>
      <c r="O246" s="1" t="s">
        <v>156</v>
      </c>
      <c r="P246" s="1" t="s">
        <v>659</v>
      </c>
      <c r="Q246" s="1" t="s">
        <v>647</v>
      </c>
      <c r="R246" s="1" t="s">
        <v>61</v>
      </c>
      <c r="S246" s="1">
        <v>725</v>
      </c>
      <c r="T246" s="2">
        <f>U246*0.98*0.965</f>
        <v>103828.73450500749</v>
      </c>
      <c r="U246" s="13">
        <v>109790.350539291</v>
      </c>
      <c r="V246" s="13">
        <v>0</v>
      </c>
      <c r="W246" s="13">
        <v>0</v>
      </c>
      <c r="X246" s="13"/>
      <c r="Y246" s="2">
        <f t="shared" ref="Y246:Y258" si="62">(U246*0.88-S246-V246-W246-X246)*1.18/0.92</f>
        <v>122989.99999999974</v>
      </c>
      <c r="Z246" s="2">
        <v>122990</v>
      </c>
      <c r="AA246" s="5"/>
      <c r="AB246" s="5"/>
      <c r="AC246" s="14">
        <v>0</v>
      </c>
      <c r="AD246" s="5">
        <v>0</v>
      </c>
      <c r="AE246" s="5"/>
      <c r="AF246" s="5">
        <f t="shared" si="55"/>
        <v>0</v>
      </c>
      <c r="AG246" s="5"/>
      <c r="AH246" s="13">
        <v>0</v>
      </c>
      <c r="AI246" s="13"/>
      <c r="AJ246" s="5"/>
      <c r="AL246" s="5"/>
      <c r="AM246" s="5">
        <v>122989.99999999974</v>
      </c>
      <c r="AN246" s="5">
        <f t="shared" si="49"/>
        <v>0</v>
      </c>
      <c r="AO246" s="5"/>
      <c r="AP246" s="5">
        <f t="shared" si="61"/>
        <v>109790.350539291</v>
      </c>
      <c r="AQ246" s="20">
        <v>0</v>
      </c>
      <c r="AR246" s="20"/>
      <c r="AT246" s="3">
        <v>0</v>
      </c>
      <c r="AV246" s="5">
        <f t="shared" si="56"/>
        <v>0</v>
      </c>
      <c r="AX246" s="38">
        <f t="shared" si="50"/>
        <v>0</v>
      </c>
      <c r="BA246" s="3">
        <v>25</v>
      </c>
      <c r="BB246" s="3">
        <v>26</v>
      </c>
      <c r="BC246" s="3">
        <v>0</v>
      </c>
      <c r="BD246" s="3">
        <f t="shared" si="57"/>
        <v>51</v>
      </c>
      <c r="BE246" s="3">
        <v>0</v>
      </c>
      <c r="BF246" s="3">
        <v>0</v>
      </c>
      <c r="BH246" s="3">
        <f t="shared" si="58"/>
        <v>95</v>
      </c>
      <c r="BJ246" s="38">
        <f t="shared" si="51"/>
        <v>0</v>
      </c>
      <c r="BL246" s="3">
        <f t="shared" si="52"/>
        <v>129552.61363636337</v>
      </c>
    </row>
    <row r="247" spans="1:64" x14ac:dyDescent="0.35">
      <c r="A247" s="1" t="s">
        <v>664</v>
      </c>
      <c r="B247" s="1" t="str">
        <f t="shared" si="53"/>
        <v>Premium</v>
      </c>
      <c r="C247" s="1" t="s">
        <v>46</v>
      </c>
      <c r="D247" s="1" t="s">
        <v>191</v>
      </c>
      <c r="E247" s="1" t="s">
        <v>48</v>
      </c>
      <c r="F247" s="1" t="s">
        <v>97</v>
      </c>
      <c r="G247" s="1" t="s">
        <v>661</v>
      </c>
      <c r="H247" s="1" t="s">
        <v>84</v>
      </c>
      <c r="I247" s="1" t="s">
        <v>154</v>
      </c>
      <c r="J247" s="1" t="s">
        <v>665</v>
      </c>
      <c r="K247" s="1" t="s">
        <v>54</v>
      </c>
      <c r="L247" s="1" t="s">
        <v>70</v>
      </c>
      <c r="M247" s="1" t="s">
        <v>100</v>
      </c>
      <c r="N247" s="1" t="s">
        <v>57</v>
      </c>
      <c r="O247" s="1" t="s">
        <v>359</v>
      </c>
      <c r="P247" s="1" t="s">
        <v>659</v>
      </c>
      <c r="Q247" s="1" t="s">
        <v>647</v>
      </c>
      <c r="R247" s="1" t="s">
        <v>61</v>
      </c>
      <c r="S247" s="1">
        <v>725</v>
      </c>
      <c r="T247" s="2">
        <f>U247*0.98*0.965</f>
        <v>71989.682116718031</v>
      </c>
      <c r="U247" s="13">
        <v>76123.170261941457</v>
      </c>
      <c r="V247" s="13">
        <v>0</v>
      </c>
      <c r="W247" s="13">
        <v>0</v>
      </c>
      <c r="X247" s="13">
        <v>7016.9491525423846</v>
      </c>
      <c r="Y247" s="2">
        <f t="shared" si="62"/>
        <v>75989.999999999985</v>
      </c>
      <c r="Z247" s="1">
        <v>75990</v>
      </c>
      <c r="AA247" s="5"/>
      <c r="AB247" s="5"/>
      <c r="AC247" s="14">
        <v>75990</v>
      </c>
      <c r="AD247" s="5">
        <f t="shared" si="54"/>
        <v>-1.1345561025506361E-11</v>
      </c>
      <c r="AE247" s="5"/>
      <c r="AF247" s="5">
        <f t="shared" si="55"/>
        <v>7016.9491525423846</v>
      </c>
      <c r="AG247" s="5"/>
      <c r="AH247" s="13">
        <v>0</v>
      </c>
      <c r="AI247" s="13"/>
      <c r="AJ247" s="5"/>
      <c r="AL247" s="5"/>
      <c r="AM247" s="5">
        <v>84990.000000000015</v>
      </c>
      <c r="AN247" s="5">
        <f t="shared" si="49"/>
        <v>-9000.0000000000291</v>
      </c>
      <c r="AO247" s="5"/>
      <c r="AP247" s="5">
        <f t="shared" si="61"/>
        <v>76123.170261941457</v>
      </c>
      <c r="AQ247" s="20">
        <v>0</v>
      </c>
      <c r="AR247" s="20"/>
      <c r="AT247" s="3">
        <v>4</v>
      </c>
      <c r="AV247" s="5">
        <f t="shared" si="56"/>
        <v>40</v>
      </c>
      <c r="AX247" s="38">
        <f t="shared" si="50"/>
        <v>0</v>
      </c>
      <c r="BA247" s="3">
        <v>25</v>
      </c>
      <c r="BB247" s="3">
        <v>11</v>
      </c>
      <c r="BC247" s="3">
        <v>13</v>
      </c>
      <c r="BD247" s="3">
        <f t="shared" si="57"/>
        <v>49</v>
      </c>
      <c r="BE247" s="3">
        <v>42</v>
      </c>
      <c r="BF247" s="3">
        <v>3</v>
      </c>
      <c r="BH247" s="3">
        <f t="shared" si="58"/>
        <v>91</v>
      </c>
      <c r="BJ247" s="38">
        <f t="shared" si="51"/>
        <v>0</v>
      </c>
      <c r="BL247" s="3">
        <f t="shared" si="52"/>
        <v>89825.340909090912</v>
      </c>
    </row>
    <row r="248" spans="1:64" x14ac:dyDescent="0.35">
      <c r="A248" s="1" t="s">
        <v>666</v>
      </c>
      <c r="B248" s="1" t="str">
        <f t="shared" si="53"/>
        <v>Premium</v>
      </c>
      <c r="C248" s="1" t="s">
        <v>46</v>
      </c>
      <c r="D248" s="1" t="s">
        <v>64</v>
      </c>
      <c r="E248" s="1" t="s">
        <v>48</v>
      </c>
      <c r="F248" s="1" t="s">
        <v>97</v>
      </c>
      <c r="G248" s="1" t="s">
        <v>661</v>
      </c>
      <c r="H248" s="1" t="s">
        <v>67</v>
      </c>
      <c r="I248" s="1" t="s">
        <v>154</v>
      </c>
      <c r="J248" s="1" t="s">
        <v>667</v>
      </c>
      <c r="K248" s="1" t="s">
        <v>54</v>
      </c>
      <c r="L248" s="1" t="s">
        <v>70</v>
      </c>
      <c r="M248" s="1" t="s">
        <v>100</v>
      </c>
      <c r="N248" s="1" t="s">
        <v>57</v>
      </c>
      <c r="O248" s="1" t="s">
        <v>182</v>
      </c>
      <c r="P248" s="1" t="s">
        <v>659</v>
      </c>
      <c r="Q248" s="1" t="s">
        <v>647</v>
      </c>
      <c r="R248" s="1" t="s">
        <v>61</v>
      </c>
      <c r="S248" s="1">
        <v>725</v>
      </c>
      <c r="T248" s="2">
        <f>U248*0.98*0.965</f>
        <v>87071.338511171038</v>
      </c>
      <c r="U248" s="13">
        <v>92070.781972265031</v>
      </c>
      <c r="V248" s="13">
        <v>0</v>
      </c>
      <c r="W248" s="13">
        <v>0</v>
      </c>
      <c r="X248" s="13">
        <v>1559.3220338983053</v>
      </c>
      <c r="Y248" s="2">
        <f t="shared" si="62"/>
        <v>100990</v>
      </c>
      <c r="Z248" s="1">
        <v>100990</v>
      </c>
      <c r="AA248" s="5"/>
      <c r="AB248" s="5"/>
      <c r="AC248" s="14">
        <v>100990</v>
      </c>
      <c r="AD248" s="5">
        <f t="shared" si="54"/>
        <v>0</v>
      </c>
      <c r="AE248" s="5"/>
      <c r="AF248" s="5">
        <f t="shared" si="55"/>
        <v>1559.3220338983053</v>
      </c>
      <c r="AG248" s="5"/>
      <c r="AH248" s="13">
        <v>0</v>
      </c>
      <c r="AI248" s="13"/>
      <c r="AJ248" s="5"/>
      <c r="AL248" s="5"/>
      <c r="AM248" s="5">
        <v>102990</v>
      </c>
      <c r="AN248" s="5">
        <f t="shared" si="49"/>
        <v>-2000</v>
      </c>
      <c r="AO248" s="5"/>
      <c r="AP248" s="5">
        <f t="shared" si="61"/>
        <v>92070.781972265031</v>
      </c>
      <c r="AQ248" s="20">
        <v>0</v>
      </c>
      <c r="AR248" s="20"/>
      <c r="AT248" s="3">
        <v>4</v>
      </c>
      <c r="AV248" s="5">
        <f t="shared" si="56"/>
        <v>40</v>
      </c>
      <c r="AX248" s="38">
        <f t="shared" si="50"/>
        <v>0</v>
      </c>
      <c r="BA248" s="3">
        <v>30</v>
      </c>
      <c r="BB248" s="3">
        <v>0</v>
      </c>
      <c r="BC248" s="3">
        <v>15</v>
      </c>
      <c r="BD248" s="3">
        <f t="shared" si="57"/>
        <v>45</v>
      </c>
      <c r="BE248" s="3">
        <v>90</v>
      </c>
      <c r="BF248" s="3">
        <v>8</v>
      </c>
      <c r="BH248" s="3">
        <f t="shared" si="58"/>
        <v>84</v>
      </c>
      <c r="BJ248" s="38">
        <f t="shared" si="51"/>
        <v>0</v>
      </c>
      <c r="BL248" s="3">
        <f t="shared" si="52"/>
        <v>108643.52272727274</v>
      </c>
    </row>
    <row r="249" spans="1:64" x14ac:dyDescent="0.35">
      <c r="A249" s="1" t="s">
        <v>668</v>
      </c>
      <c r="B249" s="1" t="str">
        <f t="shared" si="53"/>
        <v>Premium</v>
      </c>
      <c r="C249" s="1" t="s">
        <v>46</v>
      </c>
      <c r="D249" s="1" t="s">
        <v>370</v>
      </c>
      <c r="E249" s="1" t="s">
        <v>48</v>
      </c>
      <c r="F249" s="1" t="s">
        <v>669</v>
      </c>
      <c r="G249" s="1" t="s">
        <v>670</v>
      </c>
      <c r="H249" s="1" t="s">
        <v>373</v>
      </c>
      <c r="I249" s="1" t="s">
        <v>154</v>
      </c>
      <c r="J249" s="1" t="s">
        <v>671</v>
      </c>
      <c r="K249" s="1" t="s">
        <v>227</v>
      </c>
      <c r="L249" s="1" t="s">
        <v>55</v>
      </c>
      <c r="M249" s="1" t="s">
        <v>100</v>
      </c>
      <c r="N249" s="1" t="s">
        <v>200</v>
      </c>
      <c r="O249" s="1" t="s">
        <v>403</v>
      </c>
      <c r="P249" s="1" t="s">
        <v>672</v>
      </c>
      <c r="Q249" s="1" t="s">
        <v>248</v>
      </c>
      <c r="R249" s="1" t="s">
        <v>61</v>
      </c>
      <c r="S249" s="1">
        <v>2457</v>
      </c>
      <c r="T249" s="2">
        <f>U249*0.98*0.965</f>
        <v>379673.46854969172</v>
      </c>
      <c r="U249" s="13">
        <v>401473.47842835123</v>
      </c>
      <c r="V249" s="13">
        <v>0</v>
      </c>
      <c r="W249" s="13">
        <v>0</v>
      </c>
      <c r="X249" s="13"/>
      <c r="Y249" s="2">
        <f t="shared" si="62"/>
        <v>449989.99999999988</v>
      </c>
      <c r="Z249" s="2">
        <v>449990</v>
      </c>
      <c r="AA249" s="5"/>
      <c r="AB249" s="5"/>
      <c r="AC249" s="14">
        <v>0</v>
      </c>
      <c r="AD249" s="5">
        <v>0</v>
      </c>
      <c r="AE249" s="5"/>
      <c r="AF249" s="5">
        <f t="shared" si="55"/>
        <v>0</v>
      </c>
      <c r="AG249" s="5"/>
      <c r="AH249" s="13">
        <v>0</v>
      </c>
      <c r="AI249" s="13"/>
      <c r="AJ249" s="5"/>
      <c r="AL249" s="5"/>
      <c r="AM249" s="5">
        <v>449989.99999999988</v>
      </c>
      <c r="AN249" s="5">
        <f t="shared" si="49"/>
        <v>0</v>
      </c>
      <c r="AO249" s="5"/>
      <c r="AP249" s="5">
        <f t="shared" si="61"/>
        <v>401473.47842835123</v>
      </c>
      <c r="AQ249" s="20">
        <v>0</v>
      </c>
      <c r="AR249" s="20"/>
      <c r="AT249" s="3">
        <v>0</v>
      </c>
      <c r="AV249" s="5">
        <f t="shared" si="56"/>
        <v>0</v>
      </c>
      <c r="AX249" s="38">
        <f t="shared" si="50"/>
        <v>0</v>
      </c>
      <c r="BA249" s="3">
        <v>0</v>
      </c>
      <c r="BB249" s="3">
        <v>1</v>
      </c>
      <c r="BC249" s="3">
        <v>0</v>
      </c>
      <c r="BD249" s="3">
        <f t="shared" si="57"/>
        <v>1</v>
      </c>
      <c r="BE249" s="3">
        <v>12</v>
      </c>
      <c r="BF249" s="3">
        <v>5</v>
      </c>
      <c r="BH249" s="3">
        <f t="shared" si="58"/>
        <v>2</v>
      </c>
      <c r="BJ249" s="38">
        <f t="shared" si="51"/>
        <v>0</v>
      </c>
      <c r="BL249" s="3">
        <f t="shared" si="52"/>
        <v>473738.70454545441</v>
      </c>
    </row>
    <row r="250" spans="1:64" x14ac:dyDescent="0.35">
      <c r="A250" s="1" t="s">
        <v>673</v>
      </c>
      <c r="B250" s="1" t="str">
        <f t="shared" si="53"/>
        <v>Premium</v>
      </c>
      <c r="C250" s="1" t="s">
        <v>46</v>
      </c>
      <c r="D250" s="1" t="s">
        <v>460</v>
      </c>
      <c r="E250" s="1" t="s">
        <v>81</v>
      </c>
      <c r="F250" s="1" t="s">
        <v>115</v>
      </c>
      <c r="G250" s="1" t="s">
        <v>115</v>
      </c>
      <c r="H250" s="1" t="s">
        <v>674</v>
      </c>
      <c r="I250" s="1" t="s">
        <v>154</v>
      </c>
      <c r="J250" s="1" t="s">
        <v>461</v>
      </c>
      <c r="K250" s="1" t="s">
        <v>54</v>
      </c>
      <c r="L250" s="1" t="s">
        <v>55</v>
      </c>
      <c r="M250" s="1" t="s">
        <v>56</v>
      </c>
      <c r="N250" s="1" t="s">
        <v>57</v>
      </c>
      <c r="O250" s="1" t="s">
        <v>675</v>
      </c>
      <c r="P250" s="1" t="s">
        <v>676</v>
      </c>
      <c r="Q250" s="1" t="s">
        <v>165</v>
      </c>
      <c r="R250" s="1" t="s">
        <v>61</v>
      </c>
      <c r="S250" s="1">
        <v>725</v>
      </c>
      <c r="T250" s="2">
        <f>U250*0.965*0.98</f>
        <v>75508.735275423736</v>
      </c>
      <c r="U250" s="13">
        <v>79844.279661016961</v>
      </c>
      <c r="V250" s="13">
        <v>0</v>
      </c>
      <c r="W250" s="13"/>
      <c r="X250" s="13"/>
      <c r="Y250" s="2">
        <f t="shared" si="62"/>
        <v>89190</v>
      </c>
      <c r="Z250" s="1">
        <v>89190</v>
      </c>
      <c r="AA250" s="5"/>
      <c r="AB250" s="5"/>
      <c r="AC250" s="14">
        <v>89190</v>
      </c>
      <c r="AD250" s="5">
        <f t="shared" si="54"/>
        <v>0</v>
      </c>
      <c r="AE250" s="5"/>
      <c r="AF250" s="5">
        <f t="shared" si="55"/>
        <v>0</v>
      </c>
      <c r="AG250" s="5"/>
      <c r="AH250" s="13">
        <v>0</v>
      </c>
      <c r="AI250" s="13"/>
      <c r="AJ250" s="5"/>
      <c r="AL250" s="5"/>
      <c r="AM250" s="5">
        <v>89190</v>
      </c>
      <c r="AN250" s="5">
        <f t="shared" si="49"/>
        <v>0</v>
      </c>
      <c r="AO250" s="5"/>
      <c r="AP250" s="5">
        <f t="shared" si="61"/>
        <v>79844.279661016961</v>
      </c>
      <c r="AQ250" s="20">
        <v>0</v>
      </c>
      <c r="AR250" s="20"/>
      <c r="AT250" s="3">
        <v>16</v>
      </c>
      <c r="AV250" s="5">
        <f t="shared" si="56"/>
        <v>160</v>
      </c>
      <c r="AX250" s="38">
        <f t="shared" si="50"/>
        <v>0</v>
      </c>
      <c r="BA250" s="3">
        <v>94</v>
      </c>
      <c r="BB250" s="3">
        <v>38</v>
      </c>
      <c r="BC250" s="3">
        <v>44</v>
      </c>
      <c r="BD250" s="3">
        <f t="shared" si="57"/>
        <v>176</v>
      </c>
      <c r="BE250" s="3">
        <v>465</v>
      </c>
      <c r="BF250" s="3">
        <v>5</v>
      </c>
      <c r="BH250" s="3">
        <f t="shared" si="58"/>
        <v>326</v>
      </c>
      <c r="BJ250" s="38">
        <f t="shared" si="51"/>
        <v>0</v>
      </c>
      <c r="BL250" s="3">
        <f t="shared" si="52"/>
        <v>94216.250000000015</v>
      </c>
    </row>
    <row r="251" spans="1:64" x14ac:dyDescent="0.35">
      <c r="A251" s="1" t="s">
        <v>677</v>
      </c>
      <c r="B251" s="1" t="str">
        <f t="shared" si="53"/>
        <v>Premium</v>
      </c>
      <c r="C251" s="1" t="s">
        <v>46</v>
      </c>
      <c r="D251" s="1" t="s">
        <v>460</v>
      </c>
      <c r="E251" s="1" t="s">
        <v>81</v>
      </c>
      <c r="F251" s="1" t="s">
        <v>429</v>
      </c>
      <c r="G251" s="1" t="s">
        <v>458</v>
      </c>
      <c r="H251" s="1" t="s">
        <v>67</v>
      </c>
      <c r="I251" s="1" t="s">
        <v>154</v>
      </c>
      <c r="J251" s="1" t="s">
        <v>461</v>
      </c>
      <c r="K251" s="1" t="s">
        <v>54</v>
      </c>
      <c r="L251" s="1" t="s">
        <v>70</v>
      </c>
      <c r="M251" s="1" t="s">
        <v>100</v>
      </c>
      <c r="N251" s="1" t="s">
        <v>200</v>
      </c>
      <c r="O251" s="1" t="s">
        <v>87</v>
      </c>
      <c r="P251" s="1" t="s">
        <v>202</v>
      </c>
      <c r="Q251" s="1" t="s">
        <v>127</v>
      </c>
      <c r="R251" s="1" t="s">
        <v>61</v>
      </c>
      <c r="S251" s="1">
        <v>0</v>
      </c>
      <c r="T251" s="2">
        <f>U251*0.965*0.98</f>
        <v>78073.946525423729</v>
      </c>
      <c r="U251" s="13">
        <v>82556.779661016961</v>
      </c>
      <c r="V251" s="13">
        <v>0</v>
      </c>
      <c r="W251" s="13"/>
      <c r="X251" s="13"/>
      <c r="Y251" s="2">
        <f t="shared" si="62"/>
        <v>93181.478260869568</v>
      </c>
      <c r="Z251" s="2">
        <v>93190</v>
      </c>
      <c r="AA251" s="5"/>
      <c r="AB251" s="5"/>
      <c r="AC251" s="14">
        <v>93190</v>
      </c>
      <c r="AD251" s="5">
        <f t="shared" si="54"/>
        <v>-6.6440677966081969</v>
      </c>
      <c r="AE251" s="5"/>
      <c r="AF251" s="5">
        <f t="shared" si="55"/>
        <v>0</v>
      </c>
      <c r="AG251" s="5"/>
      <c r="AH251" s="13">
        <v>0</v>
      </c>
      <c r="AI251" s="13"/>
      <c r="AJ251" s="5"/>
      <c r="AL251" s="5"/>
      <c r="AM251" s="5">
        <v>93181.478260869568</v>
      </c>
      <c r="AN251" s="5">
        <f t="shared" si="49"/>
        <v>0</v>
      </c>
      <c r="AO251" s="5"/>
      <c r="AP251" s="5">
        <f t="shared" si="61"/>
        <v>82556.779661016961</v>
      </c>
      <c r="AQ251" s="20">
        <v>0</v>
      </c>
      <c r="AR251" s="20"/>
      <c r="AT251" s="3">
        <v>4</v>
      </c>
      <c r="AV251" s="5">
        <f t="shared" si="56"/>
        <v>40</v>
      </c>
      <c r="AX251" s="38">
        <f t="shared" si="50"/>
        <v>0</v>
      </c>
      <c r="BA251" s="3">
        <v>14</v>
      </c>
      <c r="BB251" s="3">
        <v>19</v>
      </c>
      <c r="BC251" s="3">
        <v>112</v>
      </c>
      <c r="BD251" s="3">
        <f t="shared" si="57"/>
        <v>145</v>
      </c>
      <c r="BE251" s="3">
        <v>55</v>
      </c>
      <c r="BF251" s="3">
        <v>0</v>
      </c>
      <c r="BH251" s="3">
        <f t="shared" si="58"/>
        <v>269</v>
      </c>
      <c r="BJ251" s="38">
        <f t="shared" si="51"/>
        <v>0</v>
      </c>
      <c r="BL251" s="3">
        <f t="shared" si="52"/>
        <v>97417.000000000015</v>
      </c>
    </row>
    <row r="252" spans="1:64" ht="12.75" customHeight="1" x14ac:dyDescent="0.35">
      <c r="A252" s="24" t="s">
        <v>678</v>
      </c>
      <c r="B252" s="1" t="str">
        <f t="shared" si="53"/>
        <v>Premium</v>
      </c>
      <c r="C252" s="1" t="s">
        <v>46</v>
      </c>
      <c r="D252" s="1" t="s">
        <v>679</v>
      </c>
      <c r="E252" s="4" t="s">
        <v>81</v>
      </c>
      <c r="F252" s="1" t="s">
        <v>680</v>
      </c>
      <c r="G252" s="1" t="s">
        <v>681</v>
      </c>
      <c r="H252" s="1" t="s">
        <v>682</v>
      </c>
      <c r="I252" s="1" t="s">
        <v>451</v>
      </c>
      <c r="J252" s="1" t="s">
        <v>682</v>
      </c>
      <c r="K252" s="4" t="s">
        <v>227</v>
      </c>
      <c r="L252" s="1" t="s">
        <v>55</v>
      </c>
      <c r="M252" s="4" t="s">
        <v>100</v>
      </c>
      <c r="N252" s="4" t="s">
        <v>57</v>
      </c>
      <c r="O252" s="1" t="s">
        <v>683</v>
      </c>
      <c r="P252" s="1" t="s">
        <v>684</v>
      </c>
      <c r="Q252" s="4" t="s">
        <v>127</v>
      </c>
      <c r="R252" s="27" t="s">
        <v>61</v>
      </c>
      <c r="S252" s="1">
        <v>1881</v>
      </c>
      <c r="T252" s="2">
        <f>U252*0.965*0.98</f>
        <v>95016.621032357492</v>
      </c>
      <c r="U252" s="13">
        <v>100472.2650231125</v>
      </c>
      <c r="V252" s="14">
        <v>2339</v>
      </c>
      <c r="W252" s="13"/>
      <c r="X252" s="13"/>
      <c r="Y252" s="2">
        <f t="shared" si="62"/>
        <v>107990.00000000001</v>
      </c>
      <c r="Z252" s="1">
        <v>107990</v>
      </c>
      <c r="AA252" s="5"/>
      <c r="AB252" s="5"/>
      <c r="AC252" s="14">
        <v>107990</v>
      </c>
      <c r="AD252" s="5">
        <f t="shared" si="54"/>
        <v>1.1345561025506361E-11</v>
      </c>
      <c r="AE252" s="31"/>
      <c r="AF252" s="5">
        <f t="shared" si="55"/>
        <v>0</v>
      </c>
      <c r="AG252" s="31"/>
      <c r="AH252" s="14">
        <v>2339</v>
      </c>
      <c r="AI252" s="13">
        <v>0</v>
      </c>
      <c r="AJ252" s="31"/>
      <c r="AL252" s="5"/>
      <c r="AM252" s="5">
        <v>103990.00000000007</v>
      </c>
      <c r="AN252" s="5">
        <f t="shared" si="49"/>
        <v>3999.9999999999418</v>
      </c>
      <c r="AO252" s="5"/>
      <c r="AP252" s="5">
        <f t="shared" si="61"/>
        <v>100472.2650231125</v>
      </c>
      <c r="AQ252" s="19">
        <v>0</v>
      </c>
      <c r="AR252" s="19">
        <v>0</v>
      </c>
      <c r="AT252" s="3">
        <v>3</v>
      </c>
      <c r="AV252" s="5">
        <f t="shared" si="56"/>
        <v>30</v>
      </c>
      <c r="AX252" s="38">
        <f t="shared" si="50"/>
        <v>0</v>
      </c>
      <c r="BA252" s="3">
        <v>0</v>
      </c>
      <c r="BB252" s="3">
        <v>0</v>
      </c>
      <c r="BC252" s="3">
        <v>21</v>
      </c>
      <c r="BD252" s="3">
        <f t="shared" si="57"/>
        <v>21</v>
      </c>
      <c r="BE252" s="3">
        <v>112</v>
      </c>
      <c r="BF252" s="3">
        <v>3</v>
      </c>
      <c r="BH252" s="3">
        <f t="shared" si="58"/>
        <v>39</v>
      </c>
      <c r="BJ252" s="38">
        <f t="shared" si="51"/>
        <v>91221</v>
      </c>
      <c r="BL252" s="3">
        <f t="shared" si="52"/>
        <v>118557.27272727275</v>
      </c>
    </row>
    <row r="253" spans="1:64" ht="12.75" customHeight="1" x14ac:dyDescent="0.3">
      <c r="A253" s="10" t="s">
        <v>685</v>
      </c>
      <c r="B253" s="1" t="str">
        <f t="shared" si="53"/>
        <v>Premium</v>
      </c>
      <c r="C253" s="1" t="s">
        <v>46</v>
      </c>
      <c r="D253" s="1" t="s">
        <v>686</v>
      </c>
      <c r="E253" s="1" t="s">
        <v>81</v>
      </c>
      <c r="F253" s="1" t="s">
        <v>687</v>
      </c>
      <c r="G253" s="1" t="s">
        <v>688</v>
      </c>
      <c r="H253" s="10" t="s">
        <v>686</v>
      </c>
      <c r="I253" s="1" t="s">
        <v>451</v>
      </c>
      <c r="J253" s="10" t="s">
        <v>686</v>
      </c>
      <c r="K253" s="1" t="s">
        <v>227</v>
      </c>
      <c r="L253" s="11" t="s">
        <v>55</v>
      </c>
      <c r="M253" s="1" t="s">
        <v>100</v>
      </c>
      <c r="N253" s="1" t="s">
        <v>200</v>
      </c>
      <c r="O253" s="10" t="s">
        <v>87</v>
      </c>
      <c r="P253" s="10" t="s">
        <v>689</v>
      </c>
      <c r="Q253" s="1" t="s">
        <v>690</v>
      </c>
      <c r="R253" s="1" t="s">
        <v>61</v>
      </c>
      <c r="S253" s="10">
        <v>725</v>
      </c>
      <c r="T253" s="2">
        <f>U253*0.965*0.98</f>
        <v>94612.184922958404</v>
      </c>
      <c r="U253" s="13">
        <v>100044.60708782745</v>
      </c>
      <c r="V253" s="13">
        <v>2339</v>
      </c>
      <c r="W253" s="13"/>
      <c r="X253" s="13"/>
      <c r="Y253" s="2">
        <f>(U253*0.88-S253-V253-W253-X253)*1.18/0.92</f>
        <v>108990.00000000001</v>
      </c>
      <c r="Z253" s="15">
        <v>108990</v>
      </c>
      <c r="AA253" s="5"/>
      <c r="AB253" s="5"/>
      <c r="AC253" s="14">
        <v>108990</v>
      </c>
      <c r="AD253" s="5">
        <f t="shared" si="54"/>
        <v>1.1345561025506361E-11</v>
      </c>
      <c r="AF253" s="5">
        <f t="shared" si="55"/>
        <v>0</v>
      </c>
      <c r="AH253" s="13">
        <v>2339</v>
      </c>
      <c r="AI253" s="13"/>
      <c r="AL253" s="5"/>
      <c r="AM253" s="5">
        <v>108990.00000000001</v>
      </c>
      <c r="AN253" s="5">
        <f t="shared" si="49"/>
        <v>0</v>
      </c>
      <c r="AO253" s="5"/>
      <c r="AP253" s="5">
        <f t="shared" si="61"/>
        <v>100044.60708782745</v>
      </c>
      <c r="AQ253" s="1"/>
      <c r="AR253" s="1"/>
      <c r="AT253" s="3">
        <v>0</v>
      </c>
      <c r="AV253" s="5">
        <f t="shared" si="56"/>
        <v>0</v>
      </c>
      <c r="AX253" s="38">
        <f t="shared" si="50"/>
        <v>0</v>
      </c>
      <c r="BA253" s="3">
        <v>0</v>
      </c>
      <c r="BB253" s="3">
        <v>0</v>
      </c>
      <c r="BC253" s="3">
        <v>0</v>
      </c>
      <c r="BD253" s="3">
        <f t="shared" si="57"/>
        <v>0</v>
      </c>
      <c r="BE253" s="3">
        <v>26</v>
      </c>
      <c r="BF253" s="3">
        <v>931</v>
      </c>
      <c r="BH253" s="3">
        <f t="shared" si="58"/>
        <v>0</v>
      </c>
      <c r="BJ253" s="38">
        <f t="shared" si="51"/>
        <v>0</v>
      </c>
      <c r="BL253" s="3">
        <f t="shared" si="52"/>
        <v>118052.63636363638</v>
      </c>
    </row>
    <row r="254" spans="1:64" x14ac:dyDescent="0.35">
      <c r="A254" s="1" t="s">
        <v>691</v>
      </c>
      <c r="B254" s="1" t="str">
        <f t="shared" si="53"/>
        <v>Premium</v>
      </c>
      <c r="C254" s="1" t="s">
        <v>46</v>
      </c>
      <c r="D254" s="1" t="s">
        <v>64</v>
      </c>
      <c r="E254" s="1" t="s">
        <v>81</v>
      </c>
      <c r="F254" s="1" t="s">
        <v>621</v>
      </c>
      <c r="G254" s="4" t="s">
        <v>692</v>
      </c>
      <c r="H254" s="1" t="s">
        <v>67</v>
      </c>
      <c r="I254" s="1" t="s">
        <v>154</v>
      </c>
      <c r="J254" s="4" t="s">
        <v>461</v>
      </c>
      <c r="K254" s="4" t="s">
        <v>54</v>
      </c>
      <c r="L254" s="4" t="s">
        <v>55</v>
      </c>
      <c r="M254" s="4" t="s">
        <v>100</v>
      </c>
      <c r="N254" s="4" t="s">
        <v>57</v>
      </c>
      <c r="O254" s="4" t="s">
        <v>693</v>
      </c>
      <c r="P254" s="4" t="s">
        <v>694</v>
      </c>
      <c r="Q254" s="1" t="s">
        <v>127</v>
      </c>
      <c r="R254" s="1" t="s">
        <v>61</v>
      </c>
      <c r="S254" s="1">
        <v>0</v>
      </c>
      <c r="T254" s="2">
        <f>U254*0.965*0.98</f>
        <v>91487.003428351323</v>
      </c>
      <c r="U254" s="13">
        <v>96739.984591679517</v>
      </c>
      <c r="V254" s="13">
        <v>0</v>
      </c>
      <c r="W254" s="13"/>
      <c r="X254" s="13"/>
      <c r="Y254" s="2">
        <f t="shared" si="62"/>
        <v>109190</v>
      </c>
      <c r="Z254" s="2">
        <v>109190</v>
      </c>
      <c r="AA254" s="5"/>
      <c r="AB254" s="5"/>
      <c r="AC254" s="14">
        <v>109190</v>
      </c>
      <c r="AD254" s="5">
        <f t="shared" si="54"/>
        <v>0</v>
      </c>
      <c r="AE254" s="5"/>
      <c r="AF254" s="5">
        <f t="shared" si="55"/>
        <v>0</v>
      </c>
      <c r="AG254" s="5"/>
      <c r="AH254" s="13">
        <v>0</v>
      </c>
      <c r="AI254" s="13"/>
      <c r="AJ254" s="5"/>
      <c r="AL254" s="5"/>
      <c r="AM254" s="5">
        <v>109190</v>
      </c>
      <c r="AN254" s="5">
        <f t="shared" si="49"/>
        <v>0</v>
      </c>
      <c r="AO254" s="5"/>
      <c r="AP254" s="5">
        <f t="shared" si="61"/>
        <v>96739.984591679517</v>
      </c>
      <c r="AQ254" s="20">
        <v>0</v>
      </c>
      <c r="AR254" s="20"/>
      <c r="AT254" s="3">
        <v>6</v>
      </c>
      <c r="AV254" s="5">
        <f t="shared" si="56"/>
        <v>60</v>
      </c>
      <c r="AX254" s="38">
        <f t="shared" si="50"/>
        <v>0</v>
      </c>
      <c r="BA254" s="3">
        <v>15</v>
      </c>
      <c r="BB254" s="3">
        <v>11</v>
      </c>
      <c r="BC254" s="3">
        <v>2</v>
      </c>
      <c r="BD254" s="3">
        <f t="shared" si="57"/>
        <v>28</v>
      </c>
      <c r="BE254" s="3">
        <v>55</v>
      </c>
      <c r="BF254" s="3">
        <v>8</v>
      </c>
      <c r="BH254" s="3">
        <f t="shared" si="58"/>
        <v>52</v>
      </c>
      <c r="BJ254" s="38">
        <f t="shared" si="51"/>
        <v>0</v>
      </c>
      <c r="BL254" s="3">
        <f t="shared" si="52"/>
        <v>114153.18181818182</v>
      </c>
    </row>
    <row r="255" spans="1:64" x14ac:dyDescent="0.35">
      <c r="A255" s="1" t="s">
        <v>695</v>
      </c>
      <c r="B255" s="1" t="str">
        <f t="shared" si="53"/>
        <v>Premium</v>
      </c>
      <c r="C255" s="1" t="s">
        <v>46</v>
      </c>
      <c r="D255" s="1" t="s">
        <v>114</v>
      </c>
      <c r="E255" s="1" t="s">
        <v>220</v>
      </c>
      <c r="F255" s="1" t="s">
        <v>479</v>
      </c>
      <c r="G255" s="1" t="s">
        <v>516</v>
      </c>
      <c r="H255" s="1" t="s">
        <v>51</v>
      </c>
      <c r="I255" s="1" t="s">
        <v>124</v>
      </c>
      <c r="J255" s="1" t="s">
        <v>517</v>
      </c>
      <c r="K255" s="1" t="s">
        <v>54</v>
      </c>
      <c r="L255" s="1" t="s">
        <v>70</v>
      </c>
      <c r="M255" s="1" t="s">
        <v>100</v>
      </c>
      <c r="N255" s="1" t="s">
        <v>57</v>
      </c>
      <c r="O255" s="1" t="s">
        <v>87</v>
      </c>
      <c r="P255" s="1" t="s">
        <v>534</v>
      </c>
      <c r="Q255" s="1" t="s">
        <v>127</v>
      </c>
      <c r="R255" s="1" t="s">
        <v>61</v>
      </c>
      <c r="S255" s="1">
        <v>1881</v>
      </c>
      <c r="T255" s="2">
        <f>U255*0.98*0.965</f>
        <v>80940.390182973759</v>
      </c>
      <c r="U255" s="13">
        <v>85587.808166409814</v>
      </c>
      <c r="V255" s="14">
        <v>0</v>
      </c>
      <c r="W255" s="13"/>
      <c r="X255" s="13"/>
      <c r="Y255" s="2">
        <f t="shared" si="62"/>
        <v>94189.999999999942</v>
      </c>
      <c r="Z255" s="2">
        <v>94190</v>
      </c>
      <c r="AA255" s="5"/>
      <c r="AB255" s="5"/>
      <c r="AC255" s="14">
        <v>0</v>
      </c>
      <c r="AD255" s="5">
        <f t="shared" si="54"/>
        <v>73436.271186440645</v>
      </c>
      <c r="AF255" s="5">
        <f t="shared" si="55"/>
        <v>0</v>
      </c>
      <c r="AH255" s="14">
        <v>0</v>
      </c>
      <c r="AI255" s="13"/>
      <c r="AL255" s="5"/>
      <c r="AM255" s="5">
        <v>94189.999999999942</v>
      </c>
      <c r="AN255" s="5">
        <f t="shared" si="49"/>
        <v>0</v>
      </c>
      <c r="AO255" s="5"/>
      <c r="AP255" s="5"/>
      <c r="AQ255" s="20">
        <v>0</v>
      </c>
      <c r="AR255" s="20"/>
      <c r="AT255" s="3">
        <v>0</v>
      </c>
      <c r="AV255" s="5">
        <f t="shared" si="56"/>
        <v>0</v>
      </c>
      <c r="AX255" s="38">
        <f t="shared" si="50"/>
        <v>0</v>
      </c>
      <c r="BA255" s="3">
        <v>0</v>
      </c>
      <c r="BB255" s="3">
        <v>0</v>
      </c>
      <c r="BC255" s="3">
        <v>0</v>
      </c>
      <c r="BD255" s="3">
        <f t="shared" si="57"/>
        <v>0</v>
      </c>
      <c r="BE255" s="3">
        <v>217</v>
      </c>
      <c r="BF255" s="3">
        <v>14</v>
      </c>
      <c r="BH255" s="3">
        <f t="shared" si="58"/>
        <v>0</v>
      </c>
      <c r="BJ255" s="38">
        <f t="shared" si="51"/>
        <v>0</v>
      </c>
      <c r="BL255" s="3">
        <f t="shared" si="52"/>
        <v>100993.61363636357</v>
      </c>
    </row>
    <row r="256" spans="1:64" x14ac:dyDescent="0.35">
      <c r="A256" s="1" t="s">
        <v>696</v>
      </c>
      <c r="B256" s="1" t="str">
        <f t="shared" si="53"/>
        <v>Premium</v>
      </c>
      <c r="C256" s="1" t="s">
        <v>46</v>
      </c>
      <c r="D256" s="1" t="s">
        <v>114</v>
      </c>
      <c r="E256" s="1" t="s">
        <v>220</v>
      </c>
      <c r="F256" s="1" t="s">
        <v>221</v>
      </c>
      <c r="G256" s="1" t="s">
        <v>468</v>
      </c>
      <c r="H256" s="1" t="s">
        <v>51</v>
      </c>
      <c r="I256" s="1" t="s">
        <v>117</v>
      </c>
      <c r="J256" s="1" t="s">
        <v>118</v>
      </c>
      <c r="K256" s="1" t="s">
        <v>54</v>
      </c>
      <c r="L256" s="1" t="s">
        <v>70</v>
      </c>
      <c r="M256" s="1" t="s">
        <v>56</v>
      </c>
      <c r="N256" s="1" t="s">
        <v>57</v>
      </c>
      <c r="O256" s="1" t="s">
        <v>87</v>
      </c>
      <c r="P256" s="1" t="s">
        <v>223</v>
      </c>
      <c r="Q256" s="1" t="s">
        <v>127</v>
      </c>
      <c r="R256" s="1" t="s">
        <v>61</v>
      </c>
      <c r="S256" s="1">
        <v>0</v>
      </c>
      <c r="T256" s="2">
        <f>U256*0.98*0.965</f>
        <v>54453.158281972261</v>
      </c>
      <c r="U256" s="13">
        <v>57579.738058551622</v>
      </c>
      <c r="V256" s="14"/>
      <c r="W256" s="13"/>
      <c r="X256" s="13"/>
      <c r="Y256" s="2">
        <f t="shared" si="62"/>
        <v>64990</v>
      </c>
      <c r="Z256" s="1">
        <v>64990</v>
      </c>
      <c r="AA256" s="5"/>
      <c r="AB256" s="5"/>
      <c r="AC256" s="14">
        <v>0</v>
      </c>
      <c r="AD256" s="5">
        <f t="shared" si="54"/>
        <v>50670.169491525427</v>
      </c>
      <c r="AF256" s="5">
        <f t="shared" si="55"/>
        <v>0</v>
      </c>
      <c r="AH256" s="14"/>
      <c r="AI256" s="13"/>
      <c r="AL256" s="5"/>
      <c r="AM256" s="5">
        <v>64181.020869565211</v>
      </c>
      <c r="AN256" s="5">
        <f t="shared" si="49"/>
        <v>808.97913043478911</v>
      </c>
      <c r="AO256" s="5"/>
      <c r="AP256" s="5"/>
      <c r="AQ256" s="22"/>
      <c r="AR256" s="22"/>
      <c r="AT256" s="3">
        <v>0</v>
      </c>
      <c r="AV256" s="5">
        <f t="shared" si="56"/>
        <v>0</v>
      </c>
      <c r="AX256" s="38">
        <f t="shared" si="50"/>
        <v>0</v>
      </c>
      <c r="BA256" s="3">
        <v>78</v>
      </c>
      <c r="BB256" s="3">
        <v>9</v>
      </c>
      <c r="BC256" s="3">
        <v>-25</v>
      </c>
      <c r="BD256" s="3">
        <f t="shared" si="57"/>
        <v>62</v>
      </c>
      <c r="BE256" s="3">
        <v>338</v>
      </c>
      <c r="BF256" s="3">
        <v>0</v>
      </c>
      <c r="BH256" s="3">
        <f t="shared" si="58"/>
        <v>115</v>
      </c>
      <c r="BJ256" s="38">
        <f t="shared" si="51"/>
        <v>0</v>
      </c>
      <c r="BL256" s="3">
        <f t="shared" si="52"/>
        <v>67944.090909090912</v>
      </c>
    </row>
    <row r="257" spans="1:64" x14ac:dyDescent="0.35">
      <c r="A257" s="1" t="s">
        <v>697</v>
      </c>
      <c r="B257" s="1" t="str">
        <f t="shared" si="53"/>
        <v>Premium</v>
      </c>
      <c r="C257" s="1" t="s">
        <v>46</v>
      </c>
      <c r="D257" s="1" t="s">
        <v>121</v>
      </c>
      <c r="E257" s="1" t="s">
        <v>220</v>
      </c>
      <c r="F257" s="1" t="s">
        <v>221</v>
      </c>
      <c r="G257" s="1" t="s">
        <v>468</v>
      </c>
      <c r="H257" s="1" t="s">
        <v>123</v>
      </c>
      <c r="I257" s="1" t="s">
        <v>117</v>
      </c>
      <c r="J257" s="1" t="s">
        <v>160</v>
      </c>
      <c r="K257" s="1" t="s">
        <v>54</v>
      </c>
      <c r="L257" s="1" t="s">
        <v>70</v>
      </c>
      <c r="M257" s="1" t="s">
        <v>56</v>
      </c>
      <c r="N257" s="1" t="s">
        <v>57</v>
      </c>
      <c r="O257" s="1" t="s">
        <v>87</v>
      </c>
      <c r="P257" s="1" t="s">
        <v>223</v>
      </c>
      <c r="Q257" s="1" t="s">
        <v>127</v>
      </c>
      <c r="R257" s="1" t="s">
        <v>61</v>
      </c>
      <c r="S257" s="1">
        <v>725</v>
      </c>
      <c r="T257" s="2">
        <f>U257*0.98*0.965</f>
        <v>52718.67672380586</v>
      </c>
      <c r="U257" s="13">
        <v>55745.666409861333</v>
      </c>
      <c r="V257" s="14"/>
      <c r="W257" s="13"/>
      <c r="X257" s="13"/>
      <c r="Y257" s="2">
        <f t="shared" si="62"/>
        <v>61990</v>
      </c>
      <c r="Z257" s="1">
        <v>61990</v>
      </c>
      <c r="AA257" s="5"/>
      <c r="AB257" s="5"/>
      <c r="AC257" s="14">
        <v>0</v>
      </c>
      <c r="AD257" s="5">
        <f t="shared" si="54"/>
        <v>48331.186440677971</v>
      </c>
      <c r="AF257" s="5">
        <f t="shared" si="55"/>
        <v>0</v>
      </c>
      <c r="AH257" s="14"/>
      <c r="AI257" s="13"/>
      <c r="AL257" s="5"/>
      <c r="AM257" s="5">
        <v>59990.000000000044</v>
      </c>
      <c r="AN257" s="5">
        <f t="shared" si="49"/>
        <v>1999.9999999999563</v>
      </c>
      <c r="AO257" s="5"/>
      <c r="AP257" s="5"/>
      <c r="AQ257" s="22"/>
      <c r="AR257" s="22"/>
      <c r="AT257" s="3">
        <v>0</v>
      </c>
      <c r="AV257" s="5">
        <f t="shared" si="56"/>
        <v>0</v>
      </c>
      <c r="AX257" s="38">
        <f t="shared" si="50"/>
        <v>0</v>
      </c>
      <c r="BA257" s="3">
        <v>0</v>
      </c>
      <c r="BB257" s="3">
        <v>0</v>
      </c>
      <c r="BC257" s="3">
        <v>0</v>
      </c>
      <c r="BD257" s="3">
        <f t="shared" si="57"/>
        <v>0</v>
      </c>
      <c r="BE257" s="3">
        <v>875</v>
      </c>
      <c r="BF257" s="3">
        <v>0</v>
      </c>
      <c r="BH257" s="3">
        <f t="shared" si="58"/>
        <v>0</v>
      </c>
      <c r="BJ257" s="38">
        <f t="shared" si="51"/>
        <v>0</v>
      </c>
      <c r="BL257" s="3">
        <f t="shared" si="52"/>
        <v>65779.886363636368</v>
      </c>
    </row>
    <row r="258" spans="1:64" x14ac:dyDescent="0.35">
      <c r="A258" s="1" t="s">
        <v>698</v>
      </c>
      <c r="B258" s="1" t="str">
        <f t="shared" si="53"/>
        <v>Premium</v>
      </c>
      <c r="C258" s="1" t="s">
        <v>46</v>
      </c>
      <c r="D258" s="1" t="s">
        <v>460</v>
      </c>
      <c r="E258" s="1" t="s">
        <v>81</v>
      </c>
      <c r="F258" s="1" t="s">
        <v>699</v>
      </c>
      <c r="G258" s="1" t="s">
        <v>700</v>
      </c>
      <c r="H258" s="1" t="s">
        <v>67</v>
      </c>
      <c r="I258" s="1" t="s">
        <v>68</v>
      </c>
      <c r="J258" s="1" t="s">
        <v>701</v>
      </c>
      <c r="K258" s="24" t="s">
        <v>54</v>
      </c>
      <c r="L258" s="24" t="s">
        <v>55</v>
      </c>
      <c r="M258" s="1" t="s">
        <v>100</v>
      </c>
      <c r="N258" s="1" t="s">
        <v>57</v>
      </c>
      <c r="O258" s="1" t="s">
        <v>87</v>
      </c>
      <c r="P258" s="1" t="s">
        <v>702</v>
      </c>
      <c r="Q258" s="1" t="s">
        <v>703</v>
      </c>
      <c r="R258" s="1" t="s">
        <v>61</v>
      </c>
      <c r="S258" s="25">
        <v>1881</v>
      </c>
      <c r="T258" s="2">
        <f>U258*0.965*0.98</f>
        <v>105782.15508474575</v>
      </c>
      <c r="U258" s="13">
        <v>111855.93220338984</v>
      </c>
      <c r="V258" s="13">
        <v>0</v>
      </c>
      <c r="W258" s="13">
        <v>3001</v>
      </c>
      <c r="X258" s="13"/>
      <c r="Y258" s="2">
        <f t="shared" si="62"/>
        <v>119989.60869565218</v>
      </c>
      <c r="Z258" s="1">
        <v>119990</v>
      </c>
      <c r="AA258" s="5"/>
      <c r="AB258" s="5"/>
      <c r="AC258" s="14">
        <v>119990</v>
      </c>
      <c r="AD258" s="5">
        <f t="shared" si="54"/>
        <v>-0.30508474576123207</v>
      </c>
      <c r="AE258" s="5"/>
      <c r="AF258" s="5">
        <f t="shared" si="55"/>
        <v>3001</v>
      </c>
      <c r="AG258" s="5"/>
      <c r="AH258" s="13">
        <v>0</v>
      </c>
      <c r="AI258" s="13">
        <v>3000.6949152542365</v>
      </c>
      <c r="AJ258" s="5"/>
      <c r="AL258" s="5"/>
      <c r="AM258" s="5">
        <v>119990</v>
      </c>
      <c r="AN258" s="5">
        <f t="shared" si="49"/>
        <v>-0.39130434782418888</v>
      </c>
      <c r="AO258" s="5"/>
      <c r="AP258" s="5">
        <f t="shared" ref="AP258:AP263" si="63">U258-AL258</f>
        <v>111855.93220338984</v>
      </c>
      <c r="AQ258" s="20">
        <v>0</v>
      </c>
      <c r="AR258" s="20">
        <v>3000.6949152542365</v>
      </c>
      <c r="AT258" s="3">
        <v>1</v>
      </c>
      <c r="AV258" s="5">
        <f t="shared" si="56"/>
        <v>10</v>
      </c>
      <c r="AX258" s="38">
        <f t="shared" si="50"/>
        <v>30010</v>
      </c>
      <c r="BA258" s="3">
        <v>0</v>
      </c>
      <c r="BB258" s="3">
        <v>0</v>
      </c>
      <c r="BC258" s="3">
        <v>0</v>
      </c>
      <c r="BD258" s="3">
        <f t="shared" si="57"/>
        <v>0</v>
      </c>
      <c r="BE258" s="3">
        <v>0</v>
      </c>
      <c r="BF258" s="3">
        <v>0</v>
      </c>
      <c r="BH258" s="3">
        <f t="shared" si="58"/>
        <v>0</v>
      </c>
      <c r="BJ258" s="38">
        <f t="shared" si="51"/>
        <v>0</v>
      </c>
      <c r="BL258" s="3">
        <f t="shared" si="52"/>
        <v>131990</v>
      </c>
    </row>
    <row r="259" spans="1:64" x14ac:dyDescent="0.35">
      <c r="A259" s="1" t="s">
        <v>704</v>
      </c>
      <c r="B259" s="1" t="str">
        <f t="shared" si="53"/>
        <v>Mainstream</v>
      </c>
      <c r="C259" s="1" t="s">
        <v>79</v>
      </c>
      <c r="D259" s="1" t="s">
        <v>121</v>
      </c>
      <c r="E259" s="1" t="s">
        <v>81</v>
      </c>
      <c r="F259" s="1" t="s">
        <v>146</v>
      </c>
      <c r="G259" s="1" t="s">
        <v>240</v>
      </c>
      <c r="H259" s="1" t="s">
        <v>123</v>
      </c>
      <c r="I259" s="1" t="s">
        <v>124</v>
      </c>
      <c r="J259" s="1" t="s">
        <v>217</v>
      </c>
      <c r="K259" s="1" t="s">
        <v>92</v>
      </c>
      <c r="L259" s="1" t="s">
        <v>70</v>
      </c>
      <c r="M259" s="1" t="s">
        <v>100</v>
      </c>
      <c r="N259" s="1" t="s">
        <v>57</v>
      </c>
      <c r="O259" s="1" t="s">
        <v>87</v>
      </c>
      <c r="P259" s="1" t="s">
        <v>241</v>
      </c>
      <c r="Q259" s="1" t="s">
        <v>165</v>
      </c>
      <c r="R259" s="1" t="s">
        <v>61</v>
      </c>
      <c r="S259" s="1">
        <v>0</v>
      </c>
      <c r="T259" s="2">
        <v>39012.962099999997</v>
      </c>
      <c r="U259" s="13">
        <v>41253</v>
      </c>
      <c r="V259" s="13">
        <v>444</v>
      </c>
      <c r="W259" s="13">
        <v>3143</v>
      </c>
      <c r="X259" s="13"/>
      <c r="Y259" s="2">
        <f>(U259*0.89-S259-V259-W259-X259)*1.18/0.92</f>
        <v>42490.478913043473</v>
      </c>
      <c r="Z259" s="18">
        <f>AC259</f>
        <v>42490</v>
      </c>
      <c r="AA259" s="5" t="s">
        <v>90</v>
      </c>
      <c r="AB259" s="5"/>
      <c r="AC259" s="14">
        <v>42490</v>
      </c>
      <c r="AD259" s="5">
        <f t="shared" si="54"/>
        <v>0.37338983050426194</v>
      </c>
      <c r="AE259" s="5"/>
      <c r="AF259" s="5">
        <f t="shared" si="55"/>
        <v>3143</v>
      </c>
      <c r="AG259" s="5"/>
      <c r="AH259" s="13">
        <v>444</v>
      </c>
      <c r="AI259" s="13">
        <v>3143</v>
      </c>
      <c r="AJ259" s="5"/>
      <c r="AL259" s="5"/>
      <c r="AM259" s="5">
        <v>41990.467391304344</v>
      </c>
      <c r="AN259" s="5">
        <f t="shared" ref="AN259:AN294" si="64">Y259-AM259</f>
        <v>500.01152173912851</v>
      </c>
      <c r="AO259" s="5"/>
      <c r="AP259" s="5">
        <f t="shared" si="63"/>
        <v>41253</v>
      </c>
      <c r="AQ259" s="20">
        <v>0</v>
      </c>
      <c r="AR259" s="20">
        <v>3143</v>
      </c>
      <c r="AT259" s="3">
        <v>0</v>
      </c>
      <c r="AV259" s="5">
        <f t="shared" si="56"/>
        <v>0</v>
      </c>
      <c r="AX259" s="38">
        <f t="shared" ref="AX259:AX292" si="65">AV259*W259</f>
        <v>0</v>
      </c>
      <c r="BA259" s="3">
        <v>0</v>
      </c>
      <c r="BB259" s="3">
        <v>0</v>
      </c>
      <c r="BC259" s="3">
        <v>0</v>
      </c>
      <c r="BD259" s="3">
        <f t="shared" si="57"/>
        <v>0</v>
      </c>
      <c r="BE259" s="3">
        <v>374</v>
      </c>
      <c r="BF259" s="3">
        <v>0</v>
      </c>
      <c r="BH259" s="3">
        <f t="shared" si="58"/>
        <v>0</v>
      </c>
      <c r="BJ259" s="38">
        <f t="shared" ref="BJ259:BJ292" si="66">BH259*V259</f>
        <v>0</v>
      </c>
      <c r="BL259" s="3">
        <f t="shared" ref="BL259:BL294" si="67">U259*1.18</f>
        <v>48678.54</v>
      </c>
    </row>
    <row r="260" spans="1:64" x14ac:dyDescent="0.35">
      <c r="A260" s="24" t="s">
        <v>705</v>
      </c>
      <c r="B260" s="1" t="str">
        <f t="shared" ref="B260:B293" si="68">IF(BL260&lt;40000,"Entry",IF(BL260&gt;65000,"Premium","Mainstream"))</f>
        <v>Premium</v>
      </c>
      <c r="C260" s="1" t="s">
        <v>46</v>
      </c>
      <c r="D260" s="1" t="s">
        <v>96</v>
      </c>
      <c r="E260" s="4" t="s">
        <v>48</v>
      </c>
      <c r="F260" s="1" t="s">
        <v>65</v>
      </c>
      <c r="G260" s="1" t="s">
        <v>234</v>
      </c>
      <c r="H260" s="4" t="s">
        <v>84</v>
      </c>
      <c r="I260" s="4" t="s">
        <v>85</v>
      </c>
      <c r="J260" s="4" t="s">
        <v>272</v>
      </c>
      <c r="K260" s="4" t="s">
        <v>54</v>
      </c>
      <c r="L260" s="4" t="s">
        <v>70</v>
      </c>
      <c r="M260" s="4" t="s">
        <v>100</v>
      </c>
      <c r="N260" s="4" t="s">
        <v>57</v>
      </c>
      <c r="O260" s="1" t="s">
        <v>143</v>
      </c>
      <c r="P260" s="4" t="s">
        <v>129</v>
      </c>
      <c r="Q260" s="4" t="s">
        <v>647</v>
      </c>
      <c r="R260" s="4" t="s">
        <v>61</v>
      </c>
      <c r="S260" s="4">
        <v>725</v>
      </c>
      <c r="T260" s="18">
        <v>52245.917796610171</v>
      </c>
      <c r="U260" s="13">
        <v>55245.762711864409</v>
      </c>
      <c r="V260" s="14">
        <v>0</v>
      </c>
      <c r="W260" s="13">
        <v>5018</v>
      </c>
      <c r="X260" s="13">
        <v>3898.0169491525426</v>
      </c>
      <c r="Y260" s="2">
        <f>(U260*0.88-S260-V260-W260-X260)*1.18/0.92</f>
        <v>49989.999999999993</v>
      </c>
      <c r="Z260" s="1">
        <v>49990</v>
      </c>
      <c r="AA260" s="5"/>
      <c r="AB260" s="5"/>
      <c r="AC260" s="14">
        <v>49990</v>
      </c>
      <c r="AD260" s="5">
        <f t="shared" ref="AD260:AD301" si="69">(Y260-AC260)/1.18*0.92</f>
        <v>-5.6727805127531806E-12</v>
      </c>
      <c r="AE260" s="5"/>
      <c r="AF260" s="5">
        <f t="shared" ref="AF260:AF301" si="70">W260+X260</f>
        <v>8916.016949152543</v>
      </c>
      <c r="AH260" s="14">
        <v>0</v>
      </c>
      <c r="AI260" s="13">
        <v>5018</v>
      </c>
      <c r="AL260" s="5"/>
      <c r="AM260" s="5">
        <v>54989.630434782608</v>
      </c>
      <c r="AN260" s="5">
        <f t="shared" si="64"/>
        <v>-4999.6304347826153</v>
      </c>
      <c r="AO260" s="5"/>
      <c r="AP260" s="5">
        <f t="shared" si="63"/>
        <v>55245.762711864409</v>
      </c>
      <c r="AQ260" s="22">
        <v>0</v>
      </c>
      <c r="AR260" s="22">
        <v>5018</v>
      </c>
      <c r="AT260" s="3">
        <v>3</v>
      </c>
      <c r="AV260" s="5">
        <f t="shared" si="56"/>
        <v>30</v>
      </c>
      <c r="AX260" s="38">
        <f t="shared" si="65"/>
        <v>150540</v>
      </c>
      <c r="BA260" s="3">
        <v>0</v>
      </c>
      <c r="BB260" s="3">
        <v>94</v>
      </c>
      <c r="BC260" s="3">
        <v>0</v>
      </c>
      <c r="BD260" s="3">
        <f t="shared" si="57"/>
        <v>94</v>
      </c>
      <c r="BE260" s="3">
        <v>298</v>
      </c>
      <c r="BF260" s="3">
        <v>0</v>
      </c>
      <c r="BH260" s="3">
        <f t="shared" si="58"/>
        <v>174</v>
      </c>
      <c r="BJ260" s="38">
        <f t="shared" si="66"/>
        <v>0</v>
      </c>
      <c r="BL260" s="3">
        <f t="shared" si="67"/>
        <v>65190</v>
      </c>
    </row>
    <row r="261" spans="1:64" x14ac:dyDescent="0.35">
      <c r="A261" s="24" t="s">
        <v>706</v>
      </c>
      <c r="B261" s="1" t="str">
        <f t="shared" si="68"/>
        <v>Premium</v>
      </c>
      <c r="C261" s="1" t="s">
        <v>46</v>
      </c>
      <c r="D261" s="1" t="s">
        <v>287</v>
      </c>
      <c r="E261" s="4" t="s">
        <v>48</v>
      </c>
      <c r="F261" s="1" t="s">
        <v>65</v>
      </c>
      <c r="G261" s="1" t="s">
        <v>76</v>
      </c>
      <c r="H261" s="4" t="s">
        <v>123</v>
      </c>
      <c r="I261" s="4" t="s">
        <v>52</v>
      </c>
      <c r="J261" s="4" t="s">
        <v>142</v>
      </c>
      <c r="K261" s="4" t="s">
        <v>54</v>
      </c>
      <c r="L261" s="4" t="s">
        <v>70</v>
      </c>
      <c r="M261" s="4" t="s">
        <v>100</v>
      </c>
      <c r="N261" s="4" t="s">
        <v>57</v>
      </c>
      <c r="O261" s="1" t="s">
        <v>143</v>
      </c>
      <c r="P261" s="4" t="s">
        <v>129</v>
      </c>
      <c r="Q261" s="4" t="s">
        <v>707</v>
      </c>
      <c r="R261" s="4" t="s">
        <v>61</v>
      </c>
      <c r="S261" s="4">
        <v>725</v>
      </c>
      <c r="T261" s="18">
        <v>53688.334699999999</v>
      </c>
      <c r="U261" s="32">
        <v>56771</v>
      </c>
      <c r="V261" s="14">
        <v>0</v>
      </c>
      <c r="W261" s="13">
        <v>6360</v>
      </c>
      <c r="X261" s="13">
        <v>3898.2257627118656</v>
      </c>
      <c r="Y261" s="2">
        <f>(U261*0.88-S261-V261-W261-X261)*1.18/0.92</f>
        <v>49989.999999999993</v>
      </c>
      <c r="Z261" s="1">
        <v>49990</v>
      </c>
      <c r="AA261" s="5"/>
      <c r="AB261" s="5"/>
      <c r="AC261" s="14">
        <v>49990</v>
      </c>
      <c r="AD261" s="5">
        <f t="shared" si="69"/>
        <v>-5.6727805127531806E-12</v>
      </c>
      <c r="AE261" s="5"/>
      <c r="AF261" s="5">
        <f t="shared" si="70"/>
        <v>10258.225762711865</v>
      </c>
      <c r="AH261" s="14">
        <v>0</v>
      </c>
      <c r="AI261" s="13">
        <v>6360</v>
      </c>
      <c r="AL261" s="5"/>
      <c r="AM261" s="5">
        <v>54989.898260869566</v>
      </c>
      <c r="AN261" s="5">
        <f t="shared" si="64"/>
        <v>-4999.8982608695733</v>
      </c>
      <c r="AO261" s="5"/>
      <c r="AP261" s="5">
        <f t="shared" si="63"/>
        <v>56771</v>
      </c>
      <c r="AQ261" s="22">
        <v>0</v>
      </c>
      <c r="AR261" s="22">
        <v>6360</v>
      </c>
      <c r="AT261" s="3">
        <v>1</v>
      </c>
      <c r="AV261" s="5">
        <f t="shared" ref="AV261:AV292" si="71">ROUNDUP((AT261/8)*80,0)</f>
        <v>10</v>
      </c>
      <c r="AX261" s="38">
        <f t="shared" si="65"/>
        <v>63600</v>
      </c>
      <c r="BA261" s="3">
        <v>0</v>
      </c>
      <c r="BB261" s="3">
        <v>38</v>
      </c>
      <c r="BC261" s="3">
        <v>-2</v>
      </c>
      <c r="BD261" s="3">
        <f t="shared" ref="BD261:BD292" si="72">BC261+BB261+BA261</f>
        <v>36</v>
      </c>
      <c r="BE261" s="3">
        <v>2</v>
      </c>
      <c r="BF261" s="3">
        <v>0</v>
      </c>
      <c r="BH261" s="3">
        <f t="shared" ref="BH261:BH292" si="73">ROUNDUP(BD261*1.85,0)</f>
        <v>67</v>
      </c>
      <c r="BJ261" s="38">
        <f t="shared" si="66"/>
        <v>0</v>
      </c>
      <c r="BL261" s="3">
        <f t="shared" si="67"/>
        <v>66989.78</v>
      </c>
    </row>
    <row r="262" spans="1:64" x14ac:dyDescent="0.35">
      <c r="A262" s="1" t="s">
        <v>708</v>
      </c>
      <c r="B262" s="1" t="str">
        <f t="shared" si="68"/>
        <v>Mainstream</v>
      </c>
      <c r="C262" s="1" t="s">
        <v>46</v>
      </c>
      <c r="D262" s="1" t="s">
        <v>654</v>
      </c>
      <c r="E262" s="1" t="s">
        <v>48</v>
      </c>
      <c r="F262" s="1" t="s">
        <v>97</v>
      </c>
      <c r="G262" s="1" t="s">
        <v>655</v>
      </c>
      <c r="H262" s="1" t="s">
        <v>84</v>
      </c>
      <c r="I262" s="1" t="s">
        <v>68</v>
      </c>
      <c r="J262" s="1" t="s">
        <v>656</v>
      </c>
      <c r="K262" s="1" t="s">
        <v>657</v>
      </c>
      <c r="L262" s="1" t="s">
        <v>70</v>
      </c>
      <c r="M262" s="1" t="s">
        <v>100</v>
      </c>
      <c r="N262" s="1" t="s">
        <v>132</v>
      </c>
      <c r="O262" s="1" t="s">
        <v>658</v>
      </c>
      <c r="P262" s="1" t="s">
        <v>659</v>
      </c>
      <c r="Q262" s="1" t="s">
        <v>647</v>
      </c>
      <c r="R262" s="1" t="s">
        <v>73</v>
      </c>
      <c r="S262" s="1">
        <v>725</v>
      </c>
      <c r="T262" s="18">
        <f>U262*0.98*0.98</f>
        <v>46546.844067796606</v>
      </c>
      <c r="U262" s="13">
        <v>48466.101694915254</v>
      </c>
      <c r="V262" s="14">
        <v>0</v>
      </c>
      <c r="W262" s="13">
        <v>0</v>
      </c>
      <c r="X262" s="13"/>
      <c r="Y262" s="2">
        <f>(U262*0.98-S262-V262-W262-X262)*1.18/0.92</f>
        <v>59989.891304347817</v>
      </c>
      <c r="Z262" s="1">
        <v>59990</v>
      </c>
      <c r="AA262" s="5"/>
      <c r="AB262" s="5"/>
      <c r="AC262" s="14">
        <v>59990</v>
      </c>
      <c r="AD262" s="5">
        <f t="shared" si="69"/>
        <v>-8.4745762719017056E-2</v>
      </c>
      <c r="AE262" s="5"/>
      <c r="AF262" s="5">
        <f t="shared" si="70"/>
        <v>0</v>
      </c>
      <c r="AG262" s="5"/>
      <c r="AH262" s="14">
        <v>0</v>
      </c>
      <c r="AI262" s="13"/>
      <c r="AJ262" s="5"/>
      <c r="AL262" s="5"/>
      <c r="AM262" s="5">
        <v>59989.891304347817</v>
      </c>
      <c r="AN262" s="5">
        <f t="shared" si="64"/>
        <v>0</v>
      </c>
      <c r="AO262" s="5"/>
      <c r="AP262" s="5">
        <f t="shared" si="63"/>
        <v>48466.101694915254</v>
      </c>
      <c r="AQ262" s="20">
        <v>0</v>
      </c>
      <c r="AR262" s="20"/>
      <c r="AT262" s="3">
        <v>0</v>
      </c>
      <c r="AV262" s="5">
        <f t="shared" si="71"/>
        <v>0</v>
      </c>
      <c r="AX262" s="38">
        <f t="shared" si="65"/>
        <v>0</v>
      </c>
      <c r="BA262" s="3">
        <v>0</v>
      </c>
      <c r="BB262" s="3">
        <v>0</v>
      </c>
      <c r="BC262" s="3">
        <v>0</v>
      </c>
      <c r="BD262" s="3">
        <f t="shared" si="72"/>
        <v>0</v>
      </c>
      <c r="BE262" s="3">
        <v>654</v>
      </c>
      <c r="BF262" s="3">
        <v>0</v>
      </c>
      <c r="BH262" s="3">
        <f t="shared" si="73"/>
        <v>0</v>
      </c>
      <c r="BJ262" s="38">
        <f t="shared" si="66"/>
        <v>0</v>
      </c>
      <c r="BL262" s="3">
        <f t="shared" si="67"/>
        <v>57190</v>
      </c>
    </row>
    <row r="263" spans="1:64" x14ac:dyDescent="0.35">
      <c r="A263" s="1" t="s">
        <v>709</v>
      </c>
      <c r="B263" s="1" t="str">
        <f t="shared" si="68"/>
        <v>Premium</v>
      </c>
      <c r="C263" s="1" t="s">
        <v>46</v>
      </c>
      <c r="D263" s="1" t="s">
        <v>460</v>
      </c>
      <c r="E263" s="1" t="s">
        <v>81</v>
      </c>
      <c r="F263" s="1" t="s">
        <v>699</v>
      </c>
      <c r="G263" s="1" t="s">
        <v>699</v>
      </c>
      <c r="H263" s="1" t="s">
        <v>674</v>
      </c>
      <c r="I263" s="1" t="s">
        <v>154</v>
      </c>
      <c r="J263" s="1" t="s">
        <v>521</v>
      </c>
      <c r="K263" s="1" t="s">
        <v>54</v>
      </c>
      <c r="L263" s="1" t="s">
        <v>55</v>
      </c>
      <c r="M263" s="1" t="s">
        <v>56</v>
      </c>
      <c r="N263" s="1" t="s">
        <v>57</v>
      </c>
      <c r="O263" s="1" t="s">
        <v>675</v>
      </c>
      <c r="P263" s="1" t="s">
        <v>710</v>
      </c>
      <c r="Q263" s="1" t="s">
        <v>165</v>
      </c>
      <c r="R263" s="1" t="s">
        <v>61</v>
      </c>
      <c r="S263" s="1">
        <v>1881</v>
      </c>
      <c r="T263" s="2">
        <f>U263*0.965*0.98</f>
        <v>105238.61437403699</v>
      </c>
      <c r="U263" s="13">
        <v>111281.18258859785</v>
      </c>
      <c r="V263" s="13">
        <v>0</v>
      </c>
      <c r="W263" s="13"/>
      <c r="X263" s="13"/>
      <c r="Y263" s="2">
        <f t="shared" ref="Y263:Y273" si="74">(U263*0.88-S263-V263-W263-X263)*1.18/0.92</f>
        <v>123190</v>
      </c>
      <c r="Z263" s="1">
        <v>123190</v>
      </c>
      <c r="AA263" s="5"/>
      <c r="AB263" s="5"/>
      <c r="AC263" s="14">
        <v>123190</v>
      </c>
      <c r="AD263" s="5">
        <f t="shared" si="69"/>
        <v>0</v>
      </c>
      <c r="AE263" s="37"/>
      <c r="AF263" s="5">
        <f t="shared" si="70"/>
        <v>0</v>
      </c>
      <c r="AG263" s="37"/>
      <c r="AH263" s="13">
        <v>0</v>
      </c>
      <c r="AI263" s="13"/>
      <c r="AJ263" s="5"/>
      <c r="AL263" s="5"/>
      <c r="AM263" s="5">
        <v>123190</v>
      </c>
      <c r="AN263" s="5">
        <f t="shared" si="64"/>
        <v>0</v>
      </c>
      <c r="AO263" s="5"/>
      <c r="AP263" s="5">
        <f t="shared" si="63"/>
        <v>111281.18258859785</v>
      </c>
      <c r="AQ263" s="20">
        <v>0</v>
      </c>
      <c r="AR263" s="20"/>
      <c r="AT263" s="3">
        <v>1</v>
      </c>
      <c r="AV263" s="5">
        <f t="shared" si="71"/>
        <v>10</v>
      </c>
      <c r="AX263" s="38">
        <f t="shared" si="65"/>
        <v>0</v>
      </c>
      <c r="BA263" s="3">
        <v>7</v>
      </c>
      <c r="BB263" s="3">
        <v>21</v>
      </c>
      <c r="BC263" s="3">
        <v>0</v>
      </c>
      <c r="BD263" s="3">
        <f t="shared" si="72"/>
        <v>28</v>
      </c>
      <c r="BE263" s="3">
        <v>57</v>
      </c>
      <c r="BF263" s="3">
        <v>32</v>
      </c>
      <c r="BH263" s="3">
        <f t="shared" si="73"/>
        <v>52</v>
      </c>
      <c r="BJ263" s="38">
        <f t="shared" si="66"/>
        <v>0</v>
      </c>
      <c r="BL263" s="3">
        <f t="shared" si="67"/>
        <v>131311.79545454544</v>
      </c>
    </row>
    <row r="264" spans="1:64" x14ac:dyDescent="0.35">
      <c r="A264" s="1" t="s">
        <v>711</v>
      </c>
      <c r="B264" s="1" t="str">
        <f t="shared" si="68"/>
        <v>Premium</v>
      </c>
      <c r="C264" s="1" t="s">
        <v>46</v>
      </c>
      <c r="D264" s="1" t="s">
        <v>114</v>
      </c>
      <c r="E264" s="1" t="s">
        <v>220</v>
      </c>
      <c r="F264" s="1" t="s">
        <v>479</v>
      </c>
      <c r="G264" s="1" t="s">
        <v>516</v>
      </c>
      <c r="H264" s="1" t="s">
        <v>51</v>
      </c>
      <c r="I264" s="1" t="s">
        <v>124</v>
      </c>
      <c r="J264" s="1" t="s">
        <v>517</v>
      </c>
      <c r="K264" s="1" t="s">
        <v>54</v>
      </c>
      <c r="L264" s="1" t="s">
        <v>70</v>
      </c>
      <c r="M264" s="1" t="s">
        <v>100</v>
      </c>
      <c r="N264" s="1" t="s">
        <v>57</v>
      </c>
      <c r="O264" s="1" t="s">
        <v>87</v>
      </c>
      <c r="P264" s="1" t="s">
        <v>518</v>
      </c>
      <c r="Q264" s="1" t="s">
        <v>127</v>
      </c>
      <c r="R264" s="1" t="s">
        <v>61</v>
      </c>
      <c r="S264" s="1">
        <v>1881</v>
      </c>
      <c r="T264" s="2">
        <f>U264*0.965*0.98</f>
        <v>79097.076623651752</v>
      </c>
      <c r="U264" s="13">
        <v>83638.655624036954</v>
      </c>
      <c r="V264" s="14"/>
      <c r="W264" s="13"/>
      <c r="X264" s="13"/>
      <c r="Y264" s="2">
        <f t="shared" si="74"/>
        <v>91989.999999999956</v>
      </c>
      <c r="Z264" s="2">
        <v>91990</v>
      </c>
      <c r="AA264" s="5"/>
      <c r="AB264" s="5"/>
      <c r="AC264" s="14">
        <v>0</v>
      </c>
      <c r="AD264" s="5">
        <f t="shared" si="69"/>
        <v>71721.016949152516</v>
      </c>
      <c r="AF264" s="5">
        <f t="shared" si="70"/>
        <v>0</v>
      </c>
      <c r="AH264" s="14"/>
      <c r="AI264" s="13"/>
      <c r="AL264" s="5"/>
      <c r="AM264" s="5">
        <v>91989.999999999956</v>
      </c>
      <c r="AN264" s="5">
        <f t="shared" si="64"/>
        <v>0</v>
      </c>
      <c r="AO264" s="5"/>
      <c r="AP264" s="5"/>
      <c r="AQ264" s="20"/>
      <c r="AR264" s="22"/>
      <c r="AT264" s="3">
        <v>0</v>
      </c>
      <c r="AV264" s="5">
        <f t="shared" si="71"/>
        <v>0</v>
      </c>
      <c r="AX264" s="38">
        <f t="shared" si="65"/>
        <v>0</v>
      </c>
      <c r="BA264" s="3">
        <v>0</v>
      </c>
      <c r="BB264" s="3">
        <v>0</v>
      </c>
      <c r="BC264" s="3">
        <v>0</v>
      </c>
      <c r="BD264" s="3">
        <f t="shared" si="72"/>
        <v>0</v>
      </c>
      <c r="BE264" s="3">
        <v>89</v>
      </c>
      <c r="BF264" s="3">
        <v>0</v>
      </c>
      <c r="BH264" s="3">
        <f t="shared" si="73"/>
        <v>0</v>
      </c>
      <c r="BJ264" s="38">
        <f t="shared" si="66"/>
        <v>0</v>
      </c>
      <c r="BL264" s="3">
        <f t="shared" si="67"/>
        <v>98693.613636363603</v>
      </c>
    </row>
    <row r="265" spans="1:64" x14ac:dyDescent="0.35">
      <c r="A265" s="1" t="s">
        <v>712</v>
      </c>
      <c r="B265" s="1" t="str">
        <f t="shared" si="68"/>
        <v>Premium</v>
      </c>
      <c r="C265" s="1" t="s">
        <v>46</v>
      </c>
      <c r="D265" s="1" t="s">
        <v>682</v>
      </c>
      <c r="E265" s="4" t="s">
        <v>81</v>
      </c>
      <c r="F265" s="1" t="s">
        <v>687</v>
      </c>
      <c r="G265" s="1" t="s">
        <v>713</v>
      </c>
      <c r="H265" s="1" t="s">
        <v>682</v>
      </c>
      <c r="I265" s="1" t="s">
        <v>451</v>
      </c>
      <c r="J265" s="1" t="s">
        <v>682</v>
      </c>
      <c r="K265" s="1" t="s">
        <v>54</v>
      </c>
      <c r="L265" s="1" t="s">
        <v>55</v>
      </c>
      <c r="M265" s="1" t="s">
        <v>100</v>
      </c>
      <c r="N265" s="1" t="s">
        <v>57</v>
      </c>
      <c r="O265" s="1" t="s">
        <v>714</v>
      </c>
      <c r="P265" s="1" t="s">
        <v>715</v>
      </c>
      <c r="Q265" s="1" t="s">
        <v>127</v>
      </c>
      <c r="R265" s="1" t="s">
        <v>61</v>
      </c>
      <c r="S265" s="1">
        <v>725</v>
      </c>
      <c r="T265" s="2">
        <f>U265*0.965*0.98</f>
        <v>104666.6043046995</v>
      </c>
      <c r="U265" s="13">
        <v>110676.32896764249</v>
      </c>
      <c r="V265" s="14"/>
      <c r="W265" s="14"/>
      <c r="X265" s="14"/>
      <c r="Y265" s="2">
        <f t="shared" si="74"/>
        <v>123989.99999999996</v>
      </c>
      <c r="Z265" s="1">
        <v>123990</v>
      </c>
      <c r="AA265" s="5"/>
      <c r="AB265" s="5"/>
      <c r="AC265" s="14">
        <v>123990</v>
      </c>
      <c r="AD265" s="5">
        <f t="shared" si="69"/>
        <v>-3.4036683076519083E-11</v>
      </c>
      <c r="AF265" s="5">
        <f t="shared" si="70"/>
        <v>0</v>
      </c>
      <c r="AH265" s="14"/>
      <c r="AI265" s="14"/>
      <c r="AL265" s="5"/>
      <c r="AM265" s="5">
        <v>118990.00000000001</v>
      </c>
      <c r="AN265" s="5">
        <f t="shared" si="64"/>
        <v>4999.9999999999418</v>
      </c>
      <c r="AO265" s="5"/>
      <c r="AP265" s="5">
        <f t="shared" ref="AP265:AP289" si="75">U265-AL265</f>
        <v>110676.32896764249</v>
      </c>
      <c r="AQ265" s="20"/>
      <c r="AR265" s="22"/>
      <c r="AT265" s="3">
        <v>0</v>
      </c>
      <c r="AV265" s="5">
        <f t="shared" si="71"/>
        <v>0</v>
      </c>
      <c r="AX265" s="38">
        <f t="shared" si="65"/>
        <v>0</v>
      </c>
      <c r="BA265" s="3">
        <v>0</v>
      </c>
      <c r="BB265" s="3">
        <v>0</v>
      </c>
      <c r="BC265" s="3">
        <v>2</v>
      </c>
      <c r="BD265" s="3">
        <f t="shared" si="72"/>
        <v>2</v>
      </c>
      <c r="BE265" s="3">
        <v>9</v>
      </c>
      <c r="BF265" s="3">
        <v>6</v>
      </c>
      <c r="BH265" s="3">
        <f t="shared" si="73"/>
        <v>4</v>
      </c>
      <c r="BJ265" s="38">
        <f t="shared" si="66"/>
        <v>0</v>
      </c>
      <c r="BL265" s="3">
        <f t="shared" si="67"/>
        <v>130598.06818181813</v>
      </c>
    </row>
    <row r="266" spans="1:64" x14ac:dyDescent="0.35">
      <c r="A266" s="4" t="s">
        <v>716</v>
      </c>
      <c r="B266" s="1" t="str">
        <f t="shared" si="68"/>
        <v>Premium</v>
      </c>
      <c r="C266" s="1" t="s">
        <v>46</v>
      </c>
      <c r="D266" s="1" t="s">
        <v>353</v>
      </c>
      <c r="E266" s="1" t="s">
        <v>81</v>
      </c>
      <c r="F266" s="1" t="s">
        <v>717</v>
      </c>
      <c r="G266" s="1" t="s">
        <v>718</v>
      </c>
      <c r="H266" s="1" t="s">
        <v>67</v>
      </c>
      <c r="I266" s="1" t="s">
        <v>68</v>
      </c>
      <c r="J266" s="1" t="s">
        <v>69</v>
      </c>
      <c r="K266" s="24" t="s">
        <v>54</v>
      </c>
      <c r="L266" s="24" t="s">
        <v>55</v>
      </c>
      <c r="M266" s="1" t="s">
        <v>100</v>
      </c>
      <c r="N266" s="1" t="s">
        <v>200</v>
      </c>
      <c r="O266" s="1" t="s">
        <v>719</v>
      </c>
      <c r="P266" s="1" t="s">
        <v>720</v>
      </c>
      <c r="Q266" s="1" t="s">
        <v>703</v>
      </c>
      <c r="R266" s="1" t="s">
        <v>61</v>
      </c>
      <c r="S266" s="1">
        <v>1881</v>
      </c>
      <c r="T266" s="2">
        <f>U266*0.965*0.98</f>
        <v>129825.37542372881</v>
      </c>
      <c r="U266" s="13">
        <v>137279.66101694916</v>
      </c>
      <c r="V266" s="13">
        <v>0</v>
      </c>
      <c r="W266" s="13">
        <v>21474</v>
      </c>
      <c r="X266" s="13"/>
      <c r="Y266" s="2">
        <f t="shared" si="74"/>
        <v>124991.63043478262</v>
      </c>
      <c r="Z266" s="1">
        <v>124990</v>
      </c>
      <c r="AA266" s="5"/>
      <c r="AB266" s="5"/>
      <c r="AC266" s="14">
        <v>124990</v>
      </c>
      <c r="AD266" s="5">
        <f t="shared" si="69"/>
        <v>1.2711864406888185</v>
      </c>
      <c r="AE266" s="5"/>
      <c r="AF266" s="5">
        <f t="shared" si="70"/>
        <v>21474</v>
      </c>
      <c r="AG266" s="5"/>
      <c r="AH266" s="13">
        <v>0</v>
      </c>
      <c r="AI266" s="13">
        <v>21474.491525423742</v>
      </c>
      <c r="AJ266" s="5"/>
      <c r="AL266" s="5"/>
      <c r="AM266" s="5">
        <v>124991</v>
      </c>
      <c r="AN266" s="5">
        <f t="shared" si="64"/>
        <v>0.63043478262261488</v>
      </c>
      <c r="AO266" s="5"/>
      <c r="AP266" s="5">
        <f t="shared" si="75"/>
        <v>137279.66101694916</v>
      </c>
      <c r="AQ266" s="20">
        <v>0</v>
      </c>
      <c r="AR266" s="20">
        <v>21474.491525423742</v>
      </c>
      <c r="AT266" s="3">
        <v>0</v>
      </c>
      <c r="AV266" s="5">
        <f t="shared" si="71"/>
        <v>0</v>
      </c>
      <c r="AX266" s="38">
        <f t="shared" si="65"/>
        <v>0</v>
      </c>
      <c r="BA266" s="3">
        <v>0</v>
      </c>
      <c r="BB266" s="3">
        <v>0</v>
      </c>
      <c r="BC266" s="3">
        <v>0</v>
      </c>
      <c r="BD266" s="3">
        <f t="shared" si="72"/>
        <v>0</v>
      </c>
      <c r="BE266" s="3">
        <v>0</v>
      </c>
      <c r="BF266" s="3">
        <v>0</v>
      </c>
      <c r="BH266" s="3">
        <f t="shared" si="73"/>
        <v>0</v>
      </c>
      <c r="BJ266" s="38">
        <f t="shared" si="66"/>
        <v>0</v>
      </c>
      <c r="BL266" s="3">
        <f t="shared" si="67"/>
        <v>161990</v>
      </c>
    </row>
    <row r="267" spans="1:64" x14ac:dyDescent="0.35">
      <c r="A267" s="1" t="s">
        <v>721</v>
      </c>
      <c r="B267" s="1" t="str">
        <f t="shared" si="68"/>
        <v>Premium</v>
      </c>
      <c r="C267" s="1" t="s">
        <v>46</v>
      </c>
      <c r="D267" s="1" t="s">
        <v>722</v>
      </c>
      <c r="E267" s="1" t="s">
        <v>48</v>
      </c>
      <c r="F267" s="1" t="s">
        <v>723</v>
      </c>
      <c r="G267" s="1" t="s">
        <v>724</v>
      </c>
      <c r="H267" s="1" t="s">
        <v>67</v>
      </c>
      <c r="I267" s="1" t="s">
        <v>662</v>
      </c>
      <c r="J267" s="1" t="s">
        <v>725</v>
      </c>
      <c r="K267" s="1" t="s">
        <v>54</v>
      </c>
      <c r="L267" s="1" t="s">
        <v>55</v>
      </c>
      <c r="M267" s="1" t="s">
        <v>100</v>
      </c>
      <c r="N267" s="1" t="s">
        <v>57</v>
      </c>
      <c r="O267" s="1" t="s">
        <v>182</v>
      </c>
      <c r="P267" s="1" t="s">
        <v>726</v>
      </c>
      <c r="Q267" s="4" t="s">
        <v>248</v>
      </c>
      <c r="R267" s="27" t="s">
        <v>61</v>
      </c>
      <c r="S267" s="1">
        <v>2457</v>
      </c>
      <c r="T267" s="2">
        <f t="shared" ref="T267:T273" si="76">U267*0.965*0.98</f>
        <v>109460.45814907539</v>
      </c>
      <c r="U267" s="13">
        <v>115745.43528505381</v>
      </c>
      <c r="V267" s="14"/>
      <c r="W267" s="13">
        <v>0</v>
      </c>
      <c r="X267" s="13"/>
      <c r="Y267" s="2">
        <f t="shared" si="74"/>
        <v>127489.99999999985</v>
      </c>
      <c r="Z267" s="1">
        <v>127490</v>
      </c>
      <c r="AA267" s="5"/>
      <c r="AB267" s="5"/>
      <c r="AC267" s="14">
        <v>127490</v>
      </c>
      <c r="AD267" s="5">
        <f t="shared" si="69"/>
        <v>-1.134556102550636E-10</v>
      </c>
      <c r="AF267" s="5">
        <f t="shared" si="70"/>
        <v>0</v>
      </c>
      <c r="AH267" s="14"/>
      <c r="AI267" s="14"/>
      <c r="AL267" s="5"/>
      <c r="AM267" s="5">
        <v>127489.99999999985</v>
      </c>
      <c r="AN267" s="5">
        <f t="shared" si="64"/>
        <v>0</v>
      </c>
      <c r="AO267" s="5"/>
      <c r="AP267" s="5">
        <f t="shared" si="75"/>
        <v>115745.43528505381</v>
      </c>
      <c r="AQ267" s="20"/>
      <c r="AR267" s="22"/>
      <c r="AT267" s="3">
        <v>0</v>
      </c>
      <c r="AV267" s="5">
        <f t="shared" si="71"/>
        <v>0</v>
      </c>
      <c r="AX267" s="38">
        <f t="shared" si="65"/>
        <v>0</v>
      </c>
      <c r="BA267" s="3">
        <v>0</v>
      </c>
      <c r="BB267" s="3">
        <v>0</v>
      </c>
      <c r="BC267" s="3">
        <v>0</v>
      </c>
      <c r="BD267" s="3">
        <f t="shared" si="72"/>
        <v>0</v>
      </c>
      <c r="BE267" s="3">
        <v>580</v>
      </c>
      <c r="BF267" s="3">
        <v>6</v>
      </c>
      <c r="BH267" s="3">
        <f t="shared" si="73"/>
        <v>0</v>
      </c>
      <c r="BJ267" s="38">
        <f t="shared" si="66"/>
        <v>0</v>
      </c>
      <c r="BL267" s="3">
        <f t="shared" si="67"/>
        <v>136579.6136363635</v>
      </c>
    </row>
    <row r="268" spans="1:64" x14ac:dyDescent="0.35">
      <c r="A268" s="1" t="s">
        <v>727</v>
      </c>
      <c r="B268" s="1" t="str">
        <f t="shared" si="68"/>
        <v>Premium</v>
      </c>
      <c r="C268" s="1" t="s">
        <v>46</v>
      </c>
      <c r="D268" s="1" t="s">
        <v>728</v>
      </c>
      <c r="E268" s="1" t="s">
        <v>48</v>
      </c>
      <c r="F268" s="1" t="s">
        <v>397</v>
      </c>
      <c r="G268" s="1" t="s">
        <v>729</v>
      </c>
      <c r="H268" s="1" t="s">
        <v>373</v>
      </c>
      <c r="I268" s="1" t="s">
        <v>662</v>
      </c>
      <c r="J268" s="1" t="s">
        <v>730</v>
      </c>
      <c r="K268" s="1" t="s">
        <v>227</v>
      </c>
      <c r="L268" s="1" t="s">
        <v>55</v>
      </c>
      <c r="M268" s="1" t="s">
        <v>100</v>
      </c>
      <c r="N268" s="1" t="s">
        <v>57</v>
      </c>
      <c r="O268" s="1" t="s">
        <v>400</v>
      </c>
      <c r="P268" s="1" t="s">
        <v>731</v>
      </c>
      <c r="Q268" s="4" t="s">
        <v>248</v>
      </c>
      <c r="R268" s="8" t="s">
        <v>61</v>
      </c>
      <c r="S268" s="1">
        <v>2457</v>
      </c>
      <c r="T268" s="2">
        <f t="shared" si="76"/>
        <v>272845.06908898294</v>
      </c>
      <c r="U268" s="13">
        <v>288511.22881355917</v>
      </c>
      <c r="V268" s="14">
        <v>0</v>
      </c>
      <c r="W268" s="13">
        <v>0</v>
      </c>
      <c r="X268" s="13"/>
      <c r="Y268" s="2">
        <f t="shared" si="74"/>
        <v>322489.99999999977</v>
      </c>
      <c r="Z268" s="1">
        <v>322490</v>
      </c>
      <c r="AA268" s="5"/>
      <c r="AB268" s="5"/>
      <c r="AC268" s="14">
        <v>322490</v>
      </c>
      <c r="AD268" s="5">
        <f t="shared" si="69"/>
        <v>-1.8152897640810178E-10</v>
      </c>
      <c r="AF268" s="5">
        <f t="shared" si="70"/>
        <v>0</v>
      </c>
      <c r="AH268" s="14">
        <v>0</v>
      </c>
      <c r="AI268" s="14"/>
      <c r="AL268" s="5"/>
      <c r="AM268" s="5">
        <v>322489.99999999977</v>
      </c>
      <c r="AN268" s="5">
        <f t="shared" si="64"/>
        <v>0</v>
      </c>
      <c r="AO268" s="5"/>
      <c r="AP268" s="5">
        <f t="shared" si="75"/>
        <v>288511.22881355917</v>
      </c>
      <c r="AQ268" s="20">
        <v>0</v>
      </c>
      <c r="AR268" s="22"/>
      <c r="AT268" s="3">
        <v>0</v>
      </c>
      <c r="AV268" s="5">
        <f t="shared" si="71"/>
        <v>0</v>
      </c>
      <c r="AX268" s="38">
        <f t="shared" si="65"/>
        <v>0</v>
      </c>
      <c r="BA268" s="3">
        <v>0</v>
      </c>
      <c r="BB268" s="3">
        <v>0</v>
      </c>
      <c r="BC268" s="3">
        <v>0</v>
      </c>
      <c r="BD268" s="3">
        <f t="shared" si="72"/>
        <v>0</v>
      </c>
      <c r="BE268" s="3">
        <v>6</v>
      </c>
      <c r="BF268" s="3">
        <v>4</v>
      </c>
      <c r="BH268" s="3">
        <f t="shared" si="73"/>
        <v>0</v>
      </c>
      <c r="BJ268" s="38">
        <f t="shared" si="66"/>
        <v>0</v>
      </c>
      <c r="BL268" s="3">
        <f t="shared" si="67"/>
        <v>340443.24999999983</v>
      </c>
    </row>
    <row r="269" spans="1:64" x14ac:dyDescent="0.35">
      <c r="A269" s="1" t="s">
        <v>732</v>
      </c>
      <c r="B269" s="1" t="str">
        <f t="shared" si="68"/>
        <v>Premium</v>
      </c>
      <c r="C269" s="1" t="s">
        <v>46</v>
      </c>
      <c r="D269" s="1" t="s">
        <v>733</v>
      </c>
      <c r="E269" s="1" t="s">
        <v>48</v>
      </c>
      <c r="F269" s="1" t="s">
        <v>397</v>
      </c>
      <c r="G269" s="1" t="s">
        <v>729</v>
      </c>
      <c r="H269" s="1" t="s">
        <v>373</v>
      </c>
      <c r="I269" s="1" t="s">
        <v>662</v>
      </c>
      <c r="J269" s="1" t="s">
        <v>730</v>
      </c>
      <c r="K269" s="1" t="s">
        <v>227</v>
      </c>
      <c r="L269" s="1" t="s">
        <v>55</v>
      </c>
      <c r="M269" s="1" t="s">
        <v>100</v>
      </c>
      <c r="N269" s="1" t="s">
        <v>57</v>
      </c>
      <c r="O269" s="1" t="s">
        <v>403</v>
      </c>
      <c r="P269" s="1" t="s">
        <v>731</v>
      </c>
      <c r="Q269" s="4" t="s">
        <v>248</v>
      </c>
      <c r="R269" s="8" t="s">
        <v>61</v>
      </c>
      <c r="S269" s="1">
        <v>2457</v>
      </c>
      <c r="T269" s="2">
        <f t="shared" si="76"/>
        <v>314738.55907357478</v>
      </c>
      <c r="U269" s="13">
        <v>332810.15023112489</v>
      </c>
      <c r="V269" s="14">
        <v>0</v>
      </c>
      <c r="W269" s="13">
        <v>0</v>
      </c>
      <c r="X269" s="13"/>
      <c r="Y269" s="2">
        <f t="shared" si="74"/>
        <v>372490.00000000006</v>
      </c>
      <c r="Z269" s="1">
        <v>372490</v>
      </c>
      <c r="AA269" s="5"/>
      <c r="AB269" s="5"/>
      <c r="AC269" s="14">
        <v>372490</v>
      </c>
      <c r="AD269" s="5">
        <f t="shared" si="69"/>
        <v>4.5382244102025444E-11</v>
      </c>
      <c r="AF269" s="5">
        <f t="shared" si="70"/>
        <v>0</v>
      </c>
      <c r="AH269" s="14">
        <v>0</v>
      </c>
      <c r="AI269" s="14"/>
      <c r="AL269" s="5"/>
      <c r="AM269" s="5">
        <v>372490.00000000006</v>
      </c>
      <c r="AN269" s="5">
        <f t="shared" si="64"/>
        <v>0</v>
      </c>
      <c r="AO269" s="5"/>
      <c r="AP269" s="5">
        <f t="shared" si="75"/>
        <v>332810.15023112489</v>
      </c>
      <c r="AQ269" s="20">
        <v>0</v>
      </c>
      <c r="AR269" s="22"/>
      <c r="AT269" s="3">
        <v>0</v>
      </c>
      <c r="AV269" s="5">
        <f t="shared" si="71"/>
        <v>0</v>
      </c>
      <c r="AX269" s="38">
        <f t="shared" si="65"/>
        <v>0</v>
      </c>
      <c r="BA269" s="3">
        <v>0</v>
      </c>
      <c r="BB269" s="3">
        <v>0</v>
      </c>
      <c r="BC269" s="3">
        <v>1</v>
      </c>
      <c r="BD269" s="3">
        <f t="shared" si="72"/>
        <v>1</v>
      </c>
      <c r="BE269" s="3">
        <v>27</v>
      </c>
      <c r="BF269" s="3">
        <v>19</v>
      </c>
      <c r="BH269" s="3">
        <f t="shared" si="73"/>
        <v>2</v>
      </c>
      <c r="BJ269" s="38">
        <f t="shared" si="66"/>
        <v>0</v>
      </c>
      <c r="BL269" s="3">
        <f t="shared" si="67"/>
        <v>392715.97727272735</v>
      </c>
    </row>
    <row r="270" spans="1:64" x14ac:dyDescent="0.35">
      <c r="A270" s="1" t="s">
        <v>734</v>
      </c>
      <c r="B270" s="1" t="str">
        <f t="shared" si="68"/>
        <v>Premium</v>
      </c>
      <c r="C270" s="1" t="s">
        <v>46</v>
      </c>
      <c r="D270" s="1" t="s">
        <v>735</v>
      </c>
      <c r="E270" s="1" t="s">
        <v>48</v>
      </c>
      <c r="F270" s="1" t="s">
        <v>736</v>
      </c>
      <c r="G270" s="1" t="s">
        <v>737</v>
      </c>
      <c r="H270" s="1" t="s">
        <v>67</v>
      </c>
      <c r="I270" s="1" t="s">
        <v>662</v>
      </c>
      <c r="J270" s="1" t="s">
        <v>725</v>
      </c>
      <c r="K270" s="1" t="s">
        <v>54</v>
      </c>
      <c r="L270" s="1" t="s">
        <v>55</v>
      </c>
      <c r="M270" s="1" t="s">
        <v>100</v>
      </c>
      <c r="N270" s="1" t="s">
        <v>57</v>
      </c>
      <c r="O270" s="1" t="s">
        <v>156</v>
      </c>
      <c r="P270" s="1" t="s">
        <v>731</v>
      </c>
      <c r="Q270" s="4" t="s">
        <v>248</v>
      </c>
      <c r="R270" s="8" t="s">
        <v>61</v>
      </c>
      <c r="S270" s="1">
        <v>2457</v>
      </c>
      <c r="T270" s="2">
        <f t="shared" si="76"/>
        <v>132501.87764060101</v>
      </c>
      <c r="U270" s="13">
        <v>140109.84206471502</v>
      </c>
      <c r="V270" s="14">
        <v>0</v>
      </c>
      <c r="W270" s="13">
        <v>0</v>
      </c>
      <c r="X270" s="13"/>
      <c r="Y270" s="2">
        <f t="shared" si="74"/>
        <v>154990.00000000009</v>
      </c>
      <c r="Z270" s="1">
        <v>154990</v>
      </c>
      <c r="AA270" s="5"/>
      <c r="AB270" s="5"/>
      <c r="AC270" s="14">
        <v>154990</v>
      </c>
      <c r="AD270" s="5">
        <f t="shared" si="69"/>
        <v>6.8073366153038167E-11</v>
      </c>
      <c r="AF270" s="5">
        <f t="shared" si="70"/>
        <v>0</v>
      </c>
      <c r="AH270" s="14">
        <v>0</v>
      </c>
      <c r="AI270" s="14"/>
      <c r="AL270" s="5"/>
      <c r="AM270" s="5">
        <v>154990.00000000009</v>
      </c>
      <c r="AN270" s="5">
        <f t="shared" si="64"/>
        <v>0</v>
      </c>
      <c r="AO270" s="5"/>
      <c r="AP270" s="5">
        <f t="shared" si="75"/>
        <v>140109.84206471502</v>
      </c>
      <c r="AQ270" s="20">
        <v>0</v>
      </c>
      <c r="AR270" s="22"/>
      <c r="AT270" s="3">
        <v>0</v>
      </c>
      <c r="AV270" s="5">
        <f t="shared" si="71"/>
        <v>0</v>
      </c>
      <c r="AX270" s="38">
        <f t="shared" si="65"/>
        <v>0</v>
      </c>
      <c r="BA270" s="3">
        <v>0</v>
      </c>
      <c r="BB270" s="3">
        <v>0</v>
      </c>
      <c r="BC270" s="3">
        <v>0</v>
      </c>
      <c r="BD270" s="3">
        <f t="shared" si="72"/>
        <v>0</v>
      </c>
      <c r="BE270" s="3">
        <v>564</v>
      </c>
      <c r="BF270" s="3">
        <v>526</v>
      </c>
      <c r="BH270" s="3">
        <f t="shared" si="73"/>
        <v>0</v>
      </c>
      <c r="BJ270" s="38">
        <f t="shared" si="66"/>
        <v>0</v>
      </c>
      <c r="BL270" s="3">
        <f t="shared" si="67"/>
        <v>165329.61363636371</v>
      </c>
    </row>
    <row r="271" spans="1:64" x14ac:dyDescent="0.35">
      <c r="A271" s="1" t="s">
        <v>738</v>
      </c>
      <c r="B271" s="1" t="str">
        <f t="shared" si="68"/>
        <v>Premium</v>
      </c>
      <c r="C271" s="1" t="s">
        <v>46</v>
      </c>
      <c r="D271" s="1" t="s">
        <v>739</v>
      </c>
      <c r="E271" s="1" t="s">
        <v>48</v>
      </c>
      <c r="F271" s="1" t="s">
        <v>736</v>
      </c>
      <c r="G271" s="1" t="s">
        <v>737</v>
      </c>
      <c r="H271" s="1" t="s">
        <v>373</v>
      </c>
      <c r="I271" s="1" t="s">
        <v>662</v>
      </c>
      <c r="J271" s="1" t="s">
        <v>730</v>
      </c>
      <c r="K271" s="1" t="s">
        <v>227</v>
      </c>
      <c r="L271" s="1" t="s">
        <v>55</v>
      </c>
      <c r="M271" s="1" t="s">
        <v>100</v>
      </c>
      <c r="N271" s="1" t="s">
        <v>57</v>
      </c>
      <c r="O271" s="1" t="s">
        <v>391</v>
      </c>
      <c r="P271" s="1" t="s">
        <v>731</v>
      </c>
      <c r="Q271" s="4" t="s">
        <v>248</v>
      </c>
      <c r="R271" s="8" t="s">
        <v>61</v>
      </c>
      <c r="S271" s="1">
        <v>2457</v>
      </c>
      <c r="T271" s="2">
        <f t="shared" si="76"/>
        <v>168111.34412750378</v>
      </c>
      <c r="U271" s="13">
        <v>177763.92526964555</v>
      </c>
      <c r="V271" s="14">
        <v>0</v>
      </c>
      <c r="W271" s="13">
        <v>0</v>
      </c>
      <c r="X271" s="13"/>
      <c r="Y271" s="2">
        <f t="shared" si="74"/>
        <v>197489.99999999991</v>
      </c>
      <c r="Z271" s="1">
        <v>197490</v>
      </c>
      <c r="AA271" s="5"/>
      <c r="AB271" s="5"/>
      <c r="AC271" s="14">
        <v>197490</v>
      </c>
      <c r="AD271" s="5">
        <f t="shared" si="69"/>
        <v>-6.8073366153038167E-11</v>
      </c>
      <c r="AF271" s="5">
        <f t="shared" si="70"/>
        <v>0</v>
      </c>
      <c r="AH271" s="14">
        <v>0</v>
      </c>
      <c r="AI271" s="14"/>
      <c r="AL271" s="5"/>
      <c r="AM271" s="5">
        <v>197489.99999999991</v>
      </c>
      <c r="AN271" s="5">
        <f t="shared" si="64"/>
        <v>0</v>
      </c>
      <c r="AO271" s="5"/>
      <c r="AP271" s="5">
        <f t="shared" si="75"/>
        <v>177763.92526964555</v>
      </c>
      <c r="AQ271" s="20">
        <v>0</v>
      </c>
      <c r="AR271" s="22"/>
      <c r="AT271" s="3">
        <v>0</v>
      </c>
      <c r="AV271" s="5">
        <f t="shared" si="71"/>
        <v>0</v>
      </c>
      <c r="AX271" s="38">
        <f t="shared" si="65"/>
        <v>0</v>
      </c>
      <c r="BA271" s="3">
        <v>0</v>
      </c>
      <c r="BB271" s="3">
        <v>0</v>
      </c>
      <c r="BC271" s="3">
        <v>1</v>
      </c>
      <c r="BD271" s="3">
        <f t="shared" si="72"/>
        <v>1</v>
      </c>
      <c r="BE271" s="3">
        <v>142</v>
      </c>
      <c r="BF271" s="3">
        <v>4</v>
      </c>
      <c r="BH271" s="3">
        <f t="shared" si="73"/>
        <v>2</v>
      </c>
      <c r="BJ271" s="38">
        <f t="shared" si="66"/>
        <v>0</v>
      </c>
      <c r="BL271" s="3">
        <f t="shared" si="67"/>
        <v>209761.43181818174</v>
      </c>
    </row>
    <row r="272" spans="1:64" x14ac:dyDescent="0.35">
      <c r="A272" s="1" t="s">
        <v>740</v>
      </c>
      <c r="B272" s="1" t="str">
        <f t="shared" si="68"/>
        <v>Premium</v>
      </c>
      <c r="C272" s="1" t="s">
        <v>46</v>
      </c>
      <c r="D272" s="1" t="s">
        <v>735</v>
      </c>
      <c r="E272" s="1" t="s">
        <v>48</v>
      </c>
      <c r="F272" s="1" t="s">
        <v>49</v>
      </c>
      <c r="G272" s="1" t="s">
        <v>724</v>
      </c>
      <c r="H272" s="1" t="s">
        <v>67</v>
      </c>
      <c r="I272" s="1" t="s">
        <v>662</v>
      </c>
      <c r="J272" s="1" t="s">
        <v>725</v>
      </c>
      <c r="K272" s="1" t="s">
        <v>54</v>
      </c>
      <c r="L272" s="1" t="s">
        <v>55</v>
      </c>
      <c r="M272" s="1" t="s">
        <v>100</v>
      </c>
      <c r="N272" s="1" t="s">
        <v>57</v>
      </c>
      <c r="O272" s="1" t="s">
        <v>156</v>
      </c>
      <c r="P272" s="1" t="s">
        <v>726</v>
      </c>
      <c r="Q272" s="4" t="s">
        <v>248</v>
      </c>
      <c r="R272" s="8" t="s">
        <v>61</v>
      </c>
      <c r="S272" s="1">
        <v>2457</v>
      </c>
      <c r="T272" s="2">
        <f t="shared" si="76"/>
        <v>124123.17964368266</v>
      </c>
      <c r="U272" s="13">
        <v>131250.05778120193</v>
      </c>
      <c r="V272" s="14">
        <v>0</v>
      </c>
      <c r="W272" s="13">
        <v>0</v>
      </c>
      <c r="X272" s="13"/>
      <c r="Y272" s="2">
        <f t="shared" si="74"/>
        <v>144990.00000000009</v>
      </c>
      <c r="Z272" s="1">
        <v>144990</v>
      </c>
      <c r="AA272" s="5"/>
      <c r="AB272" s="5"/>
      <c r="AC272" s="14">
        <v>144990</v>
      </c>
      <c r="AD272" s="5">
        <f t="shared" si="69"/>
        <v>6.8073366153038167E-11</v>
      </c>
      <c r="AF272" s="5">
        <f t="shared" si="70"/>
        <v>0</v>
      </c>
      <c r="AH272" s="14">
        <v>0</v>
      </c>
      <c r="AI272" s="14"/>
      <c r="AL272" s="5"/>
      <c r="AM272" s="5">
        <v>144990.00000000009</v>
      </c>
      <c r="AN272" s="5">
        <f t="shared" si="64"/>
        <v>0</v>
      </c>
      <c r="AO272" s="5"/>
      <c r="AP272" s="5">
        <f t="shared" si="75"/>
        <v>131250.05778120193</v>
      </c>
      <c r="AQ272" s="20">
        <v>0</v>
      </c>
      <c r="AR272" s="22"/>
      <c r="AT272" s="3">
        <v>0</v>
      </c>
      <c r="AV272" s="5">
        <f t="shared" si="71"/>
        <v>0</v>
      </c>
      <c r="AX272" s="38">
        <f t="shared" si="65"/>
        <v>0</v>
      </c>
      <c r="BA272" s="3">
        <v>0</v>
      </c>
      <c r="BB272" s="3">
        <v>0</v>
      </c>
      <c r="BC272" s="3">
        <v>5</v>
      </c>
      <c r="BD272" s="3">
        <f t="shared" si="72"/>
        <v>5</v>
      </c>
      <c r="BE272" s="3">
        <v>450</v>
      </c>
      <c r="BF272" s="3">
        <v>252</v>
      </c>
      <c r="BH272" s="3">
        <f t="shared" si="73"/>
        <v>10</v>
      </c>
      <c r="BJ272" s="38">
        <f t="shared" si="66"/>
        <v>0</v>
      </c>
      <c r="BL272" s="3">
        <f t="shared" si="67"/>
        <v>154875.06818181826</v>
      </c>
    </row>
    <row r="273" spans="1:64" x14ac:dyDescent="0.35">
      <c r="A273" s="1" t="s">
        <v>741</v>
      </c>
      <c r="B273" s="1" t="str">
        <f t="shared" si="68"/>
        <v>Premium</v>
      </c>
      <c r="C273" s="1" t="s">
        <v>46</v>
      </c>
      <c r="D273" s="1" t="s">
        <v>735</v>
      </c>
      <c r="E273" s="1" t="s">
        <v>48</v>
      </c>
      <c r="F273" s="1" t="s">
        <v>49</v>
      </c>
      <c r="G273" s="1" t="s">
        <v>724</v>
      </c>
      <c r="H273" s="1" t="s">
        <v>67</v>
      </c>
      <c r="I273" s="1" t="s">
        <v>662</v>
      </c>
      <c r="J273" s="1" t="s">
        <v>725</v>
      </c>
      <c r="K273" s="1" t="s">
        <v>54</v>
      </c>
      <c r="L273" s="1" t="s">
        <v>55</v>
      </c>
      <c r="M273" s="1" t="s">
        <v>100</v>
      </c>
      <c r="N273" s="1" t="s">
        <v>57</v>
      </c>
      <c r="O273" s="1" t="s">
        <v>391</v>
      </c>
      <c r="P273" s="1" t="s">
        <v>726</v>
      </c>
      <c r="Q273" s="4" t="s">
        <v>248</v>
      </c>
      <c r="R273" s="8" t="s">
        <v>61</v>
      </c>
      <c r="S273" s="1">
        <v>2457</v>
      </c>
      <c r="T273" s="2">
        <f t="shared" si="76"/>
        <v>143394.18503659472</v>
      </c>
      <c r="U273" s="13">
        <v>151627.56163328193</v>
      </c>
      <c r="V273" s="14">
        <v>0</v>
      </c>
      <c r="W273" s="13">
        <v>0</v>
      </c>
      <c r="X273" s="13"/>
      <c r="Y273" s="2">
        <f t="shared" si="74"/>
        <v>167989.99999999994</v>
      </c>
      <c r="Z273" s="1">
        <v>167990</v>
      </c>
      <c r="AA273" s="5"/>
      <c r="AB273" s="5"/>
      <c r="AC273" s="14">
        <v>167990</v>
      </c>
      <c r="AD273" s="5">
        <f t="shared" si="69"/>
        <v>-4.5382244102025444E-11</v>
      </c>
      <c r="AF273" s="5">
        <f t="shared" si="70"/>
        <v>0</v>
      </c>
      <c r="AH273" s="14">
        <v>0</v>
      </c>
      <c r="AI273" s="14"/>
      <c r="AL273" s="5"/>
      <c r="AM273" s="5">
        <v>167989.99999999994</v>
      </c>
      <c r="AN273" s="5">
        <f t="shared" si="64"/>
        <v>0</v>
      </c>
      <c r="AO273" s="5"/>
      <c r="AP273" s="5">
        <f t="shared" si="75"/>
        <v>151627.56163328193</v>
      </c>
      <c r="AQ273" s="20">
        <v>0</v>
      </c>
      <c r="AR273" s="22"/>
      <c r="AT273" s="3">
        <v>0</v>
      </c>
      <c r="AV273" s="5">
        <f t="shared" si="71"/>
        <v>0</v>
      </c>
      <c r="AX273" s="38">
        <f t="shared" si="65"/>
        <v>0</v>
      </c>
      <c r="BA273" s="3">
        <v>0</v>
      </c>
      <c r="BB273" s="3">
        <v>0</v>
      </c>
      <c r="BC273" s="3">
        <v>0</v>
      </c>
      <c r="BD273" s="3">
        <f t="shared" si="72"/>
        <v>0</v>
      </c>
      <c r="BE273" s="3">
        <v>70</v>
      </c>
      <c r="BF273" s="3">
        <v>91</v>
      </c>
      <c r="BH273" s="3">
        <f t="shared" si="73"/>
        <v>0</v>
      </c>
      <c r="BJ273" s="38">
        <f t="shared" si="66"/>
        <v>0</v>
      </c>
      <c r="BL273" s="3">
        <f t="shared" si="67"/>
        <v>178920.52272727268</v>
      </c>
    </row>
    <row r="274" spans="1:64" x14ac:dyDescent="0.35">
      <c r="A274" s="1" t="s">
        <v>742</v>
      </c>
      <c r="B274" s="1" t="str">
        <f t="shared" si="68"/>
        <v>Premium</v>
      </c>
      <c r="C274" s="1" t="s">
        <v>46</v>
      </c>
      <c r="D274" s="1" t="s">
        <v>735</v>
      </c>
      <c r="E274" s="1" t="s">
        <v>48</v>
      </c>
      <c r="F274" s="1" t="s">
        <v>97</v>
      </c>
      <c r="G274" s="1" t="s">
        <v>661</v>
      </c>
      <c r="H274" s="1" t="s">
        <v>67</v>
      </c>
      <c r="I274" s="1" t="s">
        <v>662</v>
      </c>
      <c r="J274" s="1" t="s">
        <v>663</v>
      </c>
      <c r="K274" s="1" t="s">
        <v>54</v>
      </c>
      <c r="L274" s="1" t="s">
        <v>55</v>
      </c>
      <c r="M274" s="1" t="s">
        <v>100</v>
      </c>
      <c r="N274" s="1" t="s">
        <v>200</v>
      </c>
      <c r="O274" s="1" t="s">
        <v>156</v>
      </c>
      <c r="P274" s="1" t="s">
        <v>659</v>
      </c>
      <c r="Q274" s="1" t="s">
        <v>743</v>
      </c>
      <c r="R274" s="8" t="s">
        <v>73</v>
      </c>
      <c r="S274" s="4">
        <v>0</v>
      </c>
      <c r="T274" s="18">
        <f>U274*0.98*0.98</f>
        <v>96264.901694915243</v>
      </c>
      <c r="U274" s="13">
        <v>100234.17502594256</v>
      </c>
      <c r="V274" s="35">
        <v>0</v>
      </c>
      <c r="W274" s="13">
        <v>0</v>
      </c>
      <c r="X274" s="13"/>
      <c r="Y274" s="2">
        <f>(U274*0.98-S274-V274-W274-X274)*1.18/0.92</f>
        <v>125989.99999999997</v>
      </c>
      <c r="Z274" s="1">
        <v>125990</v>
      </c>
      <c r="AA274" s="5"/>
      <c r="AB274" s="5"/>
      <c r="AC274" s="14">
        <v>125990</v>
      </c>
      <c r="AD274" s="5">
        <f t="shared" si="69"/>
        <v>-2.2691122051012722E-11</v>
      </c>
      <c r="AF274" s="5">
        <f t="shared" si="70"/>
        <v>0</v>
      </c>
      <c r="AH274" s="35">
        <v>0</v>
      </c>
      <c r="AI274" s="14"/>
      <c r="AL274" s="5"/>
      <c r="AM274" s="5">
        <v>122989.99999999997</v>
      </c>
      <c r="AN274" s="5">
        <f t="shared" si="64"/>
        <v>3000</v>
      </c>
      <c r="AO274" s="5"/>
      <c r="AP274" s="5">
        <f t="shared" si="75"/>
        <v>100234.17502594256</v>
      </c>
      <c r="AQ274" s="20">
        <v>2338.9830508474579</v>
      </c>
      <c r="AR274" s="22"/>
      <c r="AT274" s="3">
        <v>0</v>
      </c>
      <c r="AV274" s="5">
        <f t="shared" si="71"/>
        <v>0</v>
      </c>
      <c r="AX274" s="38">
        <f t="shared" si="65"/>
        <v>0</v>
      </c>
      <c r="BA274" s="3">
        <v>0</v>
      </c>
      <c r="BB274" s="3">
        <v>0</v>
      </c>
      <c r="BC274" s="3">
        <v>0</v>
      </c>
      <c r="BD274" s="3">
        <f t="shared" si="72"/>
        <v>0</v>
      </c>
      <c r="BE274" s="3">
        <v>200</v>
      </c>
      <c r="BF274" s="3">
        <v>0</v>
      </c>
      <c r="BH274" s="3">
        <f t="shared" si="73"/>
        <v>0</v>
      </c>
      <c r="BJ274" s="38">
        <f t="shared" si="66"/>
        <v>0</v>
      </c>
      <c r="BL274" s="3">
        <f t="shared" si="67"/>
        <v>118276.32653061222</v>
      </c>
    </row>
    <row r="275" spans="1:64" x14ac:dyDescent="0.35">
      <c r="A275" s="1" t="s">
        <v>744</v>
      </c>
      <c r="B275" s="1" t="str">
        <f t="shared" si="68"/>
        <v>Premium</v>
      </c>
      <c r="C275" s="1" t="s">
        <v>46</v>
      </c>
      <c r="D275" s="1" t="s">
        <v>745</v>
      </c>
      <c r="E275" s="1" t="s">
        <v>48</v>
      </c>
      <c r="F275" s="1" t="s">
        <v>97</v>
      </c>
      <c r="G275" s="1" t="s">
        <v>661</v>
      </c>
      <c r="H275" s="1" t="s">
        <v>84</v>
      </c>
      <c r="I275" s="4" t="s">
        <v>362</v>
      </c>
      <c r="J275" s="1" t="s">
        <v>665</v>
      </c>
      <c r="K275" s="1" t="s">
        <v>54</v>
      </c>
      <c r="L275" s="1" t="s">
        <v>70</v>
      </c>
      <c r="M275" s="1" t="s">
        <v>100</v>
      </c>
      <c r="N275" s="1" t="s">
        <v>57</v>
      </c>
      <c r="O275" s="1" t="s">
        <v>359</v>
      </c>
      <c r="P275" s="1" t="s">
        <v>659</v>
      </c>
      <c r="Q275" s="1" t="s">
        <v>743</v>
      </c>
      <c r="R275" s="8" t="s">
        <v>73</v>
      </c>
      <c r="S275" s="4">
        <v>0</v>
      </c>
      <c r="T275" s="18">
        <f>U275*0.98*0.98</f>
        <v>60353.715254237271</v>
      </c>
      <c r="U275" s="13">
        <v>62842.269111034228</v>
      </c>
      <c r="V275" s="34">
        <v>2339</v>
      </c>
      <c r="W275" s="13">
        <v>0</v>
      </c>
      <c r="X275" s="13"/>
      <c r="Y275" s="2">
        <f>(U275*0.98-S275-V275-W275-X275)*1.18/0.92</f>
        <v>75989.978260869524</v>
      </c>
      <c r="Z275" s="1">
        <v>75990</v>
      </c>
      <c r="AA275" s="5"/>
      <c r="AB275" s="5"/>
      <c r="AC275" s="14">
        <v>75990</v>
      </c>
      <c r="AD275" s="5">
        <f t="shared" si="69"/>
        <v>-1.6949152574436424E-2</v>
      </c>
      <c r="AF275" s="5">
        <f t="shared" si="70"/>
        <v>0</v>
      </c>
      <c r="AH275" s="34">
        <v>2339</v>
      </c>
      <c r="AI275" s="14"/>
      <c r="AL275" s="5"/>
      <c r="AM275" s="5">
        <v>78989.999999999971</v>
      </c>
      <c r="AN275" s="5">
        <f t="shared" si="64"/>
        <v>-3000.0217391304468</v>
      </c>
      <c r="AO275" s="5"/>
      <c r="AP275" s="5">
        <f t="shared" si="75"/>
        <v>62842.269111034228</v>
      </c>
      <c r="AQ275" s="20">
        <v>0</v>
      </c>
      <c r="AR275" s="22"/>
      <c r="AT275" s="3">
        <v>0</v>
      </c>
      <c r="AV275" s="5">
        <f t="shared" si="71"/>
        <v>0</v>
      </c>
      <c r="AX275" s="38">
        <f t="shared" si="65"/>
        <v>0</v>
      </c>
      <c r="BA275" s="3">
        <v>0</v>
      </c>
      <c r="BB275" s="3">
        <v>0</v>
      </c>
      <c r="BC275" s="3">
        <v>0</v>
      </c>
      <c r="BD275" s="3">
        <f t="shared" si="72"/>
        <v>0</v>
      </c>
      <c r="BE275" s="3">
        <v>300</v>
      </c>
      <c r="BF275" s="3">
        <v>265</v>
      </c>
      <c r="BH275" s="3">
        <f t="shared" si="73"/>
        <v>0</v>
      </c>
      <c r="BJ275" s="38">
        <f t="shared" si="66"/>
        <v>0</v>
      </c>
      <c r="BL275" s="3">
        <f t="shared" si="67"/>
        <v>74153.877551020385</v>
      </c>
    </row>
    <row r="276" spans="1:64" x14ac:dyDescent="0.35">
      <c r="A276" s="1" t="s">
        <v>746</v>
      </c>
      <c r="B276" s="1" t="str">
        <f t="shared" si="68"/>
        <v>Premium</v>
      </c>
      <c r="C276" s="1" t="s">
        <v>46</v>
      </c>
      <c r="D276" s="1" t="s">
        <v>722</v>
      </c>
      <c r="E276" s="1" t="s">
        <v>48</v>
      </c>
      <c r="F276" s="1" t="s">
        <v>97</v>
      </c>
      <c r="G276" s="1" t="s">
        <v>747</v>
      </c>
      <c r="H276" s="1" t="s">
        <v>67</v>
      </c>
      <c r="I276" s="4" t="s">
        <v>362</v>
      </c>
      <c r="J276" s="1" t="s">
        <v>667</v>
      </c>
      <c r="K276" s="1" t="s">
        <v>54</v>
      </c>
      <c r="L276" s="1" t="s">
        <v>70</v>
      </c>
      <c r="M276" s="1" t="s">
        <v>100</v>
      </c>
      <c r="N276" s="1" t="s">
        <v>57</v>
      </c>
      <c r="O276" s="1" t="s">
        <v>359</v>
      </c>
      <c r="P276" s="1" t="s">
        <v>659</v>
      </c>
      <c r="Q276" s="1" t="s">
        <v>743</v>
      </c>
      <c r="R276" s="8" t="s">
        <v>73</v>
      </c>
      <c r="S276" s="4">
        <v>0</v>
      </c>
      <c r="T276" s="18">
        <f>U276*0.98*0.98</f>
        <v>71050.664406779644</v>
      </c>
      <c r="U276" s="13">
        <v>73980.283638879264</v>
      </c>
      <c r="V276" s="35">
        <v>0</v>
      </c>
      <c r="W276" s="13">
        <v>0</v>
      </c>
      <c r="X276" s="13"/>
      <c r="Y276" s="2">
        <f>(U276*0.98-S276-V276-W276-X276)*1.18/0.92</f>
        <v>92989.999999999971</v>
      </c>
      <c r="Z276" s="1">
        <v>92990</v>
      </c>
      <c r="AA276" s="5"/>
      <c r="AB276" s="5"/>
      <c r="AC276" s="14">
        <v>92990</v>
      </c>
      <c r="AD276" s="5">
        <f t="shared" si="69"/>
        <v>-2.2691122051012722E-11</v>
      </c>
      <c r="AF276" s="5">
        <f t="shared" si="70"/>
        <v>0</v>
      </c>
      <c r="AH276" s="35">
        <v>0</v>
      </c>
      <c r="AI276" s="14"/>
      <c r="AL276" s="5"/>
      <c r="AM276" s="5">
        <v>89989.999999999971</v>
      </c>
      <c r="AN276" s="5">
        <f t="shared" si="64"/>
        <v>3000</v>
      </c>
      <c r="AO276" s="5"/>
      <c r="AP276" s="5">
        <f t="shared" si="75"/>
        <v>73980.283638879264</v>
      </c>
      <c r="AQ276" s="20">
        <v>2338.9830508474579</v>
      </c>
      <c r="AR276" s="22"/>
      <c r="AT276" s="3">
        <v>0</v>
      </c>
      <c r="AV276" s="5">
        <f t="shared" si="71"/>
        <v>0</v>
      </c>
      <c r="AX276" s="38">
        <f t="shared" si="65"/>
        <v>0</v>
      </c>
      <c r="BA276" s="3">
        <v>0</v>
      </c>
      <c r="BB276" s="3">
        <v>0</v>
      </c>
      <c r="BC276" s="3">
        <v>0</v>
      </c>
      <c r="BD276" s="3">
        <f t="shared" si="72"/>
        <v>0</v>
      </c>
      <c r="BE276" s="3">
        <v>600</v>
      </c>
      <c r="BF276" s="3">
        <v>202</v>
      </c>
      <c r="BH276" s="3">
        <f t="shared" si="73"/>
        <v>0</v>
      </c>
      <c r="BJ276" s="38">
        <f t="shared" si="66"/>
        <v>0</v>
      </c>
      <c r="BL276" s="3">
        <f t="shared" si="67"/>
        <v>87296.73469387753</v>
      </c>
    </row>
    <row r="277" spans="1:64" x14ac:dyDescent="0.35">
      <c r="A277" s="1" t="s">
        <v>748</v>
      </c>
      <c r="B277" s="1" t="str">
        <f t="shared" si="68"/>
        <v>Premium</v>
      </c>
      <c r="C277" s="1" t="s">
        <v>46</v>
      </c>
      <c r="D277" s="1" t="s">
        <v>722</v>
      </c>
      <c r="E277" s="1" t="s">
        <v>48</v>
      </c>
      <c r="F277" s="1" t="s">
        <v>97</v>
      </c>
      <c r="G277" s="1" t="s">
        <v>661</v>
      </c>
      <c r="H277" s="1" t="s">
        <v>67</v>
      </c>
      <c r="I277" s="4" t="s">
        <v>362</v>
      </c>
      <c r="J277" s="1" t="s">
        <v>667</v>
      </c>
      <c r="K277" s="1" t="s">
        <v>54</v>
      </c>
      <c r="L277" s="1" t="s">
        <v>55</v>
      </c>
      <c r="M277" s="1" t="s">
        <v>100</v>
      </c>
      <c r="N277" s="1" t="s">
        <v>57</v>
      </c>
      <c r="O277" s="1" t="s">
        <v>182</v>
      </c>
      <c r="P277" s="1" t="s">
        <v>659</v>
      </c>
      <c r="Q277" s="1" t="s">
        <v>743</v>
      </c>
      <c r="R277" s="8" t="s">
        <v>73</v>
      </c>
      <c r="S277" s="4">
        <v>0</v>
      </c>
      <c r="T277" s="18">
        <f>U277*0.98*0.98</f>
        <v>83275.749152542412</v>
      </c>
      <c r="U277" s="13">
        <v>86709.443099273645</v>
      </c>
      <c r="V277" s="35">
        <v>3898</v>
      </c>
      <c r="W277" s="13">
        <v>0</v>
      </c>
      <c r="X277" s="13"/>
      <c r="Y277" s="2">
        <f>(U277*0.98-S277-V277-W277-X277)*1.18/0.92</f>
        <v>103990.39130434785</v>
      </c>
      <c r="Z277" s="1">
        <v>103990</v>
      </c>
      <c r="AA277" s="5"/>
      <c r="AB277" s="5"/>
      <c r="AC277" s="14">
        <v>103990</v>
      </c>
      <c r="AD277" s="5">
        <f t="shared" si="69"/>
        <v>0.30508474578392319</v>
      </c>
      <c r="AF277" s="5">
        <f t="shared" si="70"/>
        <v>0</v>
      </c>
      <c r="AH277" s="35">
        <v>3898</v>
      </c>
      <c r="AI277" s="14"/>
      <c r="AL277" s="5"/>
      <c r="AM277" s="5">
        <v>105990.00000000004</v>
      </c>
      <c r="AN277" s="5">
        <f t="shared" si="64"/>
        <v>-1999.6086956521904</v>
      </c>
      <c r="AO277" s="5"/>
      <c r="AP277" s="5">
        <f t="shared" si="75"/>
        <v>86709.443099273645</v>
      </c>
      <c r="AQ277" s="20">
        <v>2338.9830508474579</v>
      </c>
      <c r="AR277" s="22"/>
      <c r="AT277" s="3">
        <v>0</v>
      </c>
      <c r="AV277" s="5">
        <f t="shared" si="71"/>
        <v>0</v>
      </c>
      <c r="AX277" s="38">
        <f t="shared" si="65"/>
        <v>0</v>
      </c>
      <c r="BA277" s="3">
        <v>0</v>
      </c>
      <c r="BB277" s="3">
        <v>0</v>
      </c>
      <c r="BC277" s="3">
        <v>0</v>
      </c>
      <c r="BD277" s="3">
        <f t="shared" si="72"/>
        <v>0</v>
      </c>
      <c r="BE277" s="3">
        <v>480</v>
      </c>
      <c r="BF277" s="3">
        <v>477</v>
      </c>
      <c r="BH277" s="3">
        <f t="shared" si="73"/>
        <v>0</v>
      </c>
      <c r="BJ277" s="38">
        <f t="shared" si="66"/>
        <v>0</v>
      </c>
      <c r="BL277" s="3">
        <f t="shared" si="67"/>
        <v>102317.1428571429</v>
      </c>
    </row>
    <row r="278" spans="1:64" x14ac:dyDescent="0.35">
      <c r="A278" s="1" t="s">
        <v>749</v>
      </c>
      <c r="B278" s="1" t="str">
        <f t="shared" si="68"/>
        <v>Premium</v>
      </c>
      <c r="C278" s="1" t="s">
        <v>46</v>
      </c>
      <c r="D278" s="1" t="s">
        <v>750</v>
      </c>
      <c r="E278" s="1" t="s">
        <v>48</v>
      </c>
      <c r="F278" s="1" t="s">
        <v>371</v>
      </c>
      <c r="G278" s="1" t="s">
        <v>751</v>
      </c>
      <c r="H278" s="1" t="s">
        <v>373</v>
      </c>
      <c r="I278" s="1" t="s">
        <v>662</v>
      </c>
      <c r="J278" s="1" t="s">
        <v>730</v>
      </c>
      <c r="K278" s="1" t="s">
        <v>227</v>
      </c>
      <c r="L278" s="1" t="s">
        <v>55</v>
      </c>
      <c r="M278" s="1" t="s">
        <v>100</v>
      </c>
      <c r="N278" s="1" t="s">
        <v>57</v>
      </c>
      <c r="O278" s="1" t="s">
        <v>391</v>
      </c>
      <c r="P278" s="1" t="s">
        <v>385</v>
      </c>
      <c r="Q278" s="4" t="s">
        <v>248</v>
      </c>
      <c r="R278" s="8" t="s">
        <v>61</v>
      </c>
      <c r="S278" s="1">
        <v>2457</v>
      </c>
      <c r="T278" s="2">
        <f>U278*0.965*0.98</f>
        <v>176490.04212442203</v>
      </c>
      <c r="U278" s="13">
        <v>186623.70955315855</v>
      </c>
      <c r="V278" s="14">
        <v>0</v>
      </c>
      <c r="W278" s="13">
        <v>0</v>
      </c>
      <c r="X278" s="13"/>
      <c r="Y278" s="2">
        <f>(U278*0.88-S278-V278-W278-X278)*1.18/0.92</f>
        <v>207489.99999999983</v>
      </c>
      <c r="Z278" s="1">
        <v>207490</v>
      </c>
      <c r="AA278" s="5"/>
      <c r="AB278" s="5"/>
      <c r="AC278" s="14">
        <v>207490</v>
      </c>
      <c r="AD278" s="5">
        <f t="shared" si="69"/>
        <v>-1.3614673230607633E-10</v>
      </c>
      <c r="AF278" s="5">
        <f t="shared" si="70"/>
        <v>0</v>
      </c>
      <c r="AH278" s="14">
        <v>0</v>
      </c>
      <c r="AI278" s="14"/>
      <c r="AL278" s="5"/>
      <c r="AM278" s="5">
        <v>207489.99999999983</v>
      </c>
      <c r="AN278" s="5">
        <f t="shared" si="64"/>
        <v>0</v>
      </c>
      <c r="AO278" s="5"/>
      <c r="AP278" s="5">
        <f t="shared" si="75"/>
        <v>186623.70955315855</v>
      </c>
      <c r="AQ278" s="20">
        <v>0</v>
      </c>
      <c r="AR278" s="22"/>
      <c r="AT278" s="3">
        <v>0</v>
      </c>
      <c r="AV278" s="5">
        <f t="shared" si="71"/>
        <v>0</v>
      </c>
      <c r="AX278" s="38">
        <f t="shared" si="65"/>
        <v>0</v>
      </c>
      <c r="BA278" s="3">
        <v>0</v>
      </c>
      <c r="BB278" s="3">
        <v>0</v>
      </c>
      <c r="BC278" s="3">
        <v>0</v>
      </c>
      <c r="BD278" s="3">
        <f t="shared" si="72"/>
        <v>0</v>
      </c>
      <c r="BE278" s="3">
        <v>63</v>
      </c>
      <c r="BF278" s="3">
        <v>54</v>
      </c>
      <c r="BH278" s="3">
        <f t="shared" si="73"/>
        <v>0</v>
      </c>
      <c r="BJ278" s="38">
        <f t="shared" si="66"/>
        <v>0</v>
      </c>
      <c r="BL278" s="3">
        <f t="shared" si="67"/>
        <v>220215.97727272709</v>
      </c>
    </row>
    <row r="279" spans="1:64" x14ac:dyDescent="0.35">
      <c r="A279" s="1" t="s">
        <v>752</v>
      </c>
      <c r="B279" s="1" t="str">
        <f t="shared" si="68"/>
        <v>Premium</v>
      </c>
      <c r="C279" s="1" t="s">
        <v>46</v>
      </c>
      <c r="D279" s="1" t="s">
        <v>733</v>
      </c>
      <c r="E279" s="1" t="s">
        <v>48</v>
      </c>
      <c r="F279" s="1" t="s">
        <v>371</v>
      </c>
      <c r="G279" s="1" t="s">
        <v>751</v>
      </c>
      <c r="H279" s="1" t="s">
        <v>373</v>
      </c>
      <c r="I279" s="1" t="s">
        <v>662</v>
      </c>
      <c r="J279" s="1" t="s">
        <v>730</v>
      </c>
      <c r="K279" s="1" t="s">
        <v>54</v>
      </c>
      <c r="L279" s="1" t="s">
        <v>55</v>
      </c>
      <c r="M279" s="1" t="s">
        <v>100</v>
      </c>
      <c r="N279" s="1" t="s">
        <v>57</v>
      </c>
      <c r="O279" s="1" t="s">
        <v>156</v>
      </c>
      <c r="P279" s="1" t="s">
        <v>385</v>
      </c>
      <c r="Q279" s="4" t="s">
        <v>248</v>
      </c>
      <c r="R279" s="8" t="s">
        <v>61</v>
      </c>
      <c r="S279" s="1">
        <v>2457</v>
      </c>
      <c r="T279" s="2">
        <f>U279*0.965*0.98</f>
        <v>149259.2736344377</v>
      </c>
      <c r="U279" s="13">
        <v>157829.41063174128</v>
      </c>
      <c r="V279" s="14">
        <v>0</v>
      </c>
      <c r="W279" s="13">
        <v>0</v>
      </c>
      <c r="X279" s="13"/>
      <c r="Y279" s="2">
        <f>(U279*0.88-S279-V279-W279-X279)*1.18/0.92</f>
        <v>174990.00000000015</v>
      </c>
      <c r="Z279" s="1">
        <v>174990</v>
      </c>
      <c r="AA279" s="5"/>
      <c r="AB279" s="5"/>
      <c r="AC279" s="14">
        <v>174990</v>
      </c>
      <c r="AD279" s="5">
        <f t="shared" si="69"/>
        <v>1.134556102550636E-10</v>
      </c>
      <c r="AF279" s="5">
        <f t="shared" si="70"/>
        <v>0</v>
      </c>
      <c r="AH279" s="14">
        <v>0</v>
      </c>
      <c r="AI279" s="14"/>
      <c r="AL279" s="5"/>
      <c r="AM279" s="5">
        <v>174990.00000000015</v>
      </c>
      <c r="AN279" s="5">
        <f t="shared" si="64"/>
        <v>0</v>
      </c>
      <c r="AO279" s="5"/>
      <c r="AP279" s="5">
        <f t="shared" si="75"/>
        <v>157829.41063174128</v>
      </c>
      <c r="AQ279" s="20">
        <v>0</v>
      </c>
      <c r="AR279" s="22"/>
      <c r="AT279" s="3">
        <v>0</v>
      </c>
      <c r="AV279" s="5">
        <f t="shared" si="71"/>
        <v>0</v>
      </c>
      <c r="AX279" s="38">
        <f t="shared" si="65"/>
        <v>0</v>
      </c>
      <c r="BA279" s="3">
        <v>0</v>
      </c>
      <c r="BB279" s="3">
        <v>0</v>
      </c>
      <c r="BC279" s="3">
        <v>0</v>
      </c>
      <c r="BD279" s="3">
        <f t="shared" si="72"/>
        <v>0</v>
      </c>
      <c r="BE279" s="3">
        <v>242</v>
      </c>
      <c r="BF279" s="3">
        <v>29</v>
      </c>
      <c r="BH279" s="3">
        <f t="shared" si="73"/>
        <v>0</v>
      </c>
      <c r="BJ279" s="38">
        <f t="shared" si="66"/>
        <v>0</v>
      </c>
      <c r="BL279" s="3">
        <f t="shared" si="67"/>
        <v>186238.7045454547</v>
      </c>
    </row>
    <row r="280" spans="1:64" x14ac:dyDescent="0.35">
      <c r="A280" s="1" t="s">
        <v>753</v>
      </c>
      <c r="B280" s="1" t="str">
        <f t="shared" si="68"/>
        <v>Premium</v>
      </c>
      <c r="C280" s="1" t="s">
        <v>46</v>
      </c>
      <c r="D280" s="1" t="s">
        <v>735</v>
      </c>
      <c r="E280" s="1" t="s">
        <v>48</v>
      </c>
      <c r="F280" s="1" t="s">
        <v>371</v>
      </c>
      <c r="G280" s="1" t="s">
        <v>751</v>
      </c>
      <c r="H280" s="1" t="s">
        <v>67</v>
      </c>
      <c r="I280" s="1" t="s">
        <v>662</v>
      </c>
      <c r="J280" s="1" t="s">
        <v>663</v>
      </c>
      <c r="K280" s="1" t="s">
        <v>227</v>
      </c>
      <c r="L280" s="1" t="s">
        <v>55</v>
      </c>
      <c r="M280" s="1" t="s">
        <v>100</v>
      </c>
      <c r="N280" s="1" t="s">
        <v>57</v>
      </c>
      <c r="O280" s="1" t="s">
        <v>391</v>
      </c>
      <c r="P280" s="1" t="s">
        <v>385</v>
      </c>
      <c r="Q280" s="4" t="s">
        <v>248</v>
      </c>
      <c r="R280" s="8" t="s">
        <v>61</v>
      </c>
      <c r="S280" s="1">
        <v>2457</v>
      </c>
      <c r="T280" s="2">
        <f>U280*0.965*0.98</f>
        <v>168111.34412750378</v>
      </c>
      <c r="U280" s="13">
        <v>177763.92526964555</v>
      </c>
      <c r="V280" s="14">
        <v>0</v>
      </c>
      <c r="W280" s="13">
        <v>0</v>
      </c>
      <c r="X280" s="13"/>
      <c r="Y280" s="2">
        <f>(U280*0.88-S280-V280-W280-X280)*1.18/0.92</f>
        <v>197489.99999999991</v>
      </c>
      <c r="Z280" s="1">
        <v>197490</v>
      </c>
      <c r="AA280" s="5"/>
      <c r="AB280" s="5"/>
      <c r="AC280" s="14">
        <v>197490</v>
      </c>
      <c r="AD280" s="5">
        <f t="shared" si="69"/>
        <v>-6.8073366153038167E-11</v>
      </c>
      <c r="AF280" s="5">
        <f t="shared" si="70"/>
        <v>0</v>
      </c>
      <c r="AH280" s="14">
        <v>0</v>
      </c>
      <c r="AI280" s="14"/>
      <c r="AL280" s="5"/>
      <c r="AM280" s="5">
        <v>197489.99999999991</v>
      </c>
      <c r="AN280" s="5">
        <f t="shared" si="64"/>
        <v>0</v>
      </c>
      <c r="AO280" s="5"/>
      <c r="AP280" s="5">
        <f t="shared" si="75"/>
        <v>177763.92526964555</v>
      </c>
      <c r="AQ280" s="20">
        <v>0</v>
      </c>
      <c r="AR280" s="22"/>
      <c r="AT280" s="3">
        <v>0</v>
      </c>
      <c r="AV280" s="5">
        <f t="shared" si="71"/>
        <v>0</v>
      </c>
      <c r="AX280" s="38">
        <f t="shared" si="65"/>
        <v>0</v>
      </c>
      <c r="BA280" s="3">
        <v>0</v>
      </c>
      <c r="BB280" s="3">
        <v>0</v>
      </c>
      <c r="BC280" s="3">
        <v>0</v>
      </c>
      <c r="BD280" s="3">
        <f t="shared" si="72"/>
        <v>0</v>
      </c>
      <c r="BE280" s="3">
        <v>141</v>
      </c>
      <c r="BF280" s="3">
        <v>135</v>
      </c>
      <c r="BH280" s="3">
        <f t="shared" si="73"/>
        <v>0</v>
      </c>
      <c r="BJ280" s="38">
        <f t="shared" si="66"/>
        <v>0</v>
      </c>
      <c r="BL280" s="3">
        <f t="shared" si="67"/>
        <v>209761.43181818174</v>
      </c>
    </row>
    <row r="281" spans="1:64" x14ac:dyDescent="0.35">
      <c r="A281" s="1" t="s">
        <v>754</v>
      </c>
      <c r="B281" s="1" t="str">
        <f t="shared" si="68"/>
        <v>Premium</v>
      </c>
      <c r="C281" s="1" t="s">
        <v>46</v>
      </c>
      <c r="D281" s="1" t="s">
        <v>733</v>
      </c>
      <c r="E281" s="1" t="s">
        <v>48</v>
      </c>
      <c r="F281" s="1" t="s">
        <v>669</v>
      </c>
      <c r="G281" s="1" t="s">
        <v>755</v>
      </c>
      <c r="H281" s="1" t="s">
        <v>373</v>
      </c>
      <c r="I281" s="1" t="s">
        <v>662</v>
      </c>
      <c r="J281" s="1" t="s">
        <v>730</v>
      </c>
      <c r="K281" s="1" t="s">
        <v>756</v>
      </c>
      <c r="L281" s="1" t="s">
        <v>757</v>
      </c>
      <c r="M281" s="1" t="s">
        <v>100</v>
      </c>
      <c r="N281" s="1" t="s">
        <v>57</v>
      </c>
      <c r="O281" s="1" t="s">
        <v>403</v>
      </c>
      <c r="P281" s="1" t="s">
        <v>758</v>
      </c>
      <c r="Q281" s="4" t="s">
        <v>248</v>
      </c>
      <c r="R281" s="8" t="s">
        <v>61</v>
      </c>
      <c r="S281" s="1">
        <v>2457</v>
      </c>
      <c r="T281" s="2">
        <f>U281*0.965*0.98</f>
        <v>388052.16654661018</v>
      </c>
      <c r="U281" s="13">
        <v>410333.26271186443</v>
      </c>
      <c r="V281" s="14">
        <v>0</v>
      </c>
      <c r="W281" s="13">
        <v>0</v>
      </c>
      <c r="X281" s="13"/>
      <c r="Y281" s="2">
        <f>(U281*0.88-S281-V281-W281-X281)*1.18/0.92</f>
        <v>459990.00000000006</v>
      </c>
      <c r="Z281" s="1">
        <v>459990</v>
      </c>
      <c r="AA281" s="5"/>
      <c r="AB281" s="5"/>
      <c r="AC281" s="14">
        <v>459990</v>
      </c>
      <c r="AD281" s="5">
        <f t="shared" si="69"/>
        <v>4.5382244102025444E-11</v>
      </c>
      <c r="AF281" s="5">
        <f t="shared" si="70"/>
        <v>0</v>
      </c>
      <c r="AH281" s="14">
        <v>0</v>
      </c>
      <c r="AI281" s="14"/>
      <c r="AL281" s="5"/>
      <c r="AM281" s="5">
        <v>459990.00000000006</v>
      </c>
      <c r="AN281" s="5">
        <f t="shared" si="64"/>
        <v>0</v>
      </c>
      <c r="AO281" s="5"/>
      <c r="AP281" s="5">
        <f t="shared" si="75"/>
        <v>410333.26271186443</v>
      </c>
      <c r="AQ281" s="20">
        <v>0</v>
      </c>
      <c r="AR281" s="22"/>
      <c r="AT281" s="3">
        <v>0</v>
      </c>
      <c r="AV281" s="5">
        <f t="shared" si="71"/>
        <v>0</v>
      </c>
      <c r="AX281" s="38">
        <f t="shared" si="65"/>
        <v>0</v>
      </c>
      <c r="BA281" s="3">
        <v>0</v>
      </c>
      <c r="BB281" s="3">
        <v>0</v>
      </c>
      <c r="BC281" s="3">
        <v>0</v>
      </c>
      <c r="BD281" s="3">
        <f t="shared" si="72"/>
        <v>0</v>
      </c>
      <c r="BE281" s="3">
        <v>0</v>
      </c>
      <c r="BF281" s="3">
        <v>54</v>
      </c>
      <c r="BH281" s="3">
        <f t="shared" si="73"/>
        <v>0</v>
      </c>
      <c r="BJ281" s="38">
        <f t="shared" si="66"/>
        <v>0</v>
      </c>
      <c r="BL281" s="3">
        <f t="shared" si="67"/>
        <v>484193.25</v>
      </c>
    </row>
    <row r="282" spans="1:64" x14ac:dyDescent="0.35">
      <c r="A282" s="1" t="s">
        <v>759</v>
      </c>
      <c r="B282" s="1" t="str">
        <f t="shared" si="68"/>
        <v>Premium</v>
      </c>
      <c r="C282" s="1" t="s">
        <v>46</v>
      </c>
      <c r="D282" s="1" t="s">
        <v>745</v>
      </c>
      <c r="E282" s="1" t="s">
        <v>48</v>
      </c>
      <c r="F282" s="1" t="s">
        <v>97</v>
      </c>
      <c r="G282" s="1" t="s">
        <v>760</v>
      </c>
      <c r="H282" s="1" t="s">
        <v>84</v>
      </c>
      <c r="I282" s="1" t="s">
        <v>68</v>
      </c>
      <c r="J282" s="1" t="s">
        <v>656</v>
      </c>
      <c r="K282" s="1" t="s">
        <v>54</v>
      </c>
      <c r="L282" s="1" t="s">
        <v>70</v>
      </c>
      <c r="M282" s="1" t="s">
        <v>100</v>
      </c>
      <c r="N282" s="1" t="s">
        <v>57</v>
      </c>
      <c r="O282" s="1" t="s">
        <v>359</v>
      </c>
      <c r="P282" s="1" t="s">
        <v>659</v>
      </c>
      <c r="Q282" s="1" t="s">
        <v>743</v>
      </c>
      <c r="R282" s="8" t="s">
        <v>73</v>
      </c>
      <c r="S282" s="4">
        <v>0</v>
      </c>
      <c r="T282" s="18">
        <f>U282*0.98*0.98</f>
        <v>55769.308474576254</v>
      </c>
      <c r="U282" s="13">
        <v>58068.83431338636</v>
      </c>
      <c r="V282" s="34">
        <v>2339</v>
      </c>
      <c r="W282" s="13">
        <v>0</v>
      </c>
      <c r="X282" s="13"/>
      <c r="Y282" s="2">
        <f>(U282*0.98-S282-V282-W282-X282)*1.18/0.92</f>
        <v>69989.978260869539</v>
      </c>
      <c r="Z282" s="1">
        <v>69990</v>
      </c>
      <c r="AA282" s="5"/>
      <c r="AB282" s="5"/>
      <c r="AC282" s="14">
        <v>69990</v>
      </c>
      <c r="AD282" s="5">
        <f t="shared" si="69"/>
        <v>-1.6949152563090864E-2</v>
      </c>
      <c r="AF282" s="5">
        <f t="shared" si="70"/>
        <v>0</v>
      </c>
      <c r="AH282" s="34">
        <v>2339</v>
      </c>
      <c r="AI282" s="14"/>
      <c r="AL282" s="5"/>
      <c r="AM282" s="5">
        <v>72989.999999999971</v>
      </c>
      <c r="AN282" s="5">
        <f t="shared" si="64"/>
        <v>-3000.0217391304323</v>
      </c>
      <c r="AO282" s="5"/>
      <c r="AP282" s="5">
        <f t="shared" si="75"/>
        <v>58068.83431338636</v>
      </c>
      <c r="AQ282" s="20">
        <v>0</v>
      </c>
      <c r="AR282" s="22"/>
      <c r="AT282" s="3">
        <v>0</v>
      </c>
      <c r="AV282" s="5">
        <f t="shared" si="71"/>
        <v>0</v>
      </c>
      <c r="AX282" s="38">
        <f t="shared" si="65"/>
        <v>0</v>
      </c>
      <c r="BA282" s="3">
        <v>0</v>
      </c>
      <c r="BB282" s="3">
        <v>0</v>
      </c>
      <c r="BC282" s="3">
        <v>0</v>
      </c>
      <c r="BD282" s="3">
        <f t="shared" si="72"/>
        <v>0</v>
      </c>
      <c r="BE282" s="3">
        <v>1000</v>
      </c>
      <c r="BF282" s="3">
        <v>0</v>
      </c>
      <c r="BH282" s="3">
        <f t="shared" si="73"/>
        <v>0</v>
      </c>
      <c r="BJ282" s="38">
        <f t="shared" si="66"/>
        <v>0</v>
      </c>
      <c r="BL282" s="3">
        <f t="shared" si="67"/>
        <v>68521.224489795903</v>
      </c>
    </row>
    <row r="283" spans="1:64" x14ac:dyDescent="0.35">
      <c r="A283" s="1" t="s">
        <v>761</v>
      </c>
      <c r="B283" s="1" t="str">
        <f t="shared" si="68"/>
        <v>Premium</v>
      </c>
      <c r="C283" s="1" t="s">
        <v>46</v>
      </c>
      <c r="D283" s="1" t="s">
        <v>745</v>
      </c>
      <c r="E283" s="1" t="s">
        <v>48</v>
      </c>
      <c r="F283" s="1" t="s">
        <v>97</v>
      </c>
      <c r="G283" s="1" t="s">
        <v>762</v>
      </c>
      <c r="H283" s="1" t="s">
        <v>84</v>
      </c>
      <c r="I283" s="1" t="s">
        <v>68</v>
      </c>
      <c r="J283" s="1" t="s">
        <v>656</v>
      </c>
      <c r="K283" s="1" t="s">
        <v>54</v>
      </c>
      <c r="L283" s="1" t="s">
        <v>70</v>
      </c>
      <c r="M283" s="1" t="s">
        <v>100</v>
      </c>
      <c r="N283" s="1" t="s">
        <v>57</v>
      </c>
      <c r="O283" s="1" t="s">
        <v>182</v>
      </c>
      <c r="P283" s="1" t="s">
        <v>659</v>
      </c>
      <c r="Q283" s="1" t="s">
        <v>743</v>
      </c>
      <c r="R283" s="8" t="s">
        <v>73</v>
      </c>
      <c r="S283" s="4">
        <v>0</v>
      </c>
      <c r="T283" s="18">
        <f>U283*0.98*0.98</f>
        <v>62645.75254237288</v>
      </c>
      <c r="U283" s="13">
        <v>65228.813559322036</v>
      </c>
      <c r="V283" s="13">
        <v>2338.9830508474579</v>
      </c>
      <c r="W283" s="13">
        <v>0</v>
      </c>
      <c r="X283" s="13"/>
      <c r="Y283" s="2">
        <f>(U283*0.98-S283-V283-W283-X283)*1.18/0.92</f>
        <v>78989.782608695634</v>
      </c>
      <c r="Z283" s="1">
        <v>78990</v>
      </c>
      <c r="AA283" s="5"/>
      <c r="AB283" s="5"/>
      <c r="AC283" s="14">
        <v>78990</v>
      </c>
      <c r="AD283" s="5">
        <f t="shared" si="69"/>
        <v>-0.16949152543803411</v>
      </c>
      <c r="AF283" s="5">
        <f t="shared" si="70"/>
        <v>0</v>
      </c>
      <c r="AH283" s="13">
        <v>2338.9830508474579</v>
      </c>
      <c r="AI283" s="14"/>
      <c r="AL283" s="5"/>
      <c r="AM283" s="5">
        <v>78989.782608695634</v>
      </c>
      <c r="AN283" s="5">
        <f t="shared" si="64"/>
        <v>0</v>
      </c>
      <c r="AO283" s="5"/>
      <c r="AP283" s="5">
        <f t="shared" si="75"/>
        <v>65228.813559322036</v>
      </c>
      <c r="AQ283" s="20">
        <v>2338.9830508474579</v>
      </c>
      <c r="AR283" s="22"/>
      <c r="AT283" s="3">
        <v>0</v>
      </c>
      <c r="AV283" s="5">
        <f t="shared" si="71"/>
        <v>0</v>
      </c>
      <c r="AX283" s="38">
        <f t="shared" si="65"/>
        <v>0</v>
      </c>
      <c r="BA283" s="3">
        <v>0</v>
      </c>
      <c r="BB283" s="3">
        <v>0</v>
      </c>
      <c r="BC283" s="3">
        <v>0</v>
      </c>
      <c r="BD283" s="3">
        <f t="shared" si="72"/>
        <v>0</v>
      </c>
      <c r="BE283" s="3">
        <v>0</v>
      </c>
      <c r="BF283" s="3">
        <v>150</v>
      </c>
      <c r="BH283" s="3">
        <f t="shared" si="73"/>
        <v>0</v>
      </c>
      <c r="BJ283" s="38">
        <f t="shared" si="66"/>
        <v>0</v>
      </c>
      <c r="BL283" s="3">
        <f t="shared" si="67"/>
        <v>76970</v>
      </c>
    </row>
    <row r="284" spans="1:64" x14ac:dyDescent="0.35">
      <c r="A284" s="1" t="s">
        <v>763</v>
      </c>
      <c r="B284" s="1" t="str">
        <f t="shared" si="68"/>
        <v>Mainstream</v>
      </c>
      <c r="C284" s="1" t="s">
        <v>46</v>
      </c>
      <c r="D284" s="1" t="s">
        <v>764</v>
      </c>
      <c r="E284" s="1" t="s">
        <v>48</v>
      </c>
      <c r="F284" s="1" t="s">
        <v>97</v>
      </c>
      <c r="G284" s="1" t="s">
        <v>762</v>
      </c>
      <c r="H284" s="1" t="s">
        <v>84</v>
      </c>
      <c r="I284" s="1" t="s">
        <v>68</v>
      </c>
      <c r="J284" s="1" t="s">
        <v>656</v>
      </c>
      <c r="K284" s="1" t="s">
        <v>765</v>
      </c>
      <c r="L284" s="1" t="s">
        <v>70</v>
      </c>
      <c r="M284" s="1" t="s">
        <v>100</v>
      </c>
      <c r="N284" s="1" t="s">
        <v>766</v>
      </c>
      <c r="O284" s="1" t="s">
        <v>102</v>
      </c>
      <c r="P284" s="1" t="s">
        <v>659</v>
      </c>
      <c r="Q284" s="1" t="s">
        <v>743</v>
      </c>
      <c r="R284" s="8" t="s">
        <v>73</v>
      </c>
      <c r="S284" s="4">
        <v>0</v>
      </c>
      <c r="T284" s="18">
        <f>U284*0.98*0.98</f>
        <v>48892.698305084763</v>
      </c>
      <c r="U284" s="13">
        <v>50908.682116914577</v>
      </c>
      <c r="V284" s="13">
        <v>2338.9830508474579</v>
      </c>
      <c r="W284" s="13">
        <v>0</v>
      </c>
      <c r="X284" s="13">
        <v>1559.3220338983167</v>
      </c>
      <c r="Y284" s="2">
        <f>(U284*0.98-S284-V284-W284-X284)*1.18/0.92</f>
        <v>58990</v>
      </c>
      <c r="Z284" s="1">
        <v>58990</v>
      </c>
      <c r="AA284" s="5"/>
      <c r="AB284" s="5"/>
      <c r="AC284" s="14">
        <v>58990</v>
      </c>
      <c r="AD284" s="5">
        <f t="shared" si="69"/>
        <v>0</v>
      </c>
      <c r="AE284" s="5"/>
      <c r="AF284" s="5">
        <f t="shared" si="70"/>
        <v>1559.3220338983167</v>
      </c>
      <c r="AH284" s="13">
        <v>2338.9830508474579</v>
      </c>
      <c r="AI284" s="14"/>
      <c r="AL284" s="5"/>
      <c r="AM284" s="5">
        <v>60990.000000000015</v>
      </c>
      <c r="AN284" s="5">
        <f t="shared" si="64"/>
        <v>-2000.0000000000146</v>
      </c>
      <c r="AO284" s="5"/>
      <c r="AP284" s="5">
        <f t="shared" si="75"/>
        <v>50908.682116914577</v>
      </c>
      <c r="AQ284" s="20">
        <v>2338.9830508474579</v>
      </c>
      <c r="AR284" s="22"/>
      <c r="AT284" s="3">
        <v>0</v>
      </c>
      <c r="AV284" s="5">
        <f t="shared" si="71"/>
        <v>0</v>
      </c>
      <c r="AX284" s="38">
        <f t="shared" si="65"/>
        <v>0</v>
      </c>
      <c r="BA284" s="3">
        <v>0</v>
      </c>
      <c r="BB284" s="3">
        <v>0</v>
      </c>
      <c r="BC284" s="3">
        <v>0</v>
      </c>
      <c r="BD284" s="3">
        <f t="shared" si="72"/>
        <v>0</v>
      </c>
      <c r="BE284" s="3">
        <v>1000</v>
      </c>
      <c r="BF284" s="3">
        <v>0</v>
      </c>
      <c r="BH284" s="3">
        <f t="shared" si="73"/>
        <v>0</v>
      </c>
      <c r="BJ284" s="38">
        <f t="shared" si="66"/>
        <v>0</v>
      </c>
      <c r="BL284" s="3">
        <f t="shared" si="67"/>
        <v>60072.244897959201</v>
      </c>
    </row>
    <row r="285" spans="1:64" x14ac:dyDescent="0.35">
      <c r="A285" s="1" t="s">
        <v>767</v>
      </c>
      <c r="B285" s="1" t="str">
        <f t="shared" si="68"/>
        <v>Mainstream</v>
      </c>
      <c r="C285" s="1" t="s">
        <v>46</v>
      </c>
      <c r="D285" s="1" t="s">
        <v>768</v>
      </c>
      <c r="E285" s="1" t="s">
        <v>48</v>
      </c>
      <c r="F285" s="1" t="s">
        <v>97</v>
      </c>
      <c r="G285" s="1" t="s">
        <v>762</v>
      </c>
      <c r="H285" s="1" t="s">
        <v>84</v>
      </c>
      <c r="I285" s="1" t="s">
        <v>68</v>
      </c>
      <c r="J285" s="1" t="s">
        <v>656</v>
      </c>
      <c r="K285" s="1" t="s">
        <v>765</v>
      </c>
      <c r="L285" s="1" t="s">
        <v>70</v>
      </c>
      <c r="M285" s="1" t="s">
        <v>100</v>
      </c>
      <c r="N285" s="1" t="s">
        <v>57</v>
      </c>
      <c r="O285" s="1" t="s">
        <v>102</v>
      </c>
      <c r="P285" s="1" t="s">
        <v>659</v>
      </c>
      <c r="Q285" s="1" t="s">
        <v>743</v>
      </c>
      <c r="R285" s="8" t="s">
        <v>73</v>
      </c>
      <c r="S285" s="4">
        <v>0</v>
      </c>
      <c r="T285" s="18">
        <f>U285*0.98*0.98</f>
        <v>50420.833898305085</v>
      </c>
      <c r="U285" s="13">
        <v>52499.827049463856</v>
      </c>
      <c r="V285" s="13">
        <v>2338.9830508474579</v>
      </c>
      <c r="W285" s="13">
        <v>0</v>
      </c>
      <c r="X285" s="13">
        <v>1559.3220338983053</v>
      </c>
      <c r="Y285" s="2">
        <f>(U285*0.98-S285-V285-W285-X285)*1.18/0.92</f>
        <v>60990</v>
      </c>
      <c r="Z285" s="1">
        <v>60990</v>
      </c>
      <c r="AA285" s="5"/>
      <c r="AB285" s="5"/>
      <c r="AC285" s="14">
        <v>60990</v>
      </c>
      <c r="AD285" s="5">
        <f t="shared" si="69"/>
        <v>0</v>
      </c>
      <c r="AE285" s="5"/>
      <c r="AF285" s="5">
        <f t="shared" si="70"/>
        <v>1559.3220338983053</v>
      </c>
      <c r="AH285" s="13">
        <v>2338.9830508474579</v>
      </c>
      <c r="AI285" s="14"/>
      <c r="AL285" s="5"/>
      <c r="AM285" s="5">
        <v>62990</v>
      </c>
      <c r="AN285" s="5">
        <f t="shared" si="64"/>
        <v>-2000</v>
      </c>
      <c r="AO285" s="5"/>
      <c r="AP285" s="5">
        <f t="shared" si="75"/>
        <v>52499.827049463856</v>
      </c>
      <c r="AQ285" s="20">
        <v>2338.9830508474579</v>
      </c>
      <c r="AR285" s="22"/>
      <c r="AT285" s="3">
        <v>0</v>
      </c>
      <c r="AV285" s="5">
        <f t="shared" si="71"/>
        <v>0</v>
      </c>
      <c r="AX285" s="38">
        <f t="shared" si="65"/>
        <v>0</v>
      </c>
      <c r="BA285" s="3">
        <v>0</v>
      </c>
      <c r="BB285" s="3">
        <v>0</v>
      </c>
      <c r="BC285" s="3">
        <v>0</v>
      </c>
      <c r="BD285" s="3">
        <f t="shared" si="72"/>
        <v>0</v>
      </c>
      <c r="BE285" s="3">
        <v>176</v>
      </c>
      <c r="BF285" s="3">
        <v>21</v>
      </c>
      <c r="BH285" s="3">
        <f t="shared" si="73"/>
        <v>0</v>
      </c>
      <c r="BJ285" s="38">
        <f t="shared" si="66"/>
        <v>0</v>
      </c>
      <c r="BL285" s="3">
        <f t="shared" si="67"/>
        <v>61949.795918367345</v>
      </c>
    </row>
    <row r="286" spans="1:64" x14ac:dyDescent="0.35">
      <c r="A286" s="1" t="s">
        <v>769</v>
      </c>
      <c r="B286" s="1" t="str">
        <f t="shared" si="68"/>
        <v>Mainstream</v>
      </c>
      <c r="C286" s="1" t="s">
        <v>79</v>
      </c>
      <c r="D286" s="1" t="s">
        <v>121</v>
      </c>
      <c r="E286" s="1" t="s">
        <v>81</v>
      </c>
      <c r="F286" s="1" t="s">
        <v>146</v>
      </c>
      <c r="G286" s="1" t="s">
        <v>163</v>
      </c>
      <c r="H286" s="1" t="s">
        <v>123</v>
      </c>
      <c r="I286" s="1" t="s">
        <v>117</v>
      </c>
      <c r="J286" s="1" t="s">
        <v>160</v>
      </c>
      <c r="K286" s="1" t="s">
        <v>92</v>
      </c>
      <c r="L286" s="1" t="s">
        <v>70</v>
      </c>
      <c r="M286" s="1" t="s">
        <v>100</v>
      </c>
      <c r="N286" s="1" t="s">
        <v>57</v>
      </c>
      <c r="O286" s="1" t="s">
        <v>87</v>
      </c>
      <c r="P286" s="1" t="s">
        <v>164</v>
      </c>
      <c r="Q286" s="1" t="s">
        <v>165</v>
      </c>
      <c r="R286" s="1" t="s">
        <v>73</v>
      </c>
      <c r="S286" s="1">
        <v>800</v>
      </c>
      <c r="T286" s="2">
        <v>33870</v>
      </c>
      <c r="U286" s="13">
        <v>35269.491525423728</v>
      </c>
      <c r="V286" s="13">
        <v>0</v>
      </c>
      <c r="W286" s="13">
        <v>4145</v>
      </c>
      <c r="X286" s="13"/>
      <c r="Y286" s="2">
        <f>(U286*0.98-S286-V286-W286-X286)*1.18/0.92</f>
        <v>37989.717391304344</v>
      </c>
      <c r="Z286" s="18">
        <f>AC286</f>
        <v>37990</v>
      </c>
      <c r="AA286" s="5" t="s">
        <v>90</v>
      </c>
      <c r="AB286" s="5"/>
      <c r="AC286" s="14">
        <v>37990</v>
      </c>
      <c r="AD286" s="5">
        <f t="shared" si="69"/>
        <v>-0.22033898305356056</v>
      </c>
      <c r="AE286" s="5"/>
      <c r="AF286" s="5">
        <f t="shared" si="70"/>
        <v>4145</v>
      </c>
      <c r="AG286" s="5"/>
      <c r="AH286" s="13">
        <v>0</v>
      </c>
      <c r="AI286" s="13">
        <v>4145</v>
      </c>
      <c r="AJ286" s="5"/>
      <c r="AL286" s="5"/>
      <c r="AM286" s="5">
        <v>37989.717391304344</v>
      </c>
      <c r="AN286" s="5">
        <f t="shared" si="64"/>
        <v>0</v>
      </c>
      <c r="AO286" s="5"/>
      <c r="AP286" s="5">
        <f t="shared" si="75"/>
        <v>35269.491525423728</v>
      </c>
      <c r="AQ286" s="20">
        <v>0</v>
      </c>
      <c r="AR286" s="20">
        <v>4145</v>
      </c>
      <c r="AT286" s="3">
        <v>3</v>
      </c>
      <c r="AV286" s="5">
        <f t="shared" si="71"/>
        <v>30</v>
      </c>
      <c r="AX286" s="38">
        <f t="shared" si="65"/>
        <v>124350</v>
      </c>
      <c r="BA286" s="3">
        <v>0</v>
      </c>
      <c r="BB286" s="3">
        <v>0</v>
      </c>
      <c r="BC286" s="3">
        <v>1732</v>
      </c>
      <c r="BD286" s="3">
        <f t="shared" si="72"/>
        <v>1732</v>
      </c>
      <c r="BE286" s="3">
        <v>436</v>
      </c>
      <c r="BF286" s="3">
        <v>0</v>
      </c>
      <c r="BH286" s="3">
        <f t="shared" si="73"/>
        <v>3205</v>
      </c>
      <c r="BJ286" s="38">
        <f t="shared" si="66"/>
        <v>0</v>
      </c>
      <c r="BL286" s="3">
        <f t="shared" si="67"/>
        <v>41617.999999999993</v>
      </c>
    </row>
    <row r="287" spans="1:64" x14ac:dyDescent="0.35">
      <c r="A287" s="1" t="s">
        <v>770</v>
      </c>
      <c r="B287" s="1" t="str">
        <f t="shared" si="68"/>
        <v>Mainstream</v>
      </c>
      <c r="C287" s="1" t="s">
        <v>79</v>
      </c>
      <c r="D287" s="1" t="s">
        <v>114</v>
      </c>
      <c r="E287" s="1" t="s">
        <v>81</v>
      </c>
      <c r="F287" s="1" t="s">
        <v>82</v>
      </c>
      <c r="G287" s="1" t="s">
        <v>600</v>
      </c>
      <c r="H287" s="1" t="s">
        <v>51</v>
      </c>
      <c r="I287" s="1" t="s">
        <v>117</v>
      </c>
      <c r="J287" s="1" t="s">
        <v>601</v>
      </c>
      <c r="K287" s="1" t="s">
        <v>54</v>
      </c>
      <c r="L287" s="1" t="s">
        <v>70</v>
      </c>
      <c r="M287" s="1" t="s">
        <v>100</v>
      </c>
      <c r="N287" s="1" t="s">
        <v>57</v>
      </c>
      <c r="O287" s="1" t="s">
        <v>87</v>
      </c>
      <c r="P287" s="1" t="s">
        <v>161</v>
      </c>
      <c r="Q287" s="1" t="s">
        <v>165</v>
      </c>
      <c r="R287" s="1" t="s">
        <v>61</v>
      </c>
      <c r="S287" s="1">
        <v>0</v>
      </c>
      <c r="T287" s="2"/>
      <c r="U287" s="13">
        <v>45076.271186440681</v>
      </c>
      <c r="V287" s="13">
        <v>0</v>
      </c>
      <c r="W287" s="13">
        <v>363</v>
      </c>
      <c r="X287" s="13"/>
      <c r="Y287" s="2">
        <f>(U287*0.89-S287-V287-W287-X287)*1.18/0.92</f>
        <v>50989.956521739128</v>
      </c>
      <c r="Z287" s="18">
        <f>AC287</f>
        <v>50990</v>
      </c>
      <c r="AA287" s="5" t="s">
        <v>90</v>
      </c>
      <c r="AB287" s="5"/>
      <c r="AC287" s="14">
        <v>50990</v>
      </c>
      <c r="AD287" s="5">
        <f t="shared" si="69"/>
        <v>-3.3898305086472263E-2</v>
      </c>
      <c r="AE287" s="5"/>
      <c r="AF287" s="5">
        <f t="shared" si="70"/>
        <v>363</v>
      </c>
      <c r="AG287" s="5"/>
      <c r="AH287" s="13">
        <v>0</v>
      </c>
      <c r="AI287" s="13">
        <v>363</v>
      </c>
      <c r="AJ287" s="5"/>
      <c r="AL287" s="5"/>
      <c r="AM287" s="5">
        <v>50989.956521739128</v>
      </c>
      <c r="AN287" s="5">
        <f t="shared" si="64"/>
        <v>0</v>
      </c>
      <c r="AO287" s="5"/>
      <c r="AP287" s="5">
        <f t="shared" si="75"/>
        <v>45076.271186440681</v>
      </c>
      <c r="AQ287" s="20">
        <v>0</v>
      </c>
      <c r="AR287" s="20">
        <v>363</v>
      </c>
      <c r="AT287" s="3">
        <v>0</v>
      </c>
      <c r="AV287" s="5">
        <f t="shared" si="71"/>
        <v>0</v>
      </c>
      <c r="AX287" s="38">
        <f t="shared" si="65"/>
        <v>0</v>
      </c>
      <c r="BA287" s="3">
        <v>0</v>
      </c>
      <c r="BB287" s="3">
        <v>0</v>
      </c>
      <c r="BC287" s="3">
        <v>0</v>
      </c>
      <c r="BD287" s="3">
        <f t="shared" si="72"/>
        <v>0</v>
      </c>
      <c r="BE287" s="3">
        <v>1459</v>
      </c>
      <c r="BF287" s="3">
        <v>0</v>
      </c>
      <c r="BH287" s="3">
        <f t="shared" si="73"/>
        <v>0</v>
      </c>
      <c r="BJ287" s="38">
        <f t="shared" si="66"/>
        <v>0</v>
      </c>
      <c r="BL287" s="3">
        <f t="shared" si="67"/>
        <v>53190</v>
      </c>
    </row>
    <row r="288" spans="1:64" x14ac:dyDescent="0.35">
      <c r="A288" s="1" t="s">
        <v>771</v>
      </c>
      <c r="B288" s="1" t="str">
        <f t="shared" si="68"/>
        <v>Premium</v>
      </c>
      <c r="C288" s="1" t="s">
        <v>46</v>
      </c>
      <c r="D288" s="1" t="s">
        <v>772</v>
      </c>
      <c r="E288" s="1" t="s">
        <v>48</v>
      </c>
      <c r="F288" s="1" t="s">
        <v>65</v>
      </c>
      <c r="G288" s="1" t="s">
        <v>107</v>
      </c>
      <c r="H288" s="1" t="s">
        <v>51</v>
      </c>
      <c r="I288" s="1" t="s">
        <v>108</v>
      </c>
      <c r="J288" s="1" t="s">
        <v>109</v>
      </c>
      <c r="K288" s="1" t="s">
        <v>54</v>
      </c>
      <c r="L288" s="1" t="s">
        <v>70</v>
      </c>
      <c r="M288" s="1" t="s">
        <v>100</v>
      </c>
      <c r="N288" s="1" t="s">
        <v>200</v>
      </c>
      <c r="O288" s="1" t="s">
        <v>110</v>
      </c>
      <c r="P288" s="1" t="s">
        <v>129</v>
      </c>
      <c r="Q288" s="1" t="s">
        <v>174</v>
      </c>
      <c r="R288" s="1" t="s">
        <v>73</v>
      </c>
      <c r="S288" s="1">
        <v>725</v>
      </c>
      <c r="T288" s="2">
        <f>U288*0.98*0.98</f>
        <v>61520.131186440682</v>
      </c>
      <c r="U288" s="13">
        <v>64056.779661016953</v>
      </c>
      <c r="V288" s="13">
        <v>7482</v>
      </c>
      <c r="W288" s="13">
        <v>1559</v>
      </c>
      <c r="X288" s="13"/>
      <c r="Y288" s="2">
        <f>(U288*0.98-S288-V288-W288-X288)*1.18/0.92</f>
        <v>67990.630434782608</v>
      </c>
      <c r="Z288" s="1">
        <v>67990</v>
      </c>
      <c r="AA288" s="5"/>
      <c r="AB288" s="5"/>
      <c r="AC288" s="14">
        <v>67990</v>
      </c>
      <c r="AD288" s="5">
        <f t="shared" si="69"/>
        <v>0.49152542372832031</v>
      </c>
      <c r="AE288" s="5"/>
      <c r="AF288" s="5">
        <f t="shared" si="70"/>
        <v>1559</v>
      </c>
      <c r="AG288" s="5"/>
      <c r="AH288" s="13">
        <v>7482</v>
      </c>
      <c r="AI288" s="13">
        <v>1559</v>
      </c>
      <c r="AJ288" s="5"/>
      <c r="AL288" s="5"/>
      <c r="AM288" s="5">
        <v>67990.630434782608</v>
      </c>
      <c r="AN288" s="5">
        <f t="shared" si="64"/>
        <v>0</v>
      </c>
      <c r="AO288" s="5"/>
      <c r="AP288" s="5">
        <f t="shared" si="75"/>
        <v>64056.779661016953</v>
      </c>
      <c r="AQ288" s="20"/>
      <c r="AR288" s="20"/>
      <c r="AT288" s="3">
        <v>0</v>
      </c>
      <c r="AV288" s="5">
        <f t="shared" si="71"/>
        <v>0</v>
      </c>
      <c r="AX288" s="38">
        <f t="shared" si="65"/>
        <v>0</v>
      </c>
      <c r="BA288" s="3">
        <v>0</v>
      </c>
      <c r="BB288" s="3">
        <v>0</v>
      </c>
      <c r="BC288" s="3">
        <v>375</v>
      </c>
      <c r="BD288" s="3">
        <f t="shared" si="72"/>
        <v>375</v>
      </c>
      <c r="BE288" s="3">
        <v>236</v>
      </c>
      <c r="BF288" s="3">
        <v>0</v>
      </c>
      <c r="BH288" s="3">
        <f t="shared" si="73"/>
        <v>694</v>
      </c>
      <c r="BJ288" s="38">
        <f t="shared" si="66"/>
        <v>5192508</v>
      </c>
      <c r="BL288" s="3">
        <f t="shared" si="67"/>
        <v>75587</v>
      </c>
    </row>
    <row r="289" spans="1:64" x14ac:dyDescent="0.35">
      <c r="A289" s="1" t="s">
        <v>773</v>
      </c>
      <c r="B289" s="1" t="str">
        <f t="shared" si="68"/>
        <v>Premium</v>
      </c>
      <c r="C289" s="1" t="s">
        <v>46</v>
      </c>
      <c r="D289" s="1" t="s">
        <v>772</v>
      </c>
      <c r="E289" s="1" t="s">
        <v>48</v>
      </c>
      <c r="F289" s="1" t="s">
        <v>65</v>
      </c>
      <c r="G289" s="1" t="s">
        <v>107</v>
      </c>
      <c r="H289" s="1" t="s">
        <v>51</v>
      </c>
      <c r="I289" s="1" t="s">
        <v>108</v>
      </c>
      <c r="J289" s="1" t="s">
        <v>109</v>
      </c>
      <c r="K289" s="1" t="s">
        <v>92</v>
      </c>
      <c r="L289" s="1" t="s">
        <v>70</v>
      </c>
      <c r="M289" s="1" t="s">
        <v>100</v>
      </c>
      <c r="N289" s="1" t="s">
        <v>200</v>
      </c>
      <c r="O289" s="1" t="s">
        <v>110</v>
      </c>
      <c r="P289" s="1" t="s">
        <v>129</v>
      </c>
      <c r="Q289" s="1" t="s">
        <v>174</v>
      </c>
      <c r="R289" s="1" t="s">
        <v>61</v>
      </c>
      <c r="S289" s="1">
        <v>0</v>
      </c>
      <c r="T289" s="2">
        <f>U289*0.965*0.98</f>
        <v>63466.087288135604</v>
      </c>
      <c r="U289" s="13">
        <v>67110.169491525434</v>
      </c>
      <c r="V289" s="13">
        <v>6827</v>
      </c>
      <c r="W289" s="13">
        <v>1559</v>
      </c>
      <c r="X289" s="13"/>
      <c r="Y289" s="2">
        <f>(U289*0.88-S289-V289-W289-X289)*1.18/0.92</f>
        <v>64991.000000000007</v>
      </c>
      <c r="Z289" s="1">
        <v>64990</v>
      </c>
      <c r="AA289" s="5"/>
      <c r="AB289" s="5"/>
      <c r="AC289" s="14">
        <v>64990</v>
      </c>
      <c r="AD289" s="5">
        <v>0</v>
      </c>
      <c r="AE289" s="5"/>
      <c r="AF289" s="5">
        <f t="shared" si="70"/>
        <v>1559</v>
      </c>
      <c r="AG289" s="5"/>
      <c r="AH289" s="36">
        <v>6827</v>
      </c>
      <c r="AI289" s="36">
        <v>1559</v>
      </c>
      <c r="AJ289" s="5"/>
      <c r="AL289" s="5"/>
      <c r="AM289" s="5">
        <v>64991.000000000007</v>
      </c>
      <c r="AN289" s="5">
        <f t="shared" si="64"/>
        <v>0</v>
      </c>
      <c r="AO289" s="5"/>
      <c r="AP289" s="5">
        <f t="shared" si="75"/>
        <v>67110.169491525434</v>
      </c>
      <c r="AQ289" s="20"/>
      <c r="AR289" s="20"/>
      <c r="AT289" s="3">
        <v>0</v>
      </c>
      <c r="AV289" s="5">
        <f t="shared" si="71"/>
        <v>0</v>
      </c>
      <c r="AX289" s="38">
        <f t="shared" si="65"/>
        <v>0</v>
      </c>
      <c r="BA289" s="3">
        <v>0</v>
      </c>
      <c r="BB289" s="3">
        <v>0</v>
      </c>
      <c r="BC289" s="3">
        <v>395</v>
      </c>
      <c r="BD289" s="3">
        <f t="shared" si="72"/>
        <v>395</v>
      </c>
      <c r="BE289" s="3">
        <v>0</v>
      </c>
      <c r="BF289" s="3">
        <v>4</v>
      </c>
      <c r="BH289" s="3">
        <f t="shared" si="73"/>
        <v>731</v>
      </c>
      <c r="BJ289" s="38">
        <f t="shared" si="66"/>
        <v>4990537</v>
      </c>
      <c r="BL289" s="3">
        <f t="shared" si="67"/>
        <v>79190.000000000015</v>
      </c>
    </row>
    <row r="290" spans="1:64" x14ac:dyDescent="0.35">
      <c r="A290" s="1" t="s">
        <v>774</v>
      </c>
      <c r="B290" s="1" t="str">
        <f t="shared" si="68"/>
        <v>Premium</v>
      </c>
      <c r="C290" s="1" t="s">
        <v>46</v>
      </c>
      <c r="D290" s="1" t="s">
        <v>775</v>
      </c>
      <c r="E290" s="1" t="s">
        <v>220</v>
      </c>
      <c r="F290" s="1" t="s">
        <v>776</v>
      </c>
      <c r="G290" s="1" t="s">
        <v>777</v>
      </c>
      <c r="H290" s="1" t="s">
        <v>778</v>
      </c>
      <c r="I290" s="1" t="s">
        <v>451</v>
      </c>
      <c r="J290" s="1" t="s">
        <v>779</v>
      </c>
      <c r="K290" s="1" t="s">
        <v>54</v>
      </c>
      <c r="L290" s="1" t="s">
        <v>780</v>
      </c>
      <c r="M290" s="1" t="s">
        <v>100</v>
      </c>
      <c r="N290" s="1" t="s">
        <v>200</v>
      </c>
      <c r="O290" s="10" t="s">
        <v>452</v>
      </c>
      <c r="P290" s="1" t="s">
        <v>684</v>
      </c>
      <c r="Q290" s="1" t="s">
        <v>690</v>
      </c>
      <c r="R290" s="1" t="s">
        <v>61</v>
      </c>
      <c r="S290" s="1">
        <v>0</v>
      </c>
      <c r="T290" s="2">
        <f>U290*0.965*0.98</f>
        <v>84616.471070878266</v>
      </c>
      <c r="U290" s="13">
        <v>89474.96147919877</v>
      </c>
      <c r="V290" s="13"/>
      <c r="W290" s="13"/>
      <c r="X290" s="13"/>
      <c r="Y290" s="2">
        <f>(U290*0.88-S290-V290-W290-X290)*1.18/0.92</f>
        <v>100990</v>
      </c>
      <c r="Z290" s="15">
        <v>100990</v>
      </c>
      <c r="AA290" s="5"/>
      <c r="AB290" s="5"/>
      <c r="AC290" s="14">
        <v>0</v>
      </c>
      <c r="AD290" s="5">
        <f t="shared" si="69"/>
        <v>78737.966101694925</v>
      </c>
      <c r="AF290" s="5">
        <f t="shared" si="70"/>
        <v>0</v>
      </c>
      <c r="AH290" s="13"/>
      <c r="AI290" s="13"/>
      <c r="AL290" s="5"/>
      <c r="AM290" s="5">
        <v>0</v>
      </c>
      <c r="AN290" s="5">
        <f t="shared" si="64"/>
        <v>100990</v>
      </c>
      <c r="AO290" s="5"/>
      <c r="AP290" s="5"/>
      <c r="AT290" s="3">
        <v>0</v>
      </c>
      <c r="AV290" s="5">
        <f t="shared" si="71"/>
        <v>0</v>
      </c>
      <c r="AX290" s="38">
        <f t="shared" si="65"/>
        <v>0</v>
      </c>
      <c r="BA290" s="3">
        <v>0</v>
      </c>
      <c r="BB290" s="3">
        <v>0</v>
      </c>
      <c r="BC290" s="3">
        <v>0</v>
      </c>
      <c r="BD290" s="3">
        <f t="shared" si="72"/>
        <v>0</v>
      </c>
      <c r="BE290" s="3">
        <v>0</v>
      </c>
      <c r="BF290" s="3">
        <v>100</v>
      </c>
      <c r="BH290" s="3">
        <f t="shared" si="73"/>
        <v>0</v>
      </c>
      <c r="BJ290" s="38">
        <f t="shared" si="66"/>
        <v>0</v>
      </c>
      <c r="BL290" s="3">
        <f t="shared" si="67"/>
        <v>105580.45454545454</v>
      </c>
    </row>
    <row r="291" spans="1:64" x14ac:dyDescent="0.35">
      <c r="A291" s="1" t="s">
        <v>781</v>
      </c>
      <c r="B291" s="1" t="str">
        <f t="shared" si="68"/>
        <v>Entry</v>
      </c>
      <c r="C291" s="1" t="s">
        <v>253</v>
      </c>
      <c r="D291" s="1" t="s">
        <v>258</v>
      </c>
      <c r="E291" s="1" t="s">
        <v>81</v>
      </c>
      <c r="F291" s="1" t="s">
        <v>82</v>
      </c>
      <c r="G291" s="1" t="s">
        <v>294</v>
      </c>
      <c r="H291" s="1" t="s">
        <v>260</v>
      </c>
      <c r="I291" s="1" t="s">
        <v>261</v>
      </c>
      <c r="J291" s="1" t="s">
        <v>262</v>
      </c>
      <c r="K291" s="1" t="s">
        <v>92</v>
      </c>
      <c r="L291" s="1" t="s">
        <v>70</v>
      </c>
      <c r="M291" s="1" t="s">
        <v>100</v>
      </c>
      <c r="N291" s="1" t="s">
        <v>57</v>
      </c>
      <c r="O291" s="1" t="s">
        <v>87</v>
      </c>
      <c r="P291" s="1" t="s">
        <v>241</v>
      </c>
      <c r="Q291" s="1" t="s">
        <v>165</v>
      </c>
      <c r="R291" s="1" t="s">
        <v>73</v>
      </c>
      <c r="S291" s="1">
        <v>725</v>
      </c>
      <c r="T291" s="2">
        <v>24197.196610169492</v>
      </c>
      <c r="U291" s="13">
        <v>25195</v>
      </c>
      <c r="V291" s="13">
        <v>1754</v>
      </c>
      <c r="W291" s="13">
        <v>0</v>
      </c>
      <c r="X291" s="13"/>
      <c r="Y291" s="2">
        <f>(U291*0.98-S291-V291-W291-X291)*1.18/0.92</f>
        <v>28489.43260869565</v>
      </c>
      <c r="Z291" s="18">
        <f>AC291</f>
        <v>28490</v>
      </c>
      <c r="AA291" s="5" t="s">
        <v>90</v>
      </c>
      <c r="AB291" s="5"/>
      <c r="AC291" s="14">
        <v>28490</v>
      </c>
      <c r="AD291" s="5">
        <f t="shared" si="69"/>
        <v>-0.44237288135775743</v>
      </c>
      <c r="AE291" s="5"/>
      <c r="AF291" s="5">
        <f t="shared" si="70"/>
        <v>0</v>
      </c>
      <c r="AG291" s="5"/>
      <c r="AH291" s="13">
        <v>1754</v>
      </c>
      <c r="AI291" s="13">
        <v>0</v>
      </c>
      <c r="AJ291" s="5"/>
      <c r="AL291" s="5"/>
      <c r="AM291" s="5">
        <v>0</v>
      </c>
      <c r="AN291" s="5">
        <f t="shared" si="64"/>
        <v>28489.43260869565</v>
      </c>
      <c r="AO291" s="5"/>
      <c r="AP291" s="5">
        <f>U291-AL291</f>
        <v>25195</v>
      </c>
      <c r="AQ291" s="20">
        <v>309.50271186440295</v>
      </c>
      <c r="AR291" s="20">
        <v>1559.3220338983083</v>
      </c>
      <c r="AT291" s="3">
        <v>0</v>
      </c>
      <c r="AV291" s="5">
        <f t="shared" si="71"/>
        <v>0</v>
      </c>
      <c r="AX291" s="38">
        <f t="shared" si="65"/>
        <v>0</v>
      </c>
      <c r="BA291" s="3">
        <v>0</v>
      </c>
      <c r="BB291" s="3">
        <v>0</v>
      </c>
      <c r="BC291" s="3">
        <v>0</v>
      </c>
      <c r="BD291" s="3">
        <f t="shared" si="72"/>
        <v>0</v>
      </c>
      <c r="BE291" s="3">
        <v>2706</v>
      </c>
      <c r="BF291" s="3">
        <v>1000</v>
      </c>
      <c r="BH291" s="3">
        <f t="shared" si="73"/>
        <v>0</v>
      </c>
      <c r="BJ291" s="38">
        <f t="shared" si="66"/>
        <v>0</v>
      </c>
      <c r="BL291" s="3">
        <f t="shared" si="67"/>
        <v>29730.1</v>
      </c>
    </row>
    <row r="292" spans="1:64" x14ac:dyDescent="0.35">
      <c r="A292" s="1" t="s">
        <v>782</v>
      </c>
      <c r="B292" s="1" t="str">
        <f t="shared" si="68"/>
        <v>Mainstream</v>
      </c>
      <c r="C292" s="1" t="s">
        <v>79</v>
      </c>
      <c r="D292" s="1" t="s">
        <v>114</v>
      </c>
      <c r="E292" s="1" t="s">
        <v>81</v>
      </c>
      <c r="F292" s="1" t="s">
        <v>146</v>
      </c>
      <c r="G292" s="1" t="s">
        <v>783</v>
      </c>
      <c r="H292" s="1" t="s">
        <v>51</v>
      </c>
      <c r="I292" s="1" t="s">
        <v>117</v>
      </c>
      <c r="J292" s="1" t="s">
        <v>601</v>
      </c>
      <c r="K292" s="1" t="s">
        <v>54</v>
      </c>
      <c r="L292" s="1" t="s">
        <v>70</v>
      </c>
      <c r="M292" s="1" t="s">
        <v>100</v>
      </c>
      <c r="N292" s="1" t="s">
        <v>57</v>
      </c>
      <c r="O292" s="1" t="s">
        <v>87</v>
      </c>
      <c r="P292" s="1" t="s">
        <v>164</v>
      </c>
      <c r="Q292" s="1" t="s">
        <v>165</v>
      </c>
      <c r="R292" s="1" t="s">
        <v>73</v>
      </c>
      <c r="S292" s="1">
        <v>0</v>
      </c>
      <c r="T292" s="2"/>
      <c r="U292" s="13">
        <v>43524.576271186445</v>
      </c>
      <c r="V292" s="13">
        <v>3289</v>
      </c>
      <c r="W292" s="13">
        <v>0</v>
      </c>
      <c r="X292" s="13"/>
      <c r="Y292" s="2">
        <f>(U292*0.98-S292-V292-W292-X292)*1.18/0.92</f>
        <v>50490</v>
      </c>
      <c r="Z292" s="18">
        <f>AC292</f>
        <v>50490</v>
      </c>
      <c r="AA292" s="5" t="s">
        <v>90</v>
      </c>
      <c r="AB292" s="5"/>
      <c r="AC292" s="14">
        <v>50490</v>
      </c>
      <c r="AD292" s="5">
        <f t="shared" si="69"/>
        <v>0</v>
      </c>
      <c r="AE292" s="5"/>
      <c r="AF292" s="5">
        <f t="shared" si="70"/>
        <v>0</v>
      </c>
      <c r="AG292" s="5"/>
      <c r="AH292" s="13">
        <v>3289</v>
      </c>
      <c r="AI292" s="13">
        <v>0</v>
      </c>
      <c r="AJ292" s="5"/>
      <c r="AL292" s="5"/>
      <c r="AM292" s="5">
        <v>0</v>
      </c>
      <c r="AN292" s="5">
        <f t="shared" si="64"/>
        <v>50490</v>
      </c>
      <c r="AO292" s="5"/>
      <c r="AP292" s="5">
        <f>U292-AL292</f>
        <v>43524.576271186445</v>
      </c>
      <c r="AQ292" s="20">
        <v>0</v>
      </c>
      <c r="AR292" s="20">
        <v>363</v>
      </c>
      <c r="AT292" s="3">
        <v>0</v>
      </c>
      <c r="AV292" s="5">
        <f t="shared" si="71"/>
        <v>0</v>
      </c>
      <c r="AX292" s="38">
        <f t="shared" si="65"/>
        <v>0</v>
      </c>
      <c r="BA292" s="3">
        <v>0</v>
      </c>
      <c r="BB292" s="3">
        <v>0</v>
      </c>
      <c r="BC292" s="3">
        <v>0</v>
      </c>
      <c r="BD292" s="3">
        <f t="shared" si="72"/>
        <v>0</v>
      </c>
      <c r="BE292" s="3">
        <v>1499</v>
      </c>
      <c r="BF292" s="3">
        <v>0</v>
      </c>
      <c r="BH292" s="3">
        <f t="shared" si="73"/>
        <v>0</v>
      </c>
      <c r="BJ292" s="38">
        <f t="shared" si="66"/>
        <v>0</v>
      </c>
      <c r="BL292" s="3">
        <f t="shared" si="67"/>
        <v>51359</v>
      </c>
    </row>
    <row r="293" spans="1:64" x14ac:dyDescent="0.35">
      <c r="A293" s="14" t="s">
        <v>784</v>
      </c>
      <c r="B293" s="1" t="str">
        <f t="shared" si="68"/>
        <v>Mainstream</v>
      </c>
      <c r="C293" s="1" t="s">
        <v>46</v>
      </c>
      <c r="D293" s="1" t="s">
        <v>80</v>
      </c>
      <c r="E293" s="1" t="s">
        <v>81</v>
      </c>
      <c r="F293" s="1" t="s">
        <v>82</v>
      </c>
      <c r="G293" s="1" t="s">
        <v>633</v>
      </c>
      <c r="H293" s="1" t="s">
        <v>84</v>
      </c>
      <c r="I293" s="1" t="s">
        <v>68</v>
      </c>
      <c r="J293" s="1" t="s">
        <v>591</v>
      </c>
      <c r="K293" s="1" t="s">
        <v>54</v>
      </c>
      <c r="L293" s="1" t="s">
        <v>70</v>
      </c>
      <c r="M293" s="1" t="s">
        <v>56</v>
      </c>
      <c r="N293" s="1" t="s">
        <v>57</v>
      </c>
      <c r="O293" s="1" t="s">
        <v>87</v>
      </c>
      <c r="P293" s="1" t="s">
        <v>161</v>
      </c>
      <c r="Q293" s="1" t="s">
        <v>165</v>
      </c>
      <c r="R293" s="1" t="s">
        <v>61</v>
      </c>
      <c r="S293" s="1">
        <v>0</v>
      </c>
      <c r="T293" s="2">
        <f>U293*0.98*0.965</f>
        <v>47188.73604583976</v>
      </c>
      <c r="U293" s="13">
        <v>49898.208782742688</v>
      </c>
      <c r="V293" s="13">
        <v>0</v>
      </c>
      <c r="W293" s="13">
        <v>1224</v>
      </c>
      <c r="X293" s="13"/>
      <c r="Y293" s="2">
        <f>(U293*0.89-S293-V293-W293-X293)*1.18/0.92</f>
        <v>55389.977025691704</v>
      </c>
      <c r="Z293" s="18">
        <f>AC293</f>
        <v>55390</v>
      </c>
      <c r="AA293" s="5" t="s">
        <v>90</v>
      </c>
      <c r="AB293" s="5"/>
      <c r="AC293" s="14">
        <v>55390</v>
      </c>
      <c r="AD293" s="5">
        <f t="shared" si="69"/>
        <v>-1.7912172570072857E-2</v>
      </c>
      <c r="AE293" s="5"/>
      <c r="AF293" s="5">
        <f t="shared" si="70"/>
        <v>1224</v>
      </c>
      <c r="AG293" s="5"/>
      <c r="AH293" s="13">
        <v>0</v>
      </c>
      <c r="AI293" s="13">
        <v>725</v>
      </c>
      <c r="AM293" s="5">
        <v>0</v>
      </c>
      <c r="AN293" s="5">
        <f t="shared" si="64"/>
        <v>55389.977025691704</v>
      </c>
      <c r="BL293" s="3">
        <f t="shared" si="67"/>
        <v>58879.886363636368</v>
      </c>
    </row>
    <row r="294" spans="1:64" x14ac:dyDescent="0.35">
      <c r="A294" s="1" t="s">
        <v>785</v>
      </c>
      <c r="B294" s="1" t="str">
        <f>IF(BL294&lt;40000,"Entry",IF(BL294&gt;65000,"Premium","Mainstream"))</f>
        <v>Mainstream</v>
      </c>
      <c r="C294" s="1" t="s">
        <v>46</v>
      </c>
      <c r="D294" s="1" t="s">
        <v>408</v>
      </c>
      <c r="E294" s="1" t="s">
        <v>48</v>
      </c>
      <c r="F294" s="1" t="s">
        <v>97</v>
      </c>
      <c r="G294" s="1" t="s">
        <v>172</v>
      </c>
      <c r="H294" s="1" t="s">
        <v>123</v>
      </c>
      <c r="I294" s="1" t="s">
        <v>181</v>
      </c>
      <c r="J294" s="29" t="s">
        <v>786</v>
      </c>
      <c r="K294" s="1" t="s">
        <v>54</v>
      </c>
      <c r="L294" s="1" t="s">
        <v>70</v>
      </c>
      <c r="M294" s="1" t="s">
        <v>100</v>
      </c>
      <c r="N294" s="1" t="s">
        <v>101</v>
      </c>
      <c r="O294" s="1" t="s">
        <v>359</v>
      </c>
      <c r="P294" s="1" t="s">
        <v>103</v>
      </c>
      <c r="Q294" s="1" t="s">
        <v>104</v>
      </c>
      <c r="R294" s="1" t="s">
        <v>73</v>
      </c>
      <c r="S294" s="1">
        <v>0</v>
      </c>
      <c r="T294" s="2">
        <f>U294*0.98*0.98</f>
        <v>51948.969491525429</v>
      </c>
      <c r="U294" s="2">
        <v>54090.97198201315</v>
      </c>
      <c r="V294" s="13">
        <v>0</v>
      </c>
      <c r="W294" s="13">
        <v>0</v>
      </c>
      <c r="X294" s="13"/>
      <c r="Y294" s="2">
        <f>(U294*0.98-S294-V294-W294-X294)*1.18/0.92</f>
        <v>67990</v>
      </c>
      <c r="Z294" s="1">
        <v>67990</v>
      </c>
      <c r="AA294" s="5"/>
      <c r="AB294" s="5"/>
      <c r="AC294" s="14">
        <v>67990</v>
      </c>
      <c r="AD294" s="5">
        <f t="shared" si="69"/>
        <v>0</v>
      </c>
      <c r="AF294" s="5">
        <f t="shared" si="70"/>
        <v>0</v>
      </c>
      <c r="AH294" s="3">
        <v>0</v>
      </c>
      <c r="AI294" s="3">
        <v>0</v>
      </c>
      <c r="AM294" s="5">
        <v>0</v>
      </c>
      <c r="AN294" s="5">
        <f t="shared" si="64"/>
        <v>67990</v>
      </c>
      <c r="BL294" s="3">
        <f t="shared" si="67"/>
        <v>63827.346938775518</v>
      </c>
    </row>
    <row r="295" spans="1:64" x14ac:dyDescent="0.35">
      <c r="A295" s="1" t="s">
        <v>787</v>
      </c>
      <c r="B295" s="1" t="s">
        <v>46</v>
      </c>
      <c r="C295" s="1" t="s">
        <v>46</v>
      </c>
      <c r="D295" s="1" t="s">
        <v>114</v>
      </c>
      <c r="E295" s="1" t="s">
        <v>220</v>
      </c>
      <c r="F295" s="1" t="s">
        <v>473</v>
      </c>
      <c r="G295" s="1" t="s">
        <v>511</v>
      </c>
      <c r="H295" s="1" t="s">
        <v>51</v>
      </c>
      <c r="I295" s="1" t="s">
        <v>124</v>
      </c>
      <c r="J295" s="1" t="s">
        <v>199</v>
      </c>
      <c r="K295" s="1" t="s">
        <v>54</v>
      </c>
      <c r="L295" s="1" t="s">
        <v>55</v>
      </c>
      <c r="M295" s="1" t="s">
        <v>100</v>
      </c>
      <c r="N295" s="1" t="s">
        <v>57</v>
      </c>
      <c r="O295" s="1" t="s">
        <v>87</v>
      </c>
      <c r="P295" s="1" t="s">
        <v>475</v>
      </c>
      <c r="Q295" s="1" t="s">
        <v>127</v>
      </c>
      <c r="R295" s="1" t="s">
        <v>61</v>
      </c>
      <c r="S295" s="1">
        <v>1881</v>
      </c>
      <c r="T295" s="2">
        <f>U295*0.98*0.965</f>
        <v>72281.934745762701</v>
      </c>
      <c r="U295" s="2">
        <v>76432.203389830509</v>
      </c>
      <c r="V295" s="1"/>
      <c r="W295" s="1"/>
      <c r="X295" s="1"/>
      <c r="Y295" s="2">
        <f>(U295*0.88-S295-V295-W295-X295)*1.18/0.92</f>
        <v>83856.108695652176</v>
      </c>
      <c r="Z295" s="1"/>
      <c r="AD295" s="5">
        <f t="shared" si="69"/>
        <v>65379.33898305086</v>
      </c>
      <c r="AF295" s="5">
        <f t="shared" si="70"/>
        <v>0</v>
      </c>
    </row>
    <row r="296" spans="1:64" x14ac:dyDescent="0.35">
      <c r="A296" s="1" t="s">
        <v>788</v>
      </c>
      <c r="B296" s="1" t="s">
        <v>46</v>
      </c>
      <c r="C296" s="1" t="s">
        <v>46</v>
      </c>
      <c r="D296" s="1"/>
      <c r="E296" s="1" t="s">
        <v>48</v>
      </c>
      <c r="F296" s="1" t="s">
        <v>97</v>
      </c>
      <c r="G296" s="1" t="s">
        <v>661</v>
      </c>
      <c r="H296" s="1" t="s">
        <v>84</v>
      </c>
      <c r="I296" s="1" t="s">
        <v>154</v>
      </c>
      <c r="J296" s="29" t="s">
        <v>789</v>
      </c>
      <c r="K296" s="1" t="s">
        <v>54</v>
      </c>
      <c r="L296" s="1" t="s">
        <v>70</v>
      </c>
      <c r="M296" s="1" t="s">
        <v>100</v>
      </c>
      <c r="N296" s="1" t="s">
        <v>57</v>
      </c>
      <c r="O296" s="1" t="s">
        <v>182</v>
      </c>
      <c r="P296" s="1" t="s">
        <v>659</v>
      </c>
      <c r="Q296" s="1" t="s">
        <v>104</v>
      </c>
      <c r="R296" s="1" t="s">
        <v>73</v>
      </c>
      <c r="S296" s="1">
        <v>0</v>
      </c>
      <c r="T296" s="2">
        <v>65701.940677966108</v>
      </c>
      <c r="U296" s="2">
        <v>68411.016949152545</v>
      </c>
      <c r="V296" s="28">
        <v>1559</v>
      </c>
      <c r="W296" s="1"/>
      <c r="X296" s="1"/>
      <c r="Y296" s="2">
        <f>(U296*0.98-S296-V296-W296-X296)*1.18/0.92</f>
        <v>83990.086956521729</v>
      </c>
      <c r="Z296" s="1">
        <v>83990</v>
      </c>
      <c r="AA296" s="5"/>
      <c r="AC296" s="14">
        <v>83990</v>
      </c>
      <c r="AD296" s="5">
        <f t="shared" si="69"/>
        <v>6.7796610161598964E-2</v>
      </c>
      <c r="AF296" s="5">
        <f t="shared" si="70"/>
        <v>0</v>
      </c>
    </row>
    <row r="297" spans="1:64" x14ac:dyDescent="0.35">
      <c r="A297" s="1" t="s">
        <v>790</v>
      </c>
      <c r="B297" s="1" t="s">
        <v>46</v>
      </c>
      <c r="C297" s="1" t="s">
        <v>46</v>
      </c>
      <c r="D297" s="1"/>
      <c r="E297" s="1" t="s">
        <v>48</v>
      </c>
      <c r="F297" s="1" t="s">
        <v>97</v>
      </c>
      <c r="G297" s="1" t="s">
        <v>661</v>
      </c>
      <c r="H297" s="1" t="s">
        <v>67</v>
      </c>
      <c r="I297" s="1" t="s">
        <v>154</v>
      </c>
      <c r="J297" s="29" t="s">
        <v>667</v>
      </c>
      <c r="K297" s="1" t="s">
        <v>791</v>
      </c>
      <c r="L297" s="1" t="s">
        <v>70</v>
      </c>
      <c r="M297" s="1" t="s">
        <v>100</v>
      </c>
      <c r="N297" s="1" t="s">
        <v>200</v>
      </c>
      <c r="O297" s="1" t="s">
        <v>182</v>
      </c>
      <c r="P297" s="1" t="s">
        <v>659</v>
      </c>
      <c r="Q297" s="1" t="s">
        <v>104</v>
      </c>
      <c r="R297" s="1" t="s">
        <v>73</v>
      </c>
      <c r="S297" s="1">
        <v>0</v>
      </c>
      <c r="T297" s="2">
        <f>U297*0.98*0.98</f>
        <v>78691.34237288135</v>
      </c>
      <c r="U297" s="2">
        <v>81936.008301625741</v>
      </c>
      <c r="V297" s="1"/>
      <c r="W297" s="1"/>
      <c r="X297" s="1"/>
      <c r="Y297" s="2">
        <f>(U297*0.98-S297-V297-W297-X297)*1.18/0.92</f>
        <v>102989.99999999999</v>
      </c>
      <c r="Z297" s="1">
        <v>102990</v>
      </c>
      <c r="AA297" s="5"/>
      <c r="AC297" s="14">
        <v>102990</v>
      </c>
      <c r="AD297" s="5">
        <f t="shared" si="69"/>
        <v>-1.1345561025506361E-11</v>
      </c>
      <c r="AF297" s="5">
        <f t="shared" si="70"/>
        <v>0</v>
      </c>
    </row>
    <row r="298" spans="1:64" x14ac:dyDescent="0.35">
      <c r="A298" s="1" t="s">
        <v>792</v>
      </c>
      <c r="B298" s="1" t="s">
        <v>46</v>
      </c>
      <c r="C298" s="1" t="s">
        <v>46</v>
      </c>
      <c r="D298" s="1"/>
      <c r="E298" s="1" t="s">
        <v>48</v>
      </c>
      <c r="F298" s="1" t="s">
        <v>97</v>
      </c>
      <c r="G298" s="1" t="s">
        <v>661</v>
      </c>
      <c r="H298" s="1" t="s">
        <v>67</v>
      </c>
      <c r="I298" s="1" t="s">
        <v>154</v>
      </c>
      <c r="J298" s="29" t="s">
        <v>667</v>
      </c>
      <c r="K298" s="1" t="s">
        <v>791</v>
      </c>
      <c r="L298" s="1" t="s">
        <v>70</v>
      </c>
      <c r="M298" s="1" t="s">
        <v>100</v>
      </c>
      <c r="N298" s="1" t="s">
        <v>57</v>
      </c>
      <c r="O298" s="1" t="s">
        <v>156</v>
      </c>
      <c r="P298" s="1" t="s">
        <v>659</v>
      </c>
      <c r="Q298" s="1" t="s">
        <v>104</v>
      </c>
      <c r="R298" s="1" t="s">
        <v>73</v>
      </c>
      <c r="S298" s="1">
        <v>0</v>
      </c>
      <c r="T298" s="2">
        <v>84039.883389830502</v>
      </c>
      <c r="U298" s="2">
        <v>87505.08474576271</v>
      </c>
      <c r="V298" s="1"/>
      <c r="W298" s="1"/>
      <c r="X298" s="1"/>
      <c r="Y298" s="2">
        <f>(U298*0.98-S298-V298-W298-X298)*1.18/0.92</f>
        <v>109990.08695652173</v>
      </c>
      <c r="Z298" s="1">
        <v>109990</v>
      </c>
      <c r="AA298" s="5"/>
      <c r="AC298" s="14">
        <v>109990</v>
      </c>
      <c r="AD298" s="5">
        <f t="shared" si="69"/>
        <v>6.7796610161598964E-2</v>
      </c>
      <c r="AF298" s="5">
        <f t="shared" si="70"/>
        <v>0</v>
      </c>
    </row>
    <row r="299" spans="1:64" x14ac:dyDescent="0.35">
      <c r="A299" s="1" t="s">
        <v>793</v>
      </c>
      <c r="B299" s="1" t="s">
        <v>46</v>
      </c>
      <c r="C299" s="1" t="s">
        <v>46</v>
      </c>
      <c r="D299" s="1"/>
      <c r="E299" s="1" t="s">
        <v>48</v>
      </c>
      <c r="F299" s="1" t="s">
        <v>97</v>
      </c>
      <c r="G299" s="1" t="s">
        <v>794</v>
      </c>
      <c r="H299" s="1" t="s">
        <v>51</v>
      </c>
      <c r="I299" s="1" t="s">
        <v>795</v>
      </c>
      <c r="J299" s="29" t="s">
        <v>796</v>
      </c>
      <c r="K299" s="1" t="s">
        <v>54</v>
      </c>
      <c r="L299" s="1" t="s">
        <v>70</v>
      </c>
      <c r="M299" s="1" t="s">
        <v>100</v>
      </c>
      <c r="N299" s="1" t="s">
        <v>200</v>
      </c>
      <c r="O299" s="1" t="s">
        <v>182</v>
      </c>
      <c r="P299" s="1" t="s">
        <v>659</v>
      </c>
      <c r="Q299" s="1" t="s">
        <v>104</v>
      </c>
      <c r="R299" s="1" t="s">
        <v>61</v>
      </c>
      <c r="S299" s="1">
        <v>725</v>
      </c>
      <c r="T299" s="2">
        <f>U299*0.98*0.965</f>
        <v>84557.729112095476</v>
      </c>
      <c r="U299" s="2">
        <v>89412.846687211044</v>
      </c>
      <c r="V299" s="1"/>
      <c r="W299" s="1"/>
      <c r="X299" s="1"/>
      <c r="Y299" s="2">
        <f>(U299*0.88-S299-V299-W299-X299)*1.18/0.92</f>
        <v>99989.999999999942</v>
      </c>
      <c r="Z299" s="1">
        <v>99990</v>
      </c>
      <c r="AA299" s="5"/>
      <c r="AC299" s="14">
        <v>99990</v>
      </c>
      <c r="AD299" s="5">
        <f t="shared" si="69"/>
        <v>-4.5382244102025444E-11</v>
      </c>
      <c r="AF299" s="5">
        <f t="shared" si="70"/>
        <v>0</v>
      </c>
    </row>
    <row r="300" spans="1:64" x14ac:dyDescent="0.35">
      <c r="A300" s="1" t="s">
        <v>797</v>
      </c>
      <c r="B300" s="1" t="s">
        <v>46</v>
      </c>
      <c r="C300" s="1" t="s">
        <v>46</v>
      </c>
      <c r="D300" s="1"/>
      <c r="E300" s="1" t="s">
        <v>48</v>
      </c>
      <c r="F300" s="1" t="s">
        <v>97</v>
      </c>
      <c r="G300" s="1" t="s">
        <v>798</v>
      </c>
      <c r="H300" s="1" t="s">
        <v>51</v>
      </c>
      <c r="I300" s="1" t="s">
        <v>795</v>
      </c>
      <c r="J300" s="29" t="s">
        <v>796</v>
      </c>
      <c r="K300" s="1" t="s">
        <v>54</v>
      </c>
      <c r="L300" s="1" t="s">
        <v>55</v>
      </c>
      <c r="M300" s="1" t="s">
        <v>100</v>
      </c>
      <c r="N300" s="1" t="s">
        <v>200</v>
      </c>
      <c r="O300" s="1" t="s">
        <v>156</v>
      </c>
      <c r="P300" s="1" t="s">
        <v>659</v>
      </c>
      <c r="Q300" s="1" t="s">
        <v>104</v>
      </c>
      <c r="R300" s="1" t="s">
        <v>61</v>
      </c>
      <c r="S300" s="1">
        <v>725</v>
      </c>
      <c r="T300" s="2">
        <f>U300*0.98*0.965</f>
        <v>97125.776107473081</v>
      </c>
      <c r="U300" s="2">
        <v>102702.52311248079</v>
      </c>
      <c r="V300" s="1"/>
      <c r="W300" s="1"/>
      <c r="X300" s="1"/>
      <c r="Y300" s="2">
        <f>(U300*0.88-S300-V300-W300-X300)*1.18/0.92</f>
        <v>114990.00000000004</v>
      </c>
      <c r="Z300" s="1">
        <v>114990</v>
      </c>
      <c r="AA300" s="5"/>
      <c r="AC300" s="14">
        <v>114990</v>
      </c>
      <c r="AD300" s="5">
        <f t="shared" si="69"/>
        <v>3.4036683076519083E-11</v>
      </c>
      <c r="AF300" s="5">
        <f t="shared" si="70"/>
        <v>0</v>
      </c>
    </row>
    <row r="301" spans="1:64" x14ac:dyDescent="0.35">
      <c r="A301" s="1" t="s">
        <v>799</v>
      </c>
      <c r="B301" s="1" t="s">
        <v>46</v>
      </c>
      <c r="C301" s="1" t="s">
        <v>46</v>
      </c>
      <c r="D301" s="1"/>
      <c r="E301" s="1" t="s">
        <v>48</v>
      </c>
      <c r="F301" s="1" t="s">
        <v>97</v>
      </c>
      <c r="G301" s="1" t="s">
        <v>762</v>
      </c>
      <c r="H301" s="1" t="s">
        <v>84</v>
      </c>
      <c r="I301" s="1" t="s">
        <v>68</v>
      </c>
      <c r="J301" s="29" t="s">
        <v>656</v>
      </c>
      <c r="K301" s="1" t="s">
        <v>54</v>
      </c>
      <c r="L301" s="1" t="s">
        <v>70</v>
      </c>
      <c r="M301" s="1" t="s">
        <v>100</v>
      </c>
      <c r="N301" s="1" t="s">
        <v>766</v>
      </c>
      <c r="O301" s="1" t="s">
        <v>359</v>
      </c>
      <c r="P301" s="1" t="s">
        <v>659</v>
      </c>
      <c r="Q301" s="1" t="s">
        <v>104</v>
      </c>
      <c r="R301" s="1" t="s">
        <v>73</v>
      </c>
      <c r="S301" s="1">
        <v>0</v>
      </c>
      <c r="T301" s="2">
        <v>54241.172881355946</v>
      </c>
      <c r="U301" s="2">
        <v>56477.689380837095</v>
      </c>
      <c r="V301" s="28">
        <v>2338.9830508474693</v>
      </c>
      <c r="W301" s="1"/>
      <c r="X301" s="1"/>
      <c r="Y301" s="2">
        <f>(U301*0.98-S301-V301-W301-X301)*1.18/0.92</f>
        <v>67989.999999999985</v>
      </c>
      <c r="Z301" s="1">
        <v>67990</v>
      </c>
      <c r="AA301" s="5"/>
      <c r="AC301" s="14">
        <v>67990</v>
      </c>
      <c r="AD301" s="5">
        <f t="shared" si="69"/>
        <v>-1.1345561025506361E-11</v>
      </c>
      <c r="AF301" s="5">
        <f t="shared" si="70"/>
        <v>0</v>
      </c>
    </row>
    <row r="302" spans="1:64" customFormat="1" ht="14.5" x14ac:dyDescent="0.35">
      <c r="A302" s="40" t="s">
        <v>800</v>
      </c>
      <c r="B302" s="1" t="s">
        <v>46</v>
      </c>
      <c r="C302" s="1" t="s">
        <v>46</v>
      </c>
      <c r="D302" s="1" t="s">
        <v>686</v>
      </c>
      <c r="E302" s="4" t="s">
        <v>81</v>
      </c>
      <c r="F302" s="1" t="s">
        <v>687</v>
      </c>
      <c r="G302" s="1" t="s">
        <v>713</v>
      </c>
      <c r="H302" s="1" t="s">
        <v>686</v>
      </c>
      <c r="I302" s="1" t="s">
        <v>451</v>
      </c>
      <c r="J302" s="1" t="s">
        <v>686</v>
      </c>
      <c r="K302" s="1" t="s">
        <v>227</v>
      </c>
      <c r="L302" s="1" t="s">
        <v>55</v>
      </c>
      <c r="M302" s="1" t="s">
        <v>100</v>
      </c>
      <c r="N302" s="1" t="s">
        <v>57</v>
      </c>
      <c r="O302" s="1" t="s">
        <v>801</v>
      </c>
      <c r="P302" s="1" t="s">
        <v>802</v>
      </c>
      <c r="Q302" s="1" t="s">
        <v>127</v>
      </c>
      <c r="R302" s="1" t="s">
        <v>61</v>
      </c>
      <c r="S302" s="1">
        <v>725</v>
      </c>
      <c r="T302" s="2">
        <f>U302*0.965*0.98</f>
        <v>125613.34929699544</v>
      </c>
      <c r="U302" s="2">
        <v>132825.78967642534</v>
      </c>
      <c r="V302" s="1"/>
      <c r="W302" s="1"/>
      <c r="X302" s="1"/>
      <c r="Y302" s="2">
        <f>(U302*0.88-S302-V302-W302-X302)*1.18/0.92</f>
        <v>148990.00000000006</v>
      </c>
      <c r="Z302" s="41">
        <v>148990</v>
      </c>
    </row>
    <row r="303" spans="1:64" customFormat="1" ht="14.5" x14ac:dyDescent="0.35">
      <c r="A303" s="40" t="s">
        <v>803</v>
      </c>
      <c r="B303" s="1" t="s">
        <v>46</v>
      </c>
      <c r="C303" s="1" t="s">
        <v>46</v>
      </c>
      <c r="D303" s="1" t="s">
        <v>804</v>
      </c>
      <c r="E303" s="4" t="s">
        <v>81</v>
      </c>
      <c r="F303" s="1" t="s">
        <v>687</v>
      </c>
      <c r="G303" s="1" t="s">
        <v>805</v>
      </c>
      <c r="H303" s="1" t="s">
        <v>796</v>
      </c>
      <c r="I303" s="1" t="s">
        <v>451</v>
      </c>
      <c r="J303" s="1" t="s">
        <v>796</v>
      </c>
      <c r="K303" s="1" t="s">
        <v>54</v>
      </c>
      <c r="L303" s="1" t="s">
        <v>55</v>
      </c>
      <c r="M303" s="1" t="s">
        <v>100</v>
      </c>
      <c r="N303" s="1" t="s">
        <v>57</v>
      </c>
      <c r="O303" s="1" t="s">
        <v>801</v>
      </c>
      <c r="P303" s="1" t="s">
        <v>802</v>
      </c>
      <c r="Q303" s="1" t="s">
        <v>127</v>
      </c>
      <c r="R303" s="1" t="s">
        <v>61</v>
      </c>
      <c r="S303" s="1">
        <v>725</v>
      </c>
      <c r="T303" s="2">
        <f>U303*0.965*0.98</f>
        <v>108855.95330315871</v>
      </c>
      <c r="U303" s="2">
        <v>115106.22110939908</v>
      </c>
      <c r="V303" s="1"/>
      <c r="W303" s="1"/>
      <c r="X303" s="1"/>
      <c r="Y303" s="2">
        <f>(U303*0.88-S303-V303-W303-X303)*1.18/0.92</f>
        <v>128989.99999999999</v>
      </c>
      <c r="Z303" s="41">
        <v>128990</v>
      </c>
    </row>
    <row r="304" spans="1:64" x14ac:dyDescent="0.35">
      <c r="A304" s="1" t="s">
        <v>806</v>
      </c>
      <c r="B304" s="1" t="s">
        <v>46</v>
      </c>
      <c r="C304" s="1" t="s">
        <v>46</v>
      </c>
      <c r="D304" s="1" t="s">
        <v>775</v>
      </c>
      <c r="E304" s="1" t="s">
        <v>220</v>
      </c>
      <c r="F304" s="1" t="s">
        <v>776</v>
      </c>
      <c r="G304" s="1" t="s">
        <v>777</v>
      </c>
      <c r="H304" s="1" t="s">
        <v>778</v>
      </c>
      <c r="I304" s="1" t="s">
        <v>451</v>
      </c>
      <c r="J304" s="1" t="s">
        <v>779</v>
      </c>
      <c r="K304" s="1" t="s">
        <v>54</v>
      </c>
      <c r="L304" s="1" t="s">
        <v>780</v>
      </c>
      <c r="M304" s="1" t="s">
        <v>100</v>
      </c>
      <c r="N304" s="1" t="s">
        <v>200</v>
      </c>
      <c r="O304" s="10" t="s">
        <v>452</v>
      </c>
      <c r="Q304" s="1" t="s">
        <v>690</v>
      </c>
      <c r="R304" s="1" t="s">
        <v>61</v>
      </c>
      <c r="S304" s="1">
        <v>1881</v>
      </c>
      <c r="T304" s="2">
        <f>U304*0.965*0.98</f>
        <v>100881.69141563943</v>
      </c>
      <c r="U304" s="13">
        <v>106674.09476117103</v>
      </c>
      <c r="V304" s="13"/>
      <c r="W304" s="13"/>
      <c r="X304" s="13"/>
      <c r="Y304" s="2">
        <f>(U304*0.88-S304-V304-W304-X304)*1.18/0.92</f>
        <v>117989.99999999999</v>
      </c>
      <c r="Z304" s="15">
        <v>117990</v>
      </c>
    </row>
    <row r="305" spans="1:26" x14ac:dyDescent="0.35">
      <c r="A305" s="42" t="s">
        <v>807</v>
      </c>
      <c r="B305" s="1" t="s">
        <v>46</v>
      </c>
      <c r="C305" s="1" t="s">
        <v>46</v>
      </c>
      <c r="D305" s="1" t="s">
        <v>808</v>
      </c>
      <c r="E305" s="1" t="s">
        <v>48</v>
      </c>
      <c r="F305" s="1" t="s">
        <v>193</v>
      </c>
      <c r="G305" s="1" t="s">
        <v>809</v>
      </c>
      <c r="H305" s="1" t="s">
        <v>810</v>
      </c>
      <c r="I305" s="1" t="s">
        <v>349</v>
      </c>
      <c r="J305" s="1" t="s">
        <v>811</v>
      </c>
      <c r="K305" s="1" t="s">
        <v>54</v>
      </c>
      <c r="L305" s="1" t="s">
        <v>55</v>
      </c>
      <c r="M305" s="1" t="s">
        <v>100</v>
      </c>
      <c r="N305" s="1" t="s">
        <v>57</v>
      </c>
      <c r="O305" s="10" t="s">
        <v>156</v>
      </c>
      <c r="P305" s="3" t="s">
        <v>812</v>
      </c>
      <c r="Q305" s="1" t="s">
        <v>248</v>
      </c>
      <c r="R305" s="1" t="s">
        <v>61</v>
      </c>
      <c r="S305" s="1">
        <v>2457</v>
      </c>
      <c r="T305" s="2">
        <f>U305*0.965*0.98</f>
        <v>142769.73999815769</v>
      </c>
      <c r="U305" s="13">
        <v>150967.26234340455</v>
      </c>
      <c r="V305" s="13"/>
      <c r="W305" s="13"/>
      <c r="X305" s="13"/>
      <c r="Y305" s="2">
        <f>(U305*0.92-S305-V305-W305-X305)*1.18/0.92</f>
        <v>174989.99999999994</v>
      </c>
      <c r="Z305" s="15">
        <v>174990</v>
      </c>
    </row>
    <row r="306" spans="1:26" x14ac:dyDescent="0.35">
      <c r="A306" s="42" t="s">
        <v>813</v>
      </c>
      <c r="B306" s="1" t="s">
        <v>46</v>
      </c>
      <c r="C306" s="1" t="s">
        <v>46</v>
      </c>
      <c r="D306" s="1" t="s">
        <v>808</v>
      </c>
      <c r="E306" s="1" t="s">
        <v>48</v>
      </c>
      <c r="F306" s="1" t="s">
        <v>193</v>
      </c>
      <c r="G306" s="1" t="s">
        <v>809</v>
      </c>
      <c r="H306" s="1" t="s">
        <v>810</v>
      </c>
      <c r="I306" s="1" t="s">
        <v>349</v>
      </c>
      <c r="J306" s="1" t="s">
        <v>811</v>
      </c>
      <c r="K306" s="1" t="s">
        <v>227</v>
      </c>
      <c r="L306" s="1" t="s">
        <v>55</v>
      </c>
      <c r="M306" s="1" t="s">
        <v>100</v>
      </c>
      <c r="N306" s="1" t="s">
        <v>57</v>
      </c>
      <c r="O306" s="10" t="s">
        <v>391</v>
      </c>
      <c r="P306" s="3" t="s">
        <v>812</v>
      </c>
      <c r="Q306" s="1" t="s">
        <v>248</v>
      </c>
      <c r="R306" s="1" t="s">
        <v>61</v>
      </c>
      <c r="S306" s="1">
        <v>2457</v>
      </c>
      <c r="T306" s="2">
        <f>U306*0.965*0.98</f>
        <v>162805.7569473102</v>
      </c>
      <c r="U306" s="13">
        <v>172153.70302137066</v>
      </c>
      <c r="V306" s="13"/>
      <c r="W306" s="13"/>
      <c r="X306" s="13"/>
      <c r="Y306" s="2">
        <f>(U306*0.92-S306-V306-W306-X306)*1.18/0.92</f>
        <v>199989.99999999997</v>
      </c>
      <c r="Z306" s="15">
        <v>199990</v>
      </c>
    </row>
  </sheetData>
  <autoFilter ref="A2:BL2" xr:uid="{D4678B48-7AB2-431A-B540-1A06A3289AAA}"/>
  <conditionalFormatting sqref="A17">
    <cfRule type="duplicateValues" dxfId="412" priority="19"/>
  </conditionalFormatting>
  <conditionalFormatting sqref="A18">
    <cfRule type="duplicateValues" dxfId="411" priority="20"/>
  </conditionalFormatting>
  <conditionalFormatting sqref="A19">
    <cfRule type="duplicateValues" dxfId="410" priority="21"/>
  </conditionalFormatting>
  <conditionalFormatting sqref="A20">
    <cfRule type="duplicateValues" dxfId="409" priority="22"/>
  </conditionalFormatting>
  <conditionalFormatting sqref="A21">
    <cfRule type="duplicateValues" dxfId="408" priority="23"/>
  </conditionalFormatting>
  <conditionalFormatting sqref="A22">
    <cfRule type="duplicateValues" dxfId="407" priority="24"/>
  </conditionalFormatting>
  <conditionalFormatting sqref="A23">
    <cfRule type="duplicateValues" dxfId="406" priority="25"/>
  </conditionalFormatting>
  <conditionalFormatting sqref="A24">
    <cfRule type="duplicateValues" dxfId="405" priority="26"/>
  </conditionalFormatting>
  <conditionalFormatting sqref="A25">
    <cfRule type="duplicateValues" dxfId="404" priority="27"/>
  </conditionalFormatting>
  <conditionalFormatting sqref="A26">
    <cfRule type="duplicateValues" dxfId="403" priority="28"/>
  </conditionalFormatting>
  <conditionalFormatting sqref="A27">
    <cfRule type="duplicateValues" dxfId="402" priority="29"/>
  </conditionalFormatting>
  <conditionalFormatting sqref="A29">
    <cfRule type="duplicateValues" dxfId="401" priority="30"/>
  </conditionalFormatting>
  <conditionalFormatting sqref="A30">
    <cfRule type="duplicateValues" dxfId="400" priority="31"/>
  </conditionalFormatting>
  <conditionalFormatting sqref="A31">
    <cfRule type="duplicateValues" dxfId="399" priority="32"/>
  </conditionalFormatting>
  <conditionalFormatting sqref="A32">
    <cfRule type="duplicateValues" dxfId="398" priority="33"/>
  </conditionalFormatting>
  <conditionalFormatting sqref="A33">
    <cfRule type="duplicateValues" dxfId="397" priority="34"/>
  </conditionalFormatting>
  <conditionalFormatting sqref="A34">
    <cfRule type="duplicateValues" dxfId="396" priority="35"/>
  </conditionalFormatting>
  <conditionalFormatting sqref="A35">
    <cfRule type="duplicateValues" dxfId="395" priority="36"/>
  </conditionalFormatting>
  <conditionalFormatting sqref="A35:A52">
    <cfRule type="duplicateValues" dxfId="394" priority="141"/>
  </conditionalFormatting>
  <conditionalFormatting sqref="A36">
    <cfRule type="duplicateValues" dxfId="393" priority="37"/>
  </conditionalFormatting>
  <conditionalFormatting sqref="A37">
    <cfRule type="duplicateValues" dxfId="392" priority="38"/>
  </conditionalFormatting>
  <conditionalFormatting sqref="A39">
    <cfRule type="duplicateValues" dxfId="391" priority="47"/>
  </conditionalFormatting>
  <conditionalFormatting sqref="A40">
    <cfRule type="duplicateValues" dxfId="390" priority="48"/>
  </conditionalFormatting>
  <conditionalFormatting sqref="A41">
    <cfRule type="duplicateValues" dxfId="389" priority="39"/>
  </conditionalFormatting>
  <conditionalFormatting sqref="A42">
    <cfRule type="duplicateValues" dxfId="388" priority="140"/>
  </conditionalFormatting>
  <conditionalFormatting sqref="A43">
    <cfRule type="duplicateValues" dxfId="387" priority="40"/>
  </conditionalFormatting>
  <conditionalFormatting sqref="A44">
    <cfRule type="duplicateValues" dxfId="386" priority="41"/>
  </conditionalFormatting>
  <conditionalFormatting sqref="A45">
    <cfRule type="duplicateValues" dxfId="385" priority="42"/>
  </conditionalFormatting>
  <conditionalFormatting sqref="A46">
    <cfRule type="duplicateValues" dxfId="384" priority="43"/>
  </conditionalFormatting>
  <conditionalFormatting sqref="A47">
    <cfRule type="duplicateValues" dxfId="383" priority="44"/>
  </conditionalFormatting>
  <conditionalFormatting sqref="A48">
    <cfRule type="duplicateValues" dxfId="382" priority="45"/>
  </conditionalFormatting>
  <conditionalFormatting sqref="A49">
    <cfRule type="duplicateValues" dxfId="381" priority="46"/>
  </conditionalFormatting>
  <conditionalFormatting sqref="A50">
    <cfRule type="duplicateValues" dxfId="380" priority="16"/>
  </conditionalFormatting>
  <conditionalFormatting sqref="A51">
    <cfRule type="duplicateValues" dxfId="379" priority="17"/>
  </conditionalFormatting>
  <conditionalFormatting sqref="A52">
    <cfRule type="duplicateValues" dxfId="378" priority="18"/>
  </conditionalFormatting>
  <conditionalFormatting sqref="A55:A63 A38 A3:A16">
    <cfRule type="duplicateValues" dxfId="377" priority="54"/>
  </conditionalFormatting>
  <conditionalFormatting sqref="A55:A63">
    <cfRule type="duplicateValues" dxfId="376" priority="51"/>
    <cfRule type="duplicateValues" dxfId="375" priority="52"/>
    <cfRule type="duplicateValues" dxfId="374" priority="53"/>
  </conditionalFormatting>
  <conditionalFormatting sqref="A93">
    <cfRule type="duplicateValues" dxfId="373" priority="50"/>
  </conditionalFormatting>
  <conditionalFormatting sqref="A100:A146">
    <cfRule type="duplicateValues" dxfId="372" priority="135"/>
  </conditionalFormatting>
  <conditionalFormatting sqref="A100:A157">
    <cfRule type="duplicateValues" dxfId="371" priority="136"/>
  </conditionalFormatting>
  <conditionalFormatting sqref="A102:A148">
    <cfRule type="duplicateValues" dxfId="370" priority="134"/>
  </conditionalFormatting>
  <conditionalFormatting sqref="A129">
    <cfRule type="duplicateValues" dxfId="369" priority="96"/>
  </conditionalFormatting>
  <conditionalFormatting sqref="A130:A146">
    <cfRule type="duplicateValues" dxfId="368" priority="133"/>
    <cfRule type="duplicateValues" dxfId="367" priority="132"/>
    <cfRule type="duplicateValues" dxfId="366" priority="131"/>
  </conditionalFormatting>
  <conditionalFormatting sqref="A147">
    <cfRule type="duplicateValues" dxfId="365" priority="55"/>
  </conditionalFormatting>
  <conditionalFormatting sqref="A157">
    <cfRule type="duplicateValues" dxfId="364" priority="56"/>
    <cfRule type="duplicateValues" dxfId="363" priority="57"/>
    <cfRule type="duplicateValues" dxfId="362" priority="58"/>
  </conditionalFormatting>
  <conditionalFormatting sqref="A168">
    <cfRule type="duplicateValues" dxfId="361" priority="66"/>
  </conditionalFormatting>
  <conditionalFormatting sqref="A169">
    <cfRule type="duplicateValues" dxfId="360" priority="67"/>
  </conditionalFormatting>
  <conditionalFormatting sqref="A170">
    <cfRule type="duplicateValues" dxfId="359" priority="70"/>
  </conditionalFormatting>
  <conditionalFormatting sqref="A171:A175 A162:A167 A177:A186">
    <cfRule type="duplicateValues" dxfId="358" priority="65"/>
  </conditionalFormatting>
  <conditionalFormatting sqref="A171:A175 A162:A169 A177:A186">
    <cfRule type="duplicateValues" dxfId="357" priority="59"/>
  </conditionalFormatting>
  <conditionalFormatting sqref="A171:A175 A177:A186">
    <cfRule type="duplicateValues" dxfId="356" priority="64"/>
    <cfRule type="duplicateValues" dxfId="355" priority="60"/>
    <cfRule type="duplicateValues" dxfId="354" priority="63"/>
  </conditionalFormatting>
  <conditionalFormatting sqref="A171:A175">
    <cfRule type="duplicateValues" dxfId="353" priority="61"/>
  </conditionalFormatting>
  <conditionalFormatting sqref="A176">
    <cfRule type="duplicateValues" dxfId="352" priority="69"/>
  </conditionalFormatting>
  <conditionalFormatting sqref="A177:A186 A162:A175">
    <cfRule type="duplicateValues" dxfId="351" priority="68"/>
  </conditionalFormatting>
  <conditionalFormatting sqref="A177:A186">
    <cfRule type="duplicateValues" dxfId="350" priority="62"/>
  </conditionalFormatting>
  <conditionalFormatting sqref="A192:A226">
    <cfRule type="duplicateValues" dxfId="349" priority="73"/>
    <cfRule type="duplicateValues" dxfId="348" priority="71"/>
    <cfRule type="duplicateValues" dxfId="347" priority="72"/>
  </conditionalFormatting>
  <conditionalFormatting sqref="A193:A226">
    <cfRule type="duplicateValues" dxfId="346" priority="74"/>
  </conditionalFormatting>
  <conditionalFormatting sqref="A200">
    <cfRule type="duplicateValues" dxfId="345" priority="78"/>
  </conditionalFormatting>
  <conditionalFormatting sqref="A201">
    <cfRule type="duplicateValues" dxfId="344" priority="79"/>
  </conditionalFormatting>
  <conditionalFormatting sqref="A202">
    <cfRule type="duplicateValues" dxfId="343" priority="80"/>
  </conditionalFormatting>
  <conditionalFormatting sqref="A203">
    <cfRule type="duplicateValues" dxfId="342" priority="81"/>
  </conditionalFormatting>
  <conditionalFormatting sqref="A204">
    <cfRule type="duplicateValues" dxfId="341" priority="82"/>
  </conditionalFormatting>
  <conditionalFormatting sqref="A205">
    <cfRule type="duplicateValues" dxfId="340" priority="83"/>
  </conditionalFormatting>
  <conditionalFormatting sqref="A205:A209">
    <cfRule type="duplicateValues" dxfId="339" priority="85"/>
  </conditionalFormatting>
  <conditionalFormatting sqref="A206">
    <cfRule type="duplicateValues" dxfId="338" priority="84"/>
  </conditionalFormatting>
  <conditionalFormatting sqref="A207">
    <cfRule type="duplicateValues" dxfId="337" priority="86"/>
  </conditionalFormatting>
  <conditionalFormatting sqref="A209">
    <cfRule type="duplicateValues" dxfId="336" priority="87"/>
  </conditionalFormatting>
  <conditionalFormatting sqref="A210">
    <cfRule type="duplicateValues" dxfId="335" priority="89"/>
  </conditionalFormatting>
  <conditionalFormatting sqref="A210:A211">
    <cfRule type="duplicateValues" dxfId="334" priority="92"/>
  </conditionalFormatting>
  <conditionalFormatting sqref="A212">
    <cfRule type="duplicateValues" dxfId="333" priority="88"/>
  </conditionalFormatting>
  <conditionalFormatting sqref="A212:A214">
    <cfRule type="duplicateValues" dxfId="332" priority="75"/>
    <cfRule type="duplicateValues" dxfId="331" priority="76"/>
    <cfRule type="duplicateValues" dxfId="330" priority="77"/>
  </conditionalFormatting>
  <conditionalFormatting sqref="A221">
    <cfRule type="duplicateValues" dxfId="329" priority="90"/>
  </conditionalFormatting>
  <conditionalFormatting sqref="A222">
    <cfRule type="duplicateValues" dxfId="328" priority="91"/>
  </conditionalFormatting>
  <conditionalFormatting sqref="A223">
    <cfRule type="duplicateValues" dxfId="327" priority="93"/>
  </conditionalFormatting>
  <conditionalFormatting sqref="A224">
    <cfRule type="duplicateValues" dxfId="326" priority="94"/>
  </conditionalFormatting>
  <conditionalFormatting sqref="A225:A226">
    <cfRule type="duplicateValues" dxfId="325" priority="95"/>
  </conditionalFormatting>
  <conditionalFormatting sqref="A240">
    <cfRule type="duplicateValues" dxfId="324" priority="97"/>
  </conditionalFormatting>
  <conditionalFormatting sqref="A241">
    <cfRule type="duplicateValues" dxfId="323" priority="99"/>
  </conditionalFormatting>
  <conditionalFormatting sqref="A250">
    <cfRule type="duplicateValues" dxfId="322" priority="137"/>
  </conditionalFormatting>
  <conditionalFormatting sqref="A255">
    <cfRule type="duplicateValues" dxfId="321" priority="100"/>
  </conditionalFormatting>
  <conditionalFormatting sqref="A256">
    <cfRule type="duplicateValues" dxfId="320" priority="101"/>
  </conditionalFormatting>
  <conditionalFormatting sqref="A258">
    <cfRule type="duplicateValues" dxfId="319" priority="102"/>
  </conditionalFormatting>
  <conditionalFormatting sqref="A259 A53:A54">
    <cfRule type="duplicateValues" dxfId="318" priority="49"/>
  </conditionalFormatting>
  <conditionalFormatting sqref="A259 A242 A286 A291 A3:A99">
    <cfRule type="duplicateValues" dxfId="317" priority="139"/>
  </conditionalFormatting>
  <conditionalFormatting sqref="A259 A255:A257 A242:A249 A1:B1 A262 A264:A265 A286 A288:A291 A3:A240 A293:A295 A307:B1048576 A304:A306">
    <cfRule type="duplicateValues" dxfId="316" priority="98"/>
  </conditionalFormatting>
  <conditionalFormatting sqref="A259 A286 A3:A63">
    <cfRule type="duplicateValues" dxfId="315" priority="105"/>
  </conditionalFormatting>
  <conditionalFormatting sqref="A260">
    <cfRule type="duplicateValues" dxfId="314" priority="106"/>
  </conditionalFormatting>
  <conditionalFormatting sqref="A260:A261">
    <cfRule type="duplicateValues" dxfId="313" priority="107"/>
  </conditionalFormatting>
  <conditionalFormatting sqref="A261">
    <cfRule type="duplicateValues" dxfId="312" priority="108"/>
  </conditionalFormatting>
  <conditionalFormatting sqref="A263">
    <cfRule type="duplicateValues" dxfId="311" priority="109"/>
  </conditionalFormatting>
  <conditionalFormatting sqref="A264">
    <cfRule type="duplicateValues" dxfId="310" priority="110"/>
  </conditionalFormatting>
  <conditionalFormatting sqref="A267">
    <cfRule type="duplicateValues" dxfId="309" priority="111"/>
  </conditionalFormatting>
  <conditionalFormatting sqref="A286 A28">
    <cfRule type="duplicateValues" dxfId="308" priority="103"/>
  </conditionalFormatting>
  <conditionalFormatting sqref="A286 A55:A63 A3:A52">
    <cfRule type="duplicateValues" dxfId="307" priority="104"/>
  </conditionalFormatting>
  <conditionalFormatting sqref="A287">
    <cfRule type="duplicateValues" dxfId="306" priority="120"/>
    <cfRule type="duplicateValues" dxfId="305" priority="121"/>
    <cfRule type="duplicateValues" dxfId="304" priority="122"/>
    <cfRule type="duplicateValues" dxfId="303" priority="123"/>
    <cfRule type="duplicateValues" dxfId="302" priority="125"/>
    <cfRule type="duplicateValues" dxfId="301" priority="126"/>
    <cfRule type="duplicateValues" dxfId="300" priority="127"/>
    <cfRule type="duplicateValues" dxfId="299" priority="124"/>
  </conditionalFormatting>
  <conditionalFormatting sqref="A288:A289">
    <cfRule type="duplicateValues" dxfId="298" priority="128"/>
    <cfRule type="duplicateValues" dxfId="297" priority="129"/>
    <cfRule type="duplicateValues" dxfId="296" priority="130"/>
  </conditionalFormatting>
  <conditionalFormatting sqref="A290 A257 A158:A161 A227:A239 A243:A249 A262 A265 A293:A295 A307:B1048576 A304:A306">
    <cfRule type="duplicateValues" dxfId="295" priority="15"/>
  </conditionalFormatting>
  <conditionalFormatting sqref="A290 A257 A158:A161 A1:B1 A227:A239 A243:A249 A262 A265 A293:A295 A307:B1048576 A304:A306">
    <cfRule type="duplicateValues" dxfId="294" priority="14"/>
  </conditionalFormatting>
  <conditionalFormatting sqref="A292 A287">
    <cfRule type="duplicateValues" dxfId="293" priority="112"/>
    <cfRule type="duplicateValues" dxfId="292" priority="113"/>
    <cfRule type="duplicateValues" dxfId="291" priority="114"/>
    <cfRule type="duplicateValues" dxfId="290" priority="115"/>
    <cfRule type="duplicateValues" dxfId="289" priority="116"/>
    <cfRule type="duplicateValues" dxfId="288" priority="117"/>
    <cfRule type="duplicateValues" dxfId="287" priority="118"/>
    <cfRule type="duplicateValues" dxfId="286" priority="119"/>
  </conditionalFormatting>
  <conditionalFormatting sqref="A293:A294 A259 A242:A249 A262 A286 A291 A3:A240">
    <cfRule type="duplicateValues" dxfId="285" priority="138"/>
  </conditionalFormatting>
  <conditionalFormatting sqref="A294">
    <cfRule type="duplicateValues" dxfId="284" priority="13"/>
    <cfRule type="duplicateValues" dxfId="283" priority="12"/>
    <cfRule type="duplicateValues" dxfId="282" priority="11"/>
  </conditionalFormatting>
  <conditionalFormatting sqref="A296:A301">
    <cfRule type="duplicateValues" dxfId="281" priority="7"/>
    <cfRule type="duplicateValues" dxfId="280" priority="6"/>
    <cfRule type="duplicateValues" dxfId="279" priority="5"/>
    <cfRule type="duplicateValues" dxfId="278" priority="4"/>
    <cfRule type="duplicateValues" dxfId="277" priority="10"/>
    <cfRule type="duplicateValues" dxfId="276" priority="8"/>
    <cfRule type="duplicateValues" dxfId="275" priority="9"/>
  </conditionalFormatting>
  <conditionalFormatting sqref="A302:A303">
    <cfRule type="duplicateValues" dxfId="274" priority="2"/>
    <cfRule type="duplicateValues" dxfId="273" priority="1"/>
    <cfRule type="duplicateValues" dxfId="2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EC7C-337F-4557-9B67-7EEB9E0187A1}">
  <sheetPr codeName="Sheet6">
    <tabColor theme="7" tint="-0.249977111117893"/>
  </sheetPr>
  <dimension ref="B1:W123"/>
  <sheetViews>
    <sheetView showGridLines="0" tabSelected="1" zoomScale="90" zoomScaleNormal="80" workbookViewId="0">
      <pane xSplit="5" ySplit="4" topLeftCell="Q27" activePane="bottomRight" state="frozen"/>
      <selection pane="topRight" activeCell="F1" sqref="F1"/>
      <selection pane="bottomLeft" activeCell="F1" sqref="F1"/>
      <selection pane="bottomRight" activeCell="U124" sqref="U124"/>
    </sheetView>
  </sheetViews>
  <sheetFormatPr defaultColWidth="9.26953125" defaultRowHeight="13" x14ac:dyDescent="0.35"/>
  <cols>
    <col min="1" max="1" width="4.26953125" style="47" customWidth="1"/>
    <col min="2" max="2" width="22.81640625" style="46" bestFit="1" customWidth="1"/>
    <col min="3" max="3" width="16.81640625" style="46" bestFit="1" customWidth="1"/>
    <col min="4" max="4" width="11.1796875" style="46" bestFit="1" customWidth="1"/>
    <col min="5" max="5" width="21.1796875" style="46" bestFit="1" customWidth="1"/>
    <col min="6" max="6" width="14.453125" style="46" customWidth="1"/>
    <col min="7" max="7" width="15.1796875" style="46" bestFit="1" customWidth="1"/>
    <col min="8" max="8" width="21.7265625" style="46" customWidth="1"/>
    <col min="9" max="9" width="14.54296875" style="46" bestFit="1" customWidth="1"/>
    <col min="10" max="10" width="23.453125" style="46" customWidth="1"/>
    <col min="11" max="11" width="35.90625" style="46" customWidth="1"/>
    <col min="12" max="12" width="16.453125" style="46" customWidth="1"/>
    <col min="13" max="13" width="12.7265625" style="46" bestFit="1" customWidth="1"/>
    <col min="14" max="14" width="10.81640625" style="46" customWidth="1"/>
    <col min="15" max="15" width="12" style="46" customWidth="1"/>
    <col min="16" max="16" width="47.54296875" style="46" customWidth="1"/>
    <col min="17" max="17" width="14.7265625" style="46" customWidth="1"/>
    <col min="18" max="18" width="15.1796875" style="46" customWidth="1"/>
    <col min="19" max="19" width="23" style="46" customWidth="1"/>
    <col min="20" max="20" width="13.26953125" style="46" customWidth="1"/>
    <col min="21" max="16384" width="9.26953125" style="47"/>
  </cols>
  <sheetData>
    <row r="1" spans="2:23" ht="42" customHeight="1" x14ac:dyDescent="0.35"/>
    <row r="3" spans="2:23" ht="27" customHeight="1" x14ac:dyDescent="0.35">
      <c r="B3" s="59" t="s">
        <v>1349</v>
      </c>
      <c r="C3" s="60"/>
      <c r="D3" s="60"/>
      <c r="E3" s="60"/>
      <c r="F3" s="60"/>
      <c r="G3" s="60"/>
      <c r="H3" s="60"/>
      <c r="I3" s="60"/>
      <c r="J3" s="60"/>
      <c r="K3" s="61"/>
      <c r="L3" s="61"/>
      <c r="M3" s="60"/>
      <c r="N3" s="60"/>
      <c r="O3" s="60"/>
      <c r="P3" s="61"/>
      <c r="Q3" s="60"/>
      <c r="R3" s="60"/>
      <c r="S3" s="60"/>
      <c r="T3" s="60"/>
    </row>
    <row r="4" spans="2:23" ht="39" x14ac:dyDescent="0.35">
      <c r="B4" s="48" t="s">
        <v>814</v>
      </c>
      <c r="C4" s="48" t="s">
        <v>4</v>
      </c>
      <c r="D4" s="48" t="s">
        <v>0</v>
      </c>
      <c r="E4" s="48" t="s">
        <v>6</v>
      </c>
      <c r="F4" s="48" t="s">
        <v>822</v>
      </c>
      <c r="G4" s="48" t="s">
        <v>816</v>
      </c>
      <c r="H4" s="48" t="s">
        <v>817</v>
      </c>
      <c r="I4" s="48" t="s">
        <v>11</v>
      </c>
      <c r="J4" s="48" t="s">
        <v>12</v>
      </c>
      <c r="K4" s="62" t="s">
        <v>13</v>
      </c>
      <c r="L4" s="62" t="s">
        <v>818</v>
      </c>
      <c r="M4" s="48" t="s">
        <v>823</v>
      </c>
      <c r="N4" s="48" t="s">
        <v>819</v>
      </c>
      <c r="O4" s="48" t="s">
        <v>14</v>
      </c>
      <c r="P4" s="62" t="s">
        <v>820</v>
      </c>
      <c r="Q4" s="48" t="s">
        <v>824</v>
      </c>
      <c r="R4" s="48" t="s">
        <v>825</v>
      </c>
      <c r="S4" s="48" t="s">
        <v>826</v>
      </c>
      <c r="T4" s="48" t="s">
        <v>821</v>
      </c>
      <c r="U4" s="50" t="s">
        <v>827</v>
      </c>
      <c r="V4" s="51" t="s">
        <v>828</v>
      </c>
      <c r="W4" s="50" t="s">
        <v>829</v>
      </c>
    </row>
    <row r="5" spans="2:23" x14ac:dyDescent="0.35">
      <c r="B5" s="45" t="s">
        <v>221</v>
      </c>
      <c r="C5" s="45" t="s">
        <v>220</v>
      </c>
      <c r="D5" s="45" t="s">
        <v>964</v>
      </c>
      <c r="E5" s="45" t="s">
        <v>965</v>
      </c>
      <c r="F5" s="45"/>
      <c r="G5" s="45" t="s">
        <v>863</v>
      </c>
      <c r="H5" s="45" t="s">
        <v>831</v>
      </c>
      <c r="I5" s="45" t="s">
        <v>101</v>
      </c>
      <c r="J5" s="45" t="s">
        <v>966</v>
      </c>
      <c r="K5" s="63" t="s">
        <v>951</v>
      </c>
      <c r="L5" s="63" t="s">
        <v>848</v>
      </c>
      <c r="M5" s="45" t="s">
        <v>967</v>
      </c>
      <c r="N5" s="45" t="s">
        <v>844</v>
      </c>
      <c r="O5" s="45" t="s">
        <v>104</v>
      </c>
      <c r="P5" s="63" t="s">
        <v>894</v>
      </c>
      <c r="Q5" s="45" t="s">
        <v>834</v>
      </c>
      <c r="R5" s="45" t="s">
        <v>933</v>
      </c>
      <c r="S5" s="45" t="s">
        <v>940</v>
      </c>
      <c r="T5" s="53" t="str">
        <f>IF(W5&lt;45000,"Entry",IF(W5&gt;72000,"Premium","Mainstream"))</f>
        <v>Mainstream</v>
      </c>
      <c r="U5" s="73">
        <v>61771.563353029007</v>
      </c>
      <c r="V5" s="73"/>
      <c r="W5" s="73">
        <f>U5-V5</f>
        <v>61771.563353029007</v>
      </c>
    </row>
    <row r="6" spans="2:23" x14ac:dyDescent="0.35">
      <c r="B6" s="45" t="s">
        <v>221</v>
      </c>
      <c r="C6" s="45" t="s">
        <v>220</v>
      </c>
      <c r="D6" s="45" t="s">
        <v>1367</v>
      </c>
      <c r="E6" s="45" t="s">
        <v>1369</v>
      </c>
      <c r="F6" s="45"/>
      <c r="G6" s="45" t="s">
        <v>863</v>
      </c>
      <c r="H6" s="45" t="s">
        <v>831</v>
      </c>
      <c r="I6" s="45" t="s">
        <v>920</v>
      </c>
      <c r="J6" s="45" t="s">
        <v>966</v>
      </c>
      <c r="K6" s="63" t="s">
        <v>937</v>
      </c>
      <c r="L6" s="63" t="s">
        <v>957</v>
      </c>
      <c r="M6" s="45" t="s">
        <v>967</v>
      </c>
      <c r="N6" s="45" t="s">
        <v>844</v>
      </c>
      <c r="O6" s="45" t="s">
        <v>104</v>
      </c>
      <c r="P6" s="63" t="s">
        <v>894</v>
      </c>
      <c r="Q6" s="45" t="s">
        <v>834</v>
      </c>
      <c r="R6" s="45" t="s">
        <v>933</v>
      </c>
      <c r="S6" s="45" t="s">
        <v>940</v>
      </c>
      <c r="T6" s="53" t="str">
        <f t="shared" ref="T6:T69" si="0">IF(W6&lt;45000,"Entry",IF(W6&gt;72000,"Premium","Mainstream"))</f>
        <v>Mainstream</v>
      </c>
      <c r="U6" s="73">
        <v>66263.569107200005</v>
      </c>
      <c r="V6" s="73">
        <v>6000.2999999999993</v>
      </c>
      <c r="W6" s="73">
        <f t="shared" ref="W6:W69" si="1">U6-V6</f>
        <v>60263.269107200002</v>
      </c>
    </row>
    <row r="7" spans="2:23" x14ac:dyDescent="0.35">
      <c r="B7" s="45" t="s">
        <v>221</v>
      </c>
      <c r="C7" s="45" t="s">
        <v>220</v>
      </c>
      <c r="D7" s="45" t="s">
        <v>970</v>
      </c>
      <c r="E7" s="45" t="s">
        <v>965</v>
      </c>
      <c r="F7" s="45"/>
      <c r="G7" s="45" t="s">
        <v>863</v>
      </c>
      <c r="H7" s="45" t="s">
        <v>831</v>
      </c>
      <c r="I7" s="45" t="s">
        <v>920</v>
      </c>
      <c r="J7" s="45" t="s">
        <v>966</v>
      </c>
      <c r="K7" s="63" t="s">
        <v>951</v>
      </c>
      <c r="L7" s="63" t="s">
        <v>848</v>
      </c>
      <c r="M7" s="45" t="s">
        <v>967</v>
      </c>
      <c r="N7" s="45" t="s">
        <v>844</v>
      </c>
      <c r="O7" s="45" t="s">
        <v>104</v>
      </c>
      <c r="P7" s="63" t="s">
        <v>894</v>
      </c>
      <c r="Q7" s="45" t="s">
        <v>834</v>
      </c>
      <c r="R7" s="45" t="s">
        <v>933</v>
      </c>
      <c r="S7" s="45" t="s">
        <v>940</v>
      </c>
      <c r="T7" s="53" t="str">
        <f t="shared" si="0"/>
        <v>Mainstream</v>
      </c>
      <c r="U7" s="73">
        <v>60912.823173763478</v>
      </c>
      <c r="V7" s="73"/>
      <c r="W7" s="73">
        <f t="shared" si="1"/>
        <v>60912.823173763478</v>
      </c>
    </row>
    <row r="8" spans="2:23" x14ac:dyDescent="0.35">
      <c r="B8" s="45" t="s">
        <v>221</v>
      </c>
      <c r="C8" s="45" t="s">
        <v>220</v>
      </c>
      <c r="D8" s="45" t="s">
        <v>968</v>
      </c>
      <c r="E8" s="45" t="s">
        <v>965</v>
      </c>
      <c r="F8" s="45"/>
      <c r="G8" s="45" t="s">
        <v>863</v>
      </c>
      <c r="H8" s="45" t="s">
        <v>831</v>
      </c>
      <c r="I8" s="45" t="s">
        <v>969</v>
      </c>
      <c r="J8" s="45" t="s">
        <v>966</v>
      </c>
      <c r="K8" s="63" t="s">
        <v>951</v>
      </c>
      <c r="L8" s="63" t="s">
        <v>848</v>
      </c>
      <c r="M8" s="45" t="s">
        <v>967</v>
      </c>
      <c r="N8" s="45" t="s">
        <v>844</v>
      </c>
      <c r="O8" s="45" t="s">
        <v>104</v>
      </c>
      <c r="P8" s="63" t="s">
        <v>894</v>
      </c>
      <c r="Q8" s="45" t="s">
        <v>834</v>
      </c>
      <c r="R8" s="45" t="s">
        <v>933</v>
      </c>
      <c r="S8" s="45" t="s">
        <v>940</v>
      </c>
      <c r="T8" s="53" t="str">
        <f t="shared" si="0"/>
        <v>Mainstream</v>
      </c>
      <c r="U8" s="73">
        <v>60426.037967280099</v>
      </c>
      <c r="V8" s="73"/>
      <c r="W8" s="73">
        <f t="shared" si="1"/>
        <v>60426.037967280099</v>
      </c>
    </row>
    <row r="9" spans="2:23" x14ac:dyDescent="0.35">
      <c r="B9" s="45" t="s">
        <v>954</v>
      </c>
      <c r="C9" s="45" t="s">
        <v>220</v>
      </c>
      <c r="D9" s="45" t="s">
        <v>955</v>
      </c>
      <c r="E9" s="45" t="s">
        <v>514</v>
      </c>
      <c r="F9" s="45"/>
      <c r="G9" s="45" t="s">
        <v>849</v>
      </c>
      <c r="H9" s="45" t="s">
        <v>831</v>
      </c>
      <c r="I9" s="45" t="s">
        <v>101</v>
      </c>
      <c r="J9" s="45" t="s">
        <v>956</v>
      </c>
      <c r="K9" s="63" t="s">
        <v>951</v>
      </c>
      <c r="L9" s="63" t="s">
        <v>957</v>
      </c>
      <c r="M9" s="45" t="s">
        <v>958</v>
      </c>
      <c r="N9" s="45" t="s">
        <v>844</v>
      </c>
      <c r="O9" s="45" t="s">
        <v>104</v>
      </c>
      <c r="P9" s="63" t="s">
        <v>894</v>
      </c>
      <c r="Q9" s="45" t="s">
        <v>834</v>
      </c>
      <c r="R9" s="45" t="s">
        <v>933</v>
      </c>
      <c r="S9" s="45" t="s">
        <v>940</v>
      </c>
      <c r="T9" s="53" t="str">
        <f t="shared" si="0"/>
        <v>Premium</v>
      </c>
      <c r="U9" s="73">
        <v>78757.932153172005</v>
      </c>
      <c r="V9" s="73">
        <v>2000.1</v>
      </c>
      <c r="W9" s="73">
        <f t="shared" si="1"/>
        <v>76757.832153171999</v>
      </c>
    </row>
    <row r="10" spans="2:23" x14ac:dyDescent="0.35">
      <c r="B10" s="45" t="s">
        <v>954</v>
      </c>
      <c r="C10" s="45" t="s">
        <v>220</v>
      </c>
      <c r="D10" s="45" t="s">
        <v>959</v>
      </c>
      <c r="E10" s="45" t="s">
        <v>960</v>
      </c>
      <c r="F10" s="45"/>
      <c r="G10" s="45" t="s">
        <v>876</v>
      </c>
      <c r="H10" s="45" t="s">
        <v>831</v>
      </c>
      <c r="I10" s="45" t="s">
        <v>101</v>
      </c>
      <c r="J10" s="45" t="s">
        <v>961</v>
      </c>
      <c r="K10" s="63" t="s">
        <v>962</v>
      </c>
      <c r="L10" s="63" t="s">
        <v>957</v>
      </c>
      <c r="M10" s="45" t="s">
        <v>958</v>
      </c>
      <c r="N10" s="45" t="s">
        <v>844</v>
      </c>
      <c r="O10" s="45" t="s">
        <v>104</v>
      </c>
      <c r="P10" s="63" t="s">
        <v>894</v>
      </c>
      <c r="Q10" s="45" t="s">
        <v>834</v>
      </c>
      <c r="R10" s="45" t="s">
        <v>895</v>
      </c>
      <c r="S10" s="45" t="s">
        <v>940</v>
      </c>
      <c r="T10" s="53" t="str">
        <f t="shared" si="0"/>
        <v>Mainstream</v>
      </c>
      <c r="U10" s="73">
        <v>55099.022739782326</v>
      </c>
      <c r="V10" s="73">
        <v>3700.48</v>
      </c>
      <c r="W10" s="73">
        <f t="shared" si="1"/>
        <v>51398.542739782322</v>
      </c>
    </row>
    <row r="11" spans="2:23" x14ac:dyDescent="0.35">
      <c r="B11" s="45" t="s">
        <v>954</v>
      </c>
      <c r="C11" s="45" t="s">
        <v>220</v>
      </c>
      <c r="D11" s="45" t="s">
        <v>963</v>
      </c>
      <c r="E11" s="45" t="s">
        <v>213</v>
      </c>
      <c r="F11" s="45"/>
      <c r="G11" s="45" t="s">
        <v>876</v>
      </c>
      <c r="H11" s="45" t="s">
        <v>831</v>
      </c>
      <c r="I11" s="45" t="s">
        <v>101</v>
      </c>
      <c r="J11" s="45" t="s">
        <v>961</v>
      </c>
      <c r="K11" s="63" t="s">
        <v>962</v>
      </c>
      <c r="L11" s="63" t="s">
        <v>848</v>
      </c>
      <c r="M11" s="45" t="s">
        <v>958</v>
      </c>
      <c r="N11" s="45" t="s">
        <v>844</v>
      </c>
      <c r="O11" s="45" t="s">
        <v>104</v>
      </c>
      <c r="P11" s="63" t="s">
        <v>894</v>
      </c>
      <c r="Q11" s="45" t="s">
        <v>834</v>
      </c>
      <c r="R11" s="45" t="s">
        <v>895</v>
      </c>
      <c r="S11" s="45" t="s">
        <v>940</v>
      </c>
      <c r="T11" s="53" t="str">
        <f t="shared" si="0"/>
        <v>Mainstream</v>
      </c>
      <c r="U11" s="73">
        <v>51470.260415232442</v>
      </c>
      <c r="V11" s="73">
        <v>2999.56</v>
      </c>
      <c r="W11" s="73">
        <f t="shared" si="1"/>
        <v>48470.700415232444</v>
      </c>
    </row>
    <row r="12" spans="2:23" x14ac:dyDescent="0.35">
      <c r="B12" s="45" t="s">
        <v>934</v>
      </c>
      <c r="C12" s="45" t="s">
        <v>220</v>
      </c>
      <c r="D12" s="45" t="s">
        <v>1206</v>
      </c>
      <c r="E12" s="45" t="s">
        <v>1170</v>
      </c>
      <c r="F12" s="45" t="s">
        <v>1291</v>
      </c>
      <c r="G12" s="45" t="s">
        <v>1171</v>
      </c>
      <c r="H12" s="45" t="s">
        <v>831</v>
      </c>
      <c r="I12" s="45" t="s">
        <v>1017</v>
      </c>
      <c r="J12" s="45" t="s">
        <v>87</v>
      </c>
      <c r="K12" s="63" t="s">
        <v>1258</v>
      </c>
      <c r="L12" s="63" t="s">
        <v>850</v>
      </c>
      <c r="M12" s="45" t="s">
        <v>1259</v>
      </c>
      <c r="N12" s="45" t="s">
        <v>858</v>
      </c>
      <c r="O12" s="45" t="s">
        <v>104</v>
      </c>
      <c r="P12" s="63" t="s">
        <v>894</v>
      </c>
      <c r="Q12" s="45" t="s">
        <v>834</v>
      </c>
      <c r="R12" s="45" t="s">
        <v>895</v>
      </c>
      <c r="S12" s="45" t="s">
        <v>896</v>
      </c>
      <c r="T12" s="53" t="str">
        <f t="shared" si="0"/>
        <v>Premium</v>
      </c>
      <c r="U12" s="73">
        <v>90668.748601920015</v>
      </c>
      <c r="V12" s="73"/>
      <c r="W12" s="73">
        <f t="shared" si="1"/>
        <v>90668.748601920015</v>
      </c>
    </row>
    <row r="13" spans="2:23" x14ac:dyDescent="0.35">
      <c r="B13" s="45" t="s">
        <v>934</v>
      </c>
      <c r="C13" s="45" t="s">
        <v>220</v>
      </c>
      <c r="D13" s="45" t="s">
        <v>1223</v>
      </c>
      <c r="E13" s="45" t="s">
        <v>1224</v>
      </c>
      <c r="F13" s="45" t="s">
        <v>822</v>
      </c>
      <c r="G13" s="45" t="s">
        <v>838</v>
      </c>
      <c r="H13" s="45" t="s">
        <v>831</v>
      </c>
      <c r="I13" s="45" t="s">
        <v>1017</v>
      </c>
      <c r="J13" s="45" t="s">
        <v>87</v>
      </c>
      <c r="K13" s="63" t="s">
        <v>1225</v>
      </c>
      <c r="L13" s="63" t="s">
        <v>850</v>
      </c>
      <c r="M13" s="45" t="s">
        <v>1226</v>
      </c>
      <c r="N13" s="45" t="s">
        <v>844</v>
      </c>
      <c r="O13" s="45" t="s">
        <v>104</v>
      </c>
      <c r="P13" s="63" t="s">
        <v>894</v>
      </c>
      <c r="Q13" s="45" t="s">
        <v>834</v>
      </c>
      <c r="R13" s="45" t="s">
        <v>895</v>
      </c>
      <c r="S13" s="45" t="s">
        <v>896</v>
      </c>
      <c r="T13" s="53" t="str">
        <f t="shared" si="0"/>
        <v>Premium</v>
      </c>
      <c r="U13" s="73">
        <v>81912.285783560001</v>
      </c>
      <c r="V13" s="73"/>
      <c r="W13" s="73">
        <f t="shared" si="1"/>
        <v>81912.285783560001</v>
      </c>
    </row>
    <row r="14" spans="2:23" x14ac:dyDescent="0.35">
      <c r="B14" s="45" t="s">
        <v>934</v>
      </c>
      <c r="C14" s="45" t="s">
        <v>220</v>
      </c>
      <c r="D14" s="45" t="s">
        <v>945</v>
      </c>
      <c r="E14" s="45" t="s">
        <v>155</v>
      </c>
      <c r="F14" s="45"/>
      <c r="G14" s="45" t="s">
        <v>849</v>
      </c>
      <c r="H14" s="45" t="s">
        <v>831</v>
      </c>
      <c r="I14" s="45" t="s">
        <v>920</v>
      </c>
      <c r="J14" s="45" t="s">
        <v>944</v>
      </c>
      <c r="K14" s="63" t="s">
        <v>1220</v>
      </c>
      <c r="L14" s="63" t="s">
        <v>938</v>
      </c>
      <c r="M14" s="45" t="s">
        <v>939</v>
      </c>
      <c r="N14" s="45" t="s">
        <v>844</v>
      </c>
      <c r="O14" s="45" t="s">
        <v>104</v>
      </c>
      <c r="P14" s="63" t="s">
        <v>894</v>
      </c>
      <c r="Q14" s="45" t="s">
        <v>834</v>
      </c>
      <c r="R14" s="45" t="s">
        <v>933</v>
      </c>
      <c r="S14" s="45" t="s">
        <v>940</v>
      </c>
      <c r="T14" s="53" t="str">
        <f t="shared" si="0"/>
        <v>Premium</v>
      </c>
      <c r="U14" s="73">
        <v>80737.341811771519</v>
      </c>
      <c r="V14" s="73"/>
      <c r="W14" s="73">
        <f t="shared" si="1"/>
        <v>80737.341811771519</v>
      </c>
    </row>
    <row r="15" spans="2:23" x14ac:dyDescent="0.35">
      <c r="B15" s="45" t="s">
        <v>934</v>
      </c>
      <c r="C15" s="45" t="s">
        <v>220</v>
      </c>
      <c r="D15" s="45" t="s">
        <v>946</v>
      </c>
      <c r="E15" s="45" t="s">
        <v>947</v>
      </c>
      <c r="F15" s="45"/>
      <c r="G15" s="45" t="s">
        <v>849</v>
      </c>
      <c r="H15" s="45" t="s">
        <v>831</v>
      </c>
      <c r="I15" s="45" t="s">
        <v>101</v>
      </c>
      <c r="J15" s="45" t="s">
        <v>948</v>
      </c>
      <c r="K15" s="63" t="s">
        <v>937</v>
      </c>
      <c r="L15" s="63" t="s">
        <v>938</v>
      </c>
      <c r="M15" s="45" t="s">
        <v>949</v>
      </c>
      <c r="N15" s="45" t="s">
        <v>873</v>
      </c>
      <c r="O15" s="45" t="s">
        <v>104</v>
      </c>
      <c r="P15" s="63" t="s">
        <v>894</v>
      </c>
      <c r="Q15" s="45" t="s">
        <v>834</v>
      </c>
      <c r="R15" s="45" t="s">
        <v>933</v>
      </c>
      <c r="S15" s="45" t="s">
        <v>940</v>
      </c>
      <c r="T15" s="53" t="str">
        <f t="shared" si="0"/>
        <v>Premium</v>
      </c>
      <c r="U15" s="73">
        <v>76845.862249356593</v>
      </c>
      <c r="V15" s="73"/>
      <c r="W15" s="73">
        <f t="shared" si="1"/>
        <v>76845.862249356593</v>
      </c>
    </row>
    <row r="16" spans="2:23" x14ac:dyDescent="0.35">
      <c r="B16" s="45" t="s">
        <v>934</v>
      </c>
      <c r="C16" s="45" t="s">
        <v>220</v>
      </c>
      <c r="D16" s="45" t="s">
        <v>943</v>
      </c>
      <c r="E16" s="45" t="s">
        <v>796</v>
      </c>
      <c r="F16" s="45" t="s">
        <v>822</v>
      </c>
      <c r="G16" s="45" t="s">
        <v>849</v>
      </c>
      <c r="H16" s="45" t="s">
        <v>831</v>
      </c>
      <c r="I16" s="45" t="s">
        <v>920</v>
      </c>
      <c r="J16" s="45" t="s">
        <v>942</v>
      </c>
      <c r="K16" s="63" t="s">
        <v>937</v>
      </c>
      <c r="L16" s="63" t="s">
        <v>938</v>
      </c>
      <c r="M16" s="45" t="s">
        <v>939</v>
      </c>
      <c r="N16" s="45" t="s">
        <v>873</v>
      </c>
      <c r="O16" s="45" t="s">
        <v>104</v>
      </c>
      <c r="P16" s="63" t="s">
        <v>894</v>
      </c>
      <c r="Q16" s="45" t="s">
        <v>834</v>
      </c>
      <c r="R16" s="45" t="s">
        <v>933</v>
      </c>
      <c r="S16" s="45" t="s">
        <v>940</v>
      </c>
      <c r="T16" s="53" t="str">
        <f t="shared" si="0"/>
        <v>Premium</v>
      </c>
      <c r="U16" s="73">
        <v>74413.551310165582</v>
      </c>
      <c r="V16" s="73"/>
      <c r="W16" s="73">
        <f t="shared" si="1"/>
        <v>74413.551310165582</v>
      </c>
    </row>
    <row r="17" spans="2:23" x14ac:dyDescent="0.35">
      <c r="B17" s="45" t="s">
        <v>934</v>
      </c>
      <c r="C17" s="45" t="s">
        <v>220</v>
      </c>
      <c r="D17" s="45" t="s">
        <v>1365</v>
      </c>
      <c r="E17" s="45" t="s">
        <v>1370</v>
      </c>
      <c r="F17" s="45" t="s">
        <v>1291</v>
      </c>
      <c r="G17" s="45" t="s">
        <v>863</v>
      </c>
      <c r="H17" s="45" t="s">
        <v>831</v>
      </c>
      <c r="I17" s="45" t="s">
        <v>1017</v>
      </c>
      <c r="J17" s="45" t="s">
        <v>87</v>
      </c>
      <c r="K17" s="63" t="s">
        <v>937</v>
      </c>
      <c r="L17" s="63" t="s">
        <v>850</v>
      </c>
      <c r="M17" s="45" t="s">
        <v>1226</v>
      </c>
      <c r="N17" s="45" t="s">
        <v>858</v>
      </c>
      <c r="O17" s="45" t="s">
        <v>104</v>
      </c>
      <c r="P17" s="63" t="s">
        <v>894</v>
      </c>
      <c r="Q17" s="45" t="s">
        <v>834</v>
      </c>
      <c r="R17" s="45" t="s">
        <v>895</v>
      </c>
      <c r="S17" s="45" t="s">
        <v>896</v>
      </c>
      <c r="T17" s="53" t="str">
        <f t="shared" si="0"/>
        <v>Mainstream</v>
      </c>
      <c r="U17" s="73">
        <v>74413.181590029533</v>
      </c>
      <c r="V17" s="73">
        <v>4999.66</v>
      </c>
      <c r="W17" s="73">
        <f t="shared" si="1"/>
        <v>69413.52159002953</v>
      </c>
    </row>
    <row r="18" spans="2:23" x14ac:dyDescent="0.35">
      <c r="B18" s="45" t="s">
        <v>934</v>
      </c>
      <c r="C18" s="45" t="s">
        <v>220</v>
      </c>
      <c r="D18" s="45" t="s">
        <v>952</v>
      </c>
      <c r="E18" s="45" t="s">
        <v>437</v>
      </c>
      <c r="F18" s="45"/>
      <c r="G18" s="45" t="s">
        <v>849</v>
      </c>
      <c r="H18" s="45" t="s">
        <v>831</v>
      </c>
      <c r="I18" s="45" t="s">
        <v>953</v>
      </c>
      <c r="J18" s="45" t="s">
        <v>944</v>
      </c>
      <c r="K18" s="63" t="s">
        <v>951</v>
      </c>
      <c r="L18" s="63" t="s">
        <v>938</v>
      </c>
      <c r="M18" s="45" t="s">
        <v>939</v>
      </c>
      <c r="N18" s="45" t="s">
        <v>844</v>
      </c>
      <c r="O18" s="45" t="s">
        <v>104</v>
      </c>
      <c r="P18" s="63" t="s">
        <v>894</v>
      </c>
      <c r="Q18" s="45" t="s">
        <v>834</v>
      </c>
      <c r="R18" s="45" t="s">
        <v>933</v>
      </c>
      <c r="S18" s="45" t="s">
        <v>940</v>
      </c>
      <c r="T18" s="53" t="str">
        <f t="shared" si="0"/>
        <v>Mainstream</v>
      </c>
      <c r="U18" s="73">
        <v>70463.679210764021</v>
      </c>
      <c r="V18" s="73"/>
      <c r="W18" s="73">
        <f t="shared" si="1"/>
        <v>70463.679210764021</v>
      </c>
    </row>
    <row r="19" spans="2:23" x14ac:dyDescent="0.35">
      <c r="B19" s="45" t="s">
        <v>934</v>
      </c>
      <c r="C19" s="45" t="s">
        <v>220</v>
      </c>
      <c r="D19" s="45" t="s">
        <v>941</v>
      </c>
      <c r="E19" s="45" t="s">
        <v>935</v>
      </c>
      <c r="F19" s="45" t="s">
        <v>822</v>
      </c>
      <c r="G19" s="45" t="s">
        <v>849</v>
      </c>
      <c r="H19" s="45" t="s">
        <v>831</v>
      </c>
      <c r="I19" s="45" t="s">
        <v>920</v>
      </c>
      <c r="J19" s="45" t="s">
        <v>936</v>
      </c>
      <c r="K19" s="63" t="s">
        <v>937</v>
      </c>
      <c r="L19" s="63" t="s">
        <v>938</v>
      </c>
      <c r="M19" s="45" t="s">
        <v>939</v>
      </c>
      <c r="N19" s="45" t="s">
        <v>873</v>
      </c>
      <c r="O19" s="45" t="s">
        <v>104</v>
      </c>
      <c r="P19" s="63" t="s">
        <v>894</v>
      </c>
      <c r="Q19" s="45" t="s">
        <v>834</v>
      </c>
      <c r="R19" s="45" t="s">
        <v>933</v>
      </c>
      <c r="S19" s="45" t="s">
        <v>940</v>
      </c>
      <c r="T19" s="53" t="str">
        <f t="shared" si="0"/>
        <v>Mainstream</v>
      </c>
      <c r="U19" s="73">
        <v>69547.995401966182</v>
      </c>
      <c r="V19" s="73"/>
      <c r="W19" s="73">
        <f t="shared" si="1"/>
        <v>69547.995401966182</v>
      </c>
    </row>
    <row r="20" spans="2:23" x14ac:dyDescent="0.35">
      <c r="B20" s="45" t="s">
        <v>992</v>
      </c>
      <c r="C20" s="45" t="s">
        <v>81</v>
      </c>
      <c r="D20" s="45" t="s">
        <v>1231</v>
      </c>
      <c r="E20" s="45" t="s">
        <v>1003</v>
      </c>
      <c r="F20" s="45" t="s">
        <v>822</v>
      </c>
      <c r="G20" s="45" t="s">
        <v>830</v>
      </c>
      <c r="H20" s="45" t="s">
        <v>831</v>
      </c>
      <c r="I20" s="45" t="s">
        <v>920</v>
      </c>
      <c r="J20" s="45" t="s">
        <v>1230</v>
      </c>
      <c r="K20" s="63" t="s">
        <v>1232</v>
      </c>
      <c r="L20" s="63" t="s">
        <v>938</v>
      </c>
      <c r="M20" s="45" t="s">
        <v>1115</v>
      </c>
      <c r="N20" s="45" t="s">
        <v>974</v>
      </c>
      <c r="O20" s="45" t="s">
        <v>104</v>
      </c>
      <c r="P20" s="63" t="s">
        <v>894</v>
      </c>
      <c r="Q20" s="45" t="s">
        <v>834</v>
      </c>
      <c r="R20" s="45" t="s">
        <v>895</v>
      </c>
      <c r="S20" s="45" t="s">
        <v>896</v>
      </c>
      <c r="T20" s="53" t="str">
        <f t="shared" si="0"/>
        <v>Premium</v>
      </c>
      <c r="U20" s="73">
        <v>119168.77700543418</v>
      </c>
      <c r="V20" s="73"/>
      <c r="W20" s="73">
        <f t="shared" si="1"/>
        <v>119168.77700543418</v>
      </c>
    </row>
    <row r="21" spans="2:23" x14ac:dyDescent="0.35">
      <c r="B21" s="45" t="s">
        <v>992</v>
      </c>
      <c r="C21" s="45" t="s">
        <v>81</v>
      </c>
      <c r="D21" s="45" t="s">
        <v>803</v>
      </c>
      <c r="E21" s="45" t="s">
        <v>796</v>
      </c>
      <c r="F21" s="45" t="s">
        <v>822</v>
      </c>
      <c r="G21" s="45" t="s">
        <v>838</v>
      </c>
      <c r="H21" s="45" t="s">
        <v>831</v>
      </c>
      <c r="I21" s="45" t="s">
        <v>101</v>
      </c>
      <c r="J21" s="45" t="s">
        <v>1004</v>
      </c>
      <c r="K21" s="63" t="s">
        <v>1005</v>
      </c>
      <c r="L21" s="63" t="s">
        <v>993</v>
      </c>
      <c r="M21" s="45" t="s">
        <v>1006</v>
      </c>
      <c r="N21" s="45" t="s">
        <v>974</v>
      </c>
      <c r="O21" s="45" t="s">
        <v>104</v>
      </c>
      <c r="P21" s="63" t="s">
        <v>894</v>
      </c>
      <c r="Q21" s="45" t="s">
        <v>834</v>
      </c>
      <c r="R21" s="45" t="s">
        <v>933</v>
      </c>
      <c r="S21" s="45" t="s">
        <v>896</v>
      </c>
      <c r="T21" s="53" t="str">
        <f t="shared" si="0"/>
        <v>Premium</v>
      </c>
      <c r="U21" s="73">
        <v>126952.35881680892</v>
      </c>
      <c r="V21" s="73"/>
      <c r="W21" s="73">
        <f t="shared" si="1"/>
        <v>126952.35881680892</v>
      </c>
    </row>
    <row r="22" spans="2:23" x14ac:dyDescent="0.35">
      <c r="B22" s="45" t="s">
        <v>992</v>
      </c>
      <c r="C22" s="45" t="s">
        <v>81</v>
      </c>
      <c r="D22" s="45" t="s">
        <v>712</v>
      </c>
      <c r="E22" s="45" t="s">
        <v>682</v>
      </c>
      <c r="F22" s="45" t="s">
        <v>822</v>
      </c>
      <c r="G22" s="45" t="s">
        <v>838</v>
      </c>
      <c r="H22" s="45" t="s">
        <v>831</v>
      </c>
      <c r="I22" s="45" t="s">
        <v>101</v>
      </c>
      <c r="J22" s="45" t="s">
        <v>714</v>
      </c>
      <c r="K22" s="63" t="s">
        <v>715</v>
      </c>
      <c r="L22" s="63" t="s">
        <v>993</v>
      </c>
      <c r="M22" s="45" t="s">
        <v>998</v>
      </c>
      <c r="N22" s="45" t="s">
        <v>974</v>
      </c>
      <c r="O22" s="45" t="s">
        <v>104</v>
      </c>
      <c r="P22" s="63" t="s">
        <v>894</v>
      </c>
      <c r="Q22" s="45" t="s">
        <v>834</v>
      </c>
      <c r="R22" s="45" t="s">
        <v>895</v>
      </c>
      <c r="S22" s="45" t="s">
        <v>896</v>
      </c>
      <c r="T22" s="53" t="str">
        <f t="shared" si="0"/>
        <v>Premium</v>
      </c>
      <c r="U22" s="73">
        <v>121114.67245827787</v>
      </c>
      <c r="V22" s="73"/>
      <c r="W22" s="73">
        <f t="shared" si="1"/>
        <v>121114.67245827787</v>
      </c>
    </row>
    <row r="23" spans="2:23" x14ac:dyDescent="0.35">
      <c r="B23" s="45" t="s">
        <v>1371</v>
      </c>
      <c r="C23" s="45" t="s">
        <v>81</v>
      </c>
      <c r="D23" s="45" t="s">
        <v>1372</v>
      </c>
      <c r="E23" s="45" t="s">
        <v>437</v>
      </c>
      <c r="F23" s="45"/>
      <c r="G23" s="45" t="s">
        <v>1373</v>
      </c>
      <c r="H23" s="45" t="s">
        <v>100</v>
      </c>
      <c r="I23" s="45" t="s">
        <v>1374</v>
      </c>
      <c r="J23" s="45" t="s">
        <v>944</v>
      </c>
      <c r="K23" s="63" t="s">
        <v>1375</v>
      </c>
      <c r="L23" s="63" t="s">
        <v>850</v>
      </c>
      <c r="M23" s="45" t="s">
        <v>1376</v>
      </c>
      <c r="N23" s="45" t="s">
        <v>873</v>
      </c>
      <c r="O23" s="45" t="s">
        <v>104</v>
      </c>
      <c r="P23" s="63" t="s">
        <v>836</v>
      </c>
      <c r="Q23" s="45" t="s">
        <v>834</v>
      </c>
      <c r="R23" s="45" t="s">
        <v>895</v>
      </c>
      <c r="S23" s="45"/>
      <c r="T23" s="53" t="str">
        <f t="shared" si="0"/>
        <v>Mainstream</v>
      </c>
      <c r="U23" s="73">
        <v>67236.672052232971</v>
      </c>
      <c r="V23" s="73"/>
      <c r="W23" s="73">
        <f t="shared" si="1"/>
        <v>67236.672052232971</v>
      </c>
    </row>
    <row r="24" spans="2:23" x14ac:dyDescent="0.35">
      <c r="B24" s="45" t="s">
        <v>1371</v>
      </c>
      <c r="C24" s="45" t="s">
        <v>81</v>
      </c>
      <c r="D24" s="45" t="s">
        <v>1016</v>
      </c>
      <c r="E24" s="45" t="s">
        <v>437</v>
      </c>
      <c r="F24" s="45"/>
      <c r="G24" s="45" t="s">
        <v>1377</v>
      </c>
      <c r="H24" s="45" t="s">
        <v>100</v>
      </c>
      <c r="I24" s="45" t="s">
        <v>1240</v>
      </c>
      <c r="J24" s="45" t="s">
        <v>944</v>
      </c>
      <c r="K24" s="63" t="s">
        <v>1375</v>
      </c>
      <c r="L24" s="63" t="s">
        <v>850</v>
      </c>
      <c r="M24" s="45" t="s">
        <v>1376</v>
      </c>
      <c r="N24" s="45" t="s">
        <v>873</v>
      </c>
      <c r="O24" s="45" t="s">
        <v>104</v>
      </c>
      <c r="P24" s="63" t="s">
        <v>836</v>
      </c>
      <c r="Q24" s="45" t="s">
        <v>834</v>
      </c>
      <c r="R24" s="45" t="s">
        <v>895</v>
      </c>
      <c r="S24" s="45"/>
      <c r="T24" s="53" t="str">
        <f t="shared" si="0"/>
        <v>Mainstream</v>
      </c>
      <c r="U24" s="73">
        <v>63997.003325811136</v>
      </c>
      <c r="V24" s="73">
        <v>2999.56</v>
      </c>
      <c r="W24" s="73">
        <f t="shared" si="1"/>
        <v>60997.443325811138</v>
      </c>
    </row>
    <row r="25" spans="2:23" x14ac:dyDescent="0.35">
      <c r="B25" s="45" t="s">
        <v>1371</v>
      </c>
      <c r="C25" s="45" t="s">
        <v>81</v>
      </c>
      <c r="D25" s="45" t="s">
        <v>1210</v>
      </c>
      <c r="E25" s="45" t="s">
        <v>437</v>
      </c>
      <c r="F25" s="45"/>
      <c r="G25" s="45" t="s">
        <v>1377</v>
      </c>
      <c r="H25" s="45" t="s">
        <v>100</v>
      </c>
      <c r="I25" s="45" t="s">
        <v>1240</v>
      </c>
      <c r="J25" s="45" t="s">
        <v>944</v>
      </c>
      <c r="K25" s="63" t="s">
        <v>1375</v>
      </c>
      <c r="L25" s="63" t="s">
        <v>1378</v>
      </c>
      <c r="M25" s="45" t="s">
        <v>1376</v>
      </c>
      <c r="N25" s="45" t="s">
        <v>873</v>
      </c>
      <c r="O25" s="45" t="s">
        <v>104</v>
      </c>
      <c r="P25" s="63" t="s">
        <v>836</v>
      </c>
      <c r="Q25" s="45" t="s">
        <v>834</v>
      </c>
      <c r="R25" s="45" t="s">
        <v>895</v>
      </c>
      <c r="S25" s="45"/>
      <c r="T25" s="53" t="str">
        <f t="shared" si="0"/>
        <v>Mainstream</v>
      </c>
      <c r="U25" s="73">
        <v>64969.951052232987</v>
      </c>
      <c r="V25" s="73">
        <v>2999.56</v>
      </c>
      <c r="W25" s="73">
        <f t="shared" si="1"/>
        <v>61970.39105223299</v>
      </c>
    </row>
    <row r="26" spans="2:23" x14ac:dyDescent="0.35">
      <c r="B26" s="45" t="s">
        <v>1371</v>
      </c>
      <c r="C26" s="45" t="s">
        <v>81</v>
      </c>
      <c r="D26" s="45" t="s">
        <v>1022</v>
      </c>
      <c r="E26" s="45" t="s">
        <v>99</v>
      </c>
      <c r="F26" s="45"/>
      <c r="G26" s="45" t="s">
        <v>863</v>
      </c>
      <c r="H26" s="45" t="s">
        <v>831</v>
      </c>
      <c r="I26" s="45" t="s">
        <v>1017</v>
      </c>
      <c r="J26" s="45" t="s">
        <v>961</v>
      </c>
      <c r="K26" s="63" t="s">
        <v>1013</v>
      </c>
      <c r="L26" s="63" t="s">
        <v>957</v>
      </c>
      <c r="M26" s="45" t="s">
        <v>1014</v>
      </c>
      <c r="N26" s="45" t="s">
        <v>844</v>
      </c>
      <c r="O26" s="45" t="s">
        <v>104</v>
      </c>
      <c r="P26" s="63"/>
      <c r="Q26" s="45" t="s">
        <v>834</v>
      </c>
      <c r="R26" s="45" t="s">
        <v>895</v>
      </c>
      <c r="S26" s="45" t="s">
        <v>836</v>
      </c>
      <c r="T26" s="53" t="str">
        <f t="shared" si="0"/>
        <v>Mainstream</v>
      </c>
      <c r="U26" s="73">
        <v>55269.621017244353</v>
      </c>
      <c r="V26" s="73">
        <v>4399.04</v>
      </c>
      <c r="W26" s="73">
        <f t="shared" si="1"/>
        <v>50870.581017244353</v>
      </c>
    </row>
    <row r="27" spans="2:23" x14ac:dyDescent="0.35">
      <c r="B27" s="45" t="s">
        <v>1371</v>
      </c>
      <c r="C27" s="45" t="s">
        <v>81</v>
      </c>
      <c r="D27" s="45" t="s">
        <v>1208</v>
      </c>
      <c r="E27" s="45" t="s">
        <v>99</v>
      </c>
      <c r="F27" s="45"/>
      <c r="G27" s="45" t="s">
        <v>863</v>
      </c>
      <c r="H27" s="45" t="s">
        <v>831</v>
      </c>
      <c r="I27" s="45" t="s">
        <v>1017</v>
      </c>
      <c r="J27" s="45" t="s">
        <v>961</v>
      </c>
      <c r="K27" s="63" t="s">
        <v>1235</v>
      </c>
      <c r="L27" s="63" t="s">
        <v>957</v>
      </c>
      <c r="M27" s="45" t="s">
        <v>1014</v>
      </c>
      <c r="N27" s="45" t="s">
        <v>844</v>
      </c>
      <c r="O27" s="45" t="s">
        <v>104</v>
      </c>
      <c r="P27" s="63"/>
      <c r="Q27" s="45" t="s">
        <v>834</v>
      </c>
      <c r="R27" s="45" t="s">
        <v>895</v>
      </c>
      <c r="S27" s="45" t="s">
        <v>836</v>
      </c>
      <c r="T27" s="53" t="str">
        <f t="shared" si="0"/>
        <v>Mainstream</v>
      </c>
      <c r="U27" s="73">
        <v>53212</v>
      </c>
      <c r="V27" s="73">
        <v>1898.62</v>
      </c>
      <c r="W27" s="73">
        <f t="shared" si="1"/>
        <v>51313.38</v>
      </c>
    </row>
    <row r="28" spans="2:23" x14ac:dyDescent="0.35">
      <c r="B28" s="45" t="s">
        <v>1371</v>
      </c>
      <c r="C28" s="45" t="s">
        <v>81</v>
      </c>
      <c r="D28" s="45" t="s">
        <v>1193</v>
      </c>
      <c r="E28" s="45" t="s">
        <v>960</v>
      </c>
      <c r="F28" s="45"/>
      <c r="G28" s="45" t="s">
        <v>876</v>
      </c>
      <c r="H28" s="45" t="s">
        <v>831</v>
      </c>
      <c r="I28" s="45" t="s">
        <v>1017</v>
      </c>
      <c r="J28" s="45" t="s">
        <v>944</v>
      </c>
      <c r="K28" s="63" t="s">
        <v>1126</v>
      </c>
      <c r="L28" s="63" t="s">
        <v>957</v>
      </c>
      <c r="M28" s="45" t="s">
        <v>1024</v>
      </c>
      <c r="N28" s="45" t="s">
        <v>844</v>
      </c>
      <c r="O28" s="45" t="s">
        <v>104</v>
      </c>
      <c r="P28" s="63"/>
      <c r="Q28" s="45" t="s">
        <v>834</v>
      </c>
      <c r="R28" s="45" t="s">
        <v>895</v>
      </c>
      <c r="S28" s="45" t="s">
        <v>836</v>
      </c>
      <c r="T28" s="53" t="str">
        <f t="shared" si="0"/>
        <v>Entry</v>
      </c>
      <c r="U28" s="73">
        <v>43629.939346402622</v>
      </c>
      <c r="V28" s="73"/>
      <c r="W28" s="73">
        <f t="shared" si="1"/>
        <v>43629.939346402622</v>
      </c>
    </row>
    <row r="29" spans="2:23" x14ac:dyDescent="0.35">
      <c r="B29" s="45" t="s">
        <v>1371</v>
      </c>
      <c r="C29" s="45" t="s">
        <v>81</v>
      </c>
      <c r="D29" s="45" t="s">
        <v>1199</v>
      </c>
      <c r="E29" s="45" t="s">
        <v>960</v>
      </c>
      <c r="F29" s="45"/>
      <c r="G29" s="45" t="s">
        <v>876</v>
      </c>
      <c r="H29" s="45" t="s">
        <v>831</v>
      </c>
      <c r="I29" s="45" t="s">
        <v>1017</v>
      </c>
      <c r="J29" s="45" t="s">
        <v>944</v>
      </c>
      <c r="K29" s="63" t="s">
        <v>1126</v>
      </c>
      <c r="L29" s="63" t="s">
        <v>957</v>
      </c>
      <c r="M29" s="45" t="s">
        <v>1024</v>
      </c>
      <c r="N29" s="45" t="s">
        <v>844</v>
      </c>
      <c r="O29" s="45" t="s">
        <v>104</v>
      </c>
      <c r="P29" s="63"/>
      <c r="Q29" s="45" t="s">
        <v>834</v>
      </c>
      <c r="R29" s="45" t="s">
        <v>895</v>
      </c>
      <c r="S29" s="45" t="s">
        <v>836</v>
      </c>
      <c r="T29" s="53" t="str">
        <f t="shared" si="0"/>
        <v>Entry</v>
      </c>
      <c r="U29" s="73">
        <v>42486.287999246299</v>
      </c>
      <c r="V29" s="73"/>
      <c r="W29" s="73">
        <f t="shared" si="1"/>
        <v>42486.287999246299</v>
      </c>
    </row>
    <row r="30" spans="2:23" x14ac:dyDescent="0.35">
      <c r="B30" s="45" t="s">
        <v>1371</v>
      </c>
      <c r="C30" s="45" t="s">
        <v>81</v>
      </c>
      <c r="D30" s="45" t="s">
        <v>1300</v>
      </c>
      <c r="E30" s="45" t="s">
        <v>1301</v>
      </c>
      <c r="F30" s="45" t="s">
        <v>1291</v>
      </c>
      <c r="G30" s="45" t="s">
        <v>863</v>
      </c>
      <c r="H30" s="45" t="s">
        <v>831</v>
      </c>
      <c r="I30" s="45" t="s">
        <v>1017</v>
      </c>
      <c r="J30" s="45" t="s">
        <v>1302</v>
      </c>
      <c r="K30" s="63" t="s">
        <v>1018</v>
      </c>
      <c r="L30" s="63" t="s">
        <v>938</v>
      </c>
      <c r="M30" s="45" t="s">
        <v>967</v>
      </c>
      <c r="N30" s="45" t="s">
        <v>844</v>
      </c>
      <c r="O30" s="45" t="s">
        <v>104</v>
      </c>
      <c r="P30" s="63"/>
      <c r="Q30" s="45" t="s">
        <v>834</v>
      </c>
      <c r="R30" s="45" t="s">
        <v>895</v>
      </c>
      <c r="S30" s="45" t="s">
        <v>836</v>
      </c>
      <c r="T30" s="53" t="str">
        <f t="shared" si="0"/>
        <v>Mainstream</v>
      </c>
      <c r="U30" s="73">
        <v>62177.343874839418</v>
      </c>
      <c r="V30" s="73">
        <v>6000.2999999999993</v>
      </c>
      <c r="W30" s="73">
        <f t="shared" si="1"/>
        <v>56177.043874839423</v>
      </c>
    </row>
    <row r="31" spans="2:23" x14ac:dyDescent="0.35">
      <c r="B31" s="45" t="s">
        <v>1371</v>
      </c>
      <c r="C31" s="45" t="s">
        <v>81</v>
      </c>
      <c r="D31" s="45" t="s">
        <v>1312</v>
      </c>
      <c r="E31" s="45" t="s">
        <v>439</v>
      </c>
      <c r="F31" s="45"/>
      <c r="G31" s="45" t="s">
        <v>863</v>
      </c>
      <c r="H31" s="45" t="s">
        <v>831</v>
      </c>
      <c r="I31" s="45" t="s">
        <v>1017</v>
      </c>
      <c r="J31" s="45" t="s">
        <v>961</v>
      </c>
      <c r="K31" s="63" t="s">
        <v>1313</v>
      </c>
      <c r="L31" s="63" t="s">
        <v>938</v>
      </c>
      <c r="M31" s="45" t="s">
        <v>1314</v>
      </c>
      <c r="N31" s="45" t="s">
        <v>844</v>
      </c>
      <c r="O31" s="45" t="s">
        <v>104</v>
      </c>
      <c r="P31" s="63"/>
      <c r="Q31" s="45" t="s">
        <v>834</v>
      </c>
      <c r="R31" s="45" t="s">
        <v>895</v>
      </c>
      <c r="S31" s="45" t="s">
        <v>836</v>
      </c>
      <c r="T31" s="53" t="str">
        <f t="shared" si="0"/>
        <v>Mainstream</v>
      </c>
      <c r="U31" s="73">
        <v>62911.063452232986</v>
      </c>
      <c r="V31" s="73">
        <v>2000.1</v>
      </c>
      <c r="W31" s="73">
        <f t="shared" si="1"/>
        <v>60910.963452232987</v>
      </c>
    </row>
    <row r="32" spans="2:23" x14ac:dyDescent="0.35">
      <c r="B32" s="45" t="s">
        <v>1371</v>
      </c>
      <c r="C32" s="45" t="s">
        <v>81</v>
      </c>
      <c r="D32" s="45" t="s">
        <v>1209</v>
      </c>
      <c r="E32" s="45" t="s">
        <v>439</v>
      </c>
      <c r="F32" s="45"/>
      <c r="G32" s="45" t="s">
        <v>838</v>
      </c>
      <c r="H32" s="45"/>
      <c r="I32" s="45" t="s">
        <v>1017</v>
      </c>
      <c r="J32" s="45" t="s">
        <v>961</v>
      </c>
      <c r="K32" s="63" t="s">
        <v>1018</v>
      </c>
      <c r="L32" s="63" t="s">
        <v>938</v>
      </c>
      <c r="M32" s="45" t="s">
        <v>1019</v>
      </c>
      <c r="N32" s="45" t="s">
        <v>844</v>
      </c>
      <c r="O32" s="45" t="s">
        <v>104</v>
      </c>
      <c r="P32" s="63"/>
      <c r="Q32" s="45" t="s">
        <v>834</v>
      </c>
      <c r="R32" s="45" t="s">
        <v>895</v>
      </c>
      <c r="S32" s="45" t="s">
        <v>836</v>
      </c>
      <c r="T32" s="53" t="str">
        <f t="shared" si="0"/>
        <v>Mainstream</v>
      </c>
      <c r="U32" s="73">
        <v>66138.070610764014</v>
      </c>
      <c r="V32" s="73">
        <v>2999.56</v>
      </c>
      <c r="W32" s="73">
        <f t="shared" si="1"/>
        <v>63138.510610764017</v>
      </c>
    </row>
    <row r="33" spans="2:23" x14ac:dyDescent="0.35">
      <c r="B33" s="45" t="s">
        <v>971</v>
      </c>
      <c r="C33" s="45" t="s">
        <v>81</v>
      </c>
      <c r="D33" s="45" t="s">
        <v>975</v>
      </c>
      <c r="E33" s="45" t="s">
        <v>437</v>
      </c>
      <c r="F33" s="45"/>
      <c r="G33" s="45" t="s">
        <v>847</v>
      </c>
      <c r="H33" s="45" t="s">
        <v>831</v>
      </c>
      <c r="I33" s="45" t="s">
        <v>920</v>
      </c>
      <c r="J33" s="45" t="s">
        <v>87</v>
      </c>
      <c r="K33" s="63" t="s">
        <v>976</v>
      </c>
      <c r="L33" s="63" t="s">
        <v>938</v>
      </c>
      <c r="M33" s="45" t="s">
        <v>977</v>
      </c>
      <c r="N33" s="45" t="s">
        <v>974</v>
      </c>
      <c r="O33" s="45" t="s">
        <v>104</v>
      </c>
      <c r="P33" s="63" t="s">
        <v>894</v>
      </c>
      <c r="Q33" s="45" t="s">
        <v>834</v>
      </c>
      <c r="R33" s="45" t="s">
        <v>895</v>
      </c>
      <c r="S33" s="45" t="s">
        <v>896</v>
      </c>
      <c r="T33" s="53" t="str">
        <f t="shared" si="0"/>
        <v>Mainstream</v>
      </c>
      <c r="U33" s="73">
        <v>70520.38071944</v>
      </c>
      <c r="V33" s="73"/>
      <c r="W33" s="73">
        <f t="shared" si="1"/>
        <v>70520.38071944</v>
      </c>
    </row>
    <row r="34" spans="2:23" x14ac:dyDescent="0.35">
      <c r="B34" s="45" t="s">
        <v>971</v>
      </c>
      <c r="C34" s="45" t="s">
        <v>81</v>
      </c>
      <c r="D34" s="45" t="s">
        <v>1352</v>
      </c>
      <c r="E34" s="45" t="s">
        <v>437</v>
      </c>
      <c r="F34" s="45"/>
      <c r="G34" s="45" t="s">
        <v>847</v>
      </c>
      <c r="H34" s="45" t="s">
        <v>831</v>
      </c>
      <c r="I34" s="45" t="s">
        <v>920</v>
      </c>
      <c r="J34" s="45" t="s">
        <v>87</v>
      </c>
      <c r="K34" s="63" t="s">
        <v>1114</v>
      </c>
      <c r="L34" s="63" t="s">
        <v>938</v>
      </c>
      <c r="M34" s="45" t="s">
        <v>1115</v>
      </c>
      <c r="N34" s="45" t="s">
        <v>836</v>
      </c>
      <c r="O34" s="45" t="s">
        <v>104</v>
      </c>
      <c r="P34" s="63" t="s">
        <v>894</v>
      </c>
      <c r="Q34" s="45" t="s">
        <v>834</v>
      </c>
      <c r="R34" s="45" t="s">
        <v>895</v>
      </c>
      <c r="S34" s="45" t="s">
        <v>896</v>
      </c>
      <c r="T34" s="53" t="str">
        <f t="shared" si="0"/>
        <v>Mainstream</v>
      </c>
      <c r="U34" s="73">
        <v>71442.35693079562</v>
      </c>
      <c r="V34" s="73">
        <v>5871.6799999999994</v>
      </c>
      <c r="W34" s="73">
        <f t="shared" si="1"/>
        <v>65570.676930795627</v>
      </c>
    </row>
    <row r="35" spans="2:23" x14ac:dyDescent="0.35">
      <c r="B35" s="45" t="s">
        <v>971</v>
      </c>
      <c r="C35" s="45" t="s">
        <v>81</v>
      </c>
      <c r="D35" s="45" t="s">
        <v>1379</v>
      </c>
      <c r="E35" s="45" t="s">
        <v>922</v>
      </c>
      <c r="F35" s="45" t="s">
        <v>822</v>
      </c>
      <c r="G35" s="45" t="s">
        <v>863</v>
      </c>
      <c r="H35" s="45" t="s">
        <v>831</v>
      </c>
      <c r="I35" s="45" t="s">
        <v>1380</v>
      </c>
      <c r="J35" s="45" t="s">
        <v>87</v>
      </c>
      <c r="K35" s="63" t="s">
        <v>1228</v>
      </c>
      <c r="L35" s="63" t="s">
        <v>979</v>
      </c>
      <c r="M35" s="45" t="s">
        <v>980</v>
      </c>
      <c r="N35" s="45" t="s">
        <v>974</v>
      </c>
      <c r="O35" s="45" t="s">
        <v>104</v>
      </c>
      <c r="P35" s="63" t="s">
        <v>894</v>
      </c>
      <c r="Q35" s="45" t="s">
        <v>834</v>
      </c>
      <c r="R35" s="45" t="s">
        <v>1340</v>
      </c>
      <c r="S35" s="45" t="s">
        <v>896</v>
      </c>
      <c r="T35" s="53" t="str">
        <f t="shared" si="0"/>
        <v>Mainstream</v>
      </c>
      <c r="U35" s="73">
        <v>66206.012852232976</v>
      </c>
      <c r="V35" s="73"/>
      <c r="W35" s="73">
        <f t="shared" si="1"/>
        <v>66206.012852232976</v>
      </c>
    </row>
    <row r="36" spans="2:23" x14ac:dyDescent="0.35">
      <c r="B36" s="45" t="s">
        <v>971</v>
      </c>
      <c r="C36" s="45" t="s">
        <v>81</v>
      </c>
      <c r="D36" s="45" t="s">
        <v>1381</v>
      </c>
      <c r="E36" s="45" t="s">
        <v>1382</v>
      </c>
      <c r="F36" s="45"/>
      <c r="G36" s="45" t="s">
        <v>863</v>
      </c>
      <c r="H36" s="45" t="s">
        <v>831</v>
      </c>
      <c r="I36" s="45" t="s">
        <v>1380</v>
      </c>
      <c r="J36" s="45" t="s">
        <v>87</v>
      </c>
      <c r="K36" s="63" t="s">
        <v>1228</v>
      </c>
      <c r="L36" s="63" t="s">
        <v>938</v>
      </c>
      <c r="M36" s="45" t="s">
        <v>1383</v>
      </c>
      <c r="N36" s="45" t="s">
        <v>974</v>
      </c>
      <c r="O36" s="45" t="s">
        <v>104</v>
      </c>
      <c r="P36" s="63" t="s">
        <v>894</v>
      </c>
      <c r="Q36" s="45" t="s">
        <v>834</v>
      </c>
      <c r="R36" s="45" t="s">
        <v>895</v>
      </c>
      <c r="S36" s="45" t="s">
        <v>896</v>
      </c>
      <c r="T36" s="53" t="str">
        <f t="shared" si="0"/>
        <v>Mainstream</v>
      </c>
      <c r="U36" s="73">
        <v>61398.985693701943</v>
      </c>
      <c r="V36" s="73"/>
      <c r="W36" s="73">
        <f t="shared" si="1"/>
        <v>61398.985693701943</v>
      </c>
    </row>
    <row r="37" spans="2:23" x14ac:dyDescent="0.35">
      <c r="B37" s="45" t="s">
        <v>971</v>
      </c>
      <c r="C37" s="45" t="s">
        <v>81</v>
      </c>
      <c r="D37" s="45" t="s">
        <v>449</v>
      </c>
      <c r="E37" s="45" t="s">
        <v>922</v>
      </c>
      <c r="F37" s="45" t="s">
        <v>822</v>
      </c>
      <c r="G37" s="45" t="s">
        <v>838</v>
      </c>
      <c r="H37" s="45" t="s">
        <v>831</v>
      </c>
      <c r="I37" s="45" t="s">
        <v>969</v>
      </c>
      <c r="J37" s="45" t="s">
        <v>87</v>
      </c>
      <c r="K37" s="63" t="s">
        <v>1228</v>
      </c>
      <c r="L37" s="63" t="s">
        <v>973</v>
      </c>
      <c r="M37" s="45" t="s">
        <v>1260</v>
      </c>
      <c r="N37" s="45"/>
      <c r="O37" s="45" t="s">
        <v>104</v>
      </c>
      <c r="P37" s="63" t="s">
        <v>894</v>
      </c>
      <c r="Q37" s="45" t="s">
        <v>834</v>
      </c>
      <c r="R37" s="45" t="s">
        <v>895</v>
      </c>
      <c r="S37" s="45" t="s">
        <v>896</v>
      </c>
      <c r="T37" s="53" t="str">
        <f t="shared" si="0"/>
        <v>Premium</v>
      </c>
      <c r="U37" s="73">
        <v>74919.469703022594</v>
      </c>
      <c r="V37" s="73">
        <v>2835.54</v>
      </c>
      <c r="W37" s="73">
        <f t="shared" si="1"/>
        <v>72083.929703022601</v>
      </c>
    </row>
    <row r="38" spans="2:23" x14ac:dyDescent="0.35">
      <c r="B38" s="45" t="s">
        <v>971</v>
      </c>
      <c r="C38" s="45" t="s">
        <v>81</v>
      </c>
      <c r="D38" s="45" t="s">
        <v>1241</v>
      </c>
      <c r="E38" s="45" t="s">
        <v>905</v>
      </c>
      <c r="F38" s="45" t="s">
        <v>822</v>
      </c>
      <c r="G38" s="45" t="s">
        <v>838</v>
      </c>
      <c r="H38" s="45" t="s">
        <v>831</v>
      </c>
      <c r="I38" s="45" t="s">
        <v>920</v>
      </c>
      <c r="J38" s="45" t="s">
        <v>87</v>
      </c>
      <c r="K38" s="63" t="s">
        <v>1228</v>
      </c>
      <c r="L38" s="63" t="s">
        <v>973</v>
      </c>
      <c r="M38" s="45" t="s">
        <v>980</v>
      </c>
      <c r="N38" s="45" t="s">
        <v>974</v>
      </c>
      <c r="O38" s="45" t="s">
        <v>104</v>
      </c>
      <c r="P38" s="63" t="s">
        <v>894</v>
      </c>
      <c r="Q38" s="45" t="s">
        <v>834</v>
      </c>
      <c r="R38" s="45" t="s">
        <v>895</v>
      </c>
      <c r="S38" s="45" t="s">
        <v>896</v>
      </c>
      <c r="T38" s="53" t="str">
        <f t="shared" si="0"/>
        <v>Premium</v>
      </c>
      <c r="U38" s="73">
        <v>85115.606580669788</v>
      </c>
      <c r="V38" s="73"/>
      <c r="W38" s="73">
        <f t="shared" si="1"/>
        <v>85115.606580669788</v>
      </c>
    </row>
    <row r="39" spans="2:23" x14ac:dyDescent="0.35">
      <c r="B39" s="45" t="s">
        <v>971</v>
      </c>
      <c r="C39" s="45" t="s">
        <v>81</v>
      </c>
      <c r="D39" s="45" t="s">
        <v>1169</v>
      </c>
      <c r="E39" s="45" t="s">
        <v>1170</v>
      </c>
      <c r="F39" s="45" t="s">
        <v>1291</v>
      </c>
      <c r="G39" s="45" t="s">
        <v>1171</v>
      </c>
      <c r="H39" s="45" t="s">
        <v>831</v>
      </c>
      <c r="I39" s="45" t="s">
        <v>920</v>
      </c>
      <c r="J39" s="45" t="s">
        <v>1172</v>
      </c>
      <c r="K39" s="63" t="s">
        <v>1114</v>
      </c>
      <c r="L39" s="63" t="s">
        <v>938</v>
      </c>
      <c r="M39" s="45" t="s">
        <v>1115</v>
      </c>
      <c r="N39" s="45" t="s">
        <v>974</v>
      </c>
      <c r="O39" s="45" t="s">
        <v>104</v>
      </c>
      <c r="P39" s="63" t="s">
        <v>894</v>
      </c>
      <c r="Q39" s="45" t="s">
        <v>834</v>
      </c>
      <c r="R39" s="45" t="s">
        <v>895</v>
      </c>
      <c r="S39" s="45" t="s">
        <v>1173</v>
      </c>
      <c r="T39" s="53" t="str">
        <f t="shared" si="0"/>
        <v>Premium</v>
      </c>
      <c r="U39" s="73">
        <v>83111.999654247964</v>
      </c>
      <c r="V39" s="73">
        <v>4000.2</v>
      </c>
      <c r="W39" s="73">
        <f t="shared" si="1"/>
        <v>79111.799654247967</v>
      </c>
    </row>
    <row r="40" spans="2:23" x14ac:dyDescent="0.35">
      <c r="B40" s="45" t="s">
        <v>971</v>
      </c>
      <c r="C40" s="45" t="s">
        <v>81</v>
      </c>
      <c r="D40" s="45" t="s">
        <v>1308</v>
      </c>
      <c r="E40" s="45" t="s">
        <v>1170</v>
      </c>
      <c r="F40" s="45" t="s">
        <v>1291</v>
      </c>
      <c r="G40" s="45" t="s">
        <v>1171</v>
      </c>
      <c r="H40" s="45" t="s">
        <v>831</v>
      </c>
      <c r="I40" s="45" t="s">
        <v>1306</v>
      </c>
      <c r="J40" s="45" t="s">
        <v>1172</v>
      </c>
      <c r="K40" s="63" t="s">
        <v>1114</v>
      </c>
      <c r="L40" s="63" t="s">
        <v>938</v>
      </c>
      <c r="M40" s="45" t="s">
        <v>1115</v>
      </c>
      <c r="N40" s="45" t="s">
        <v>974</v>
      </c>
      <c r="O40" s="45" t="s">
        <v>104</v>
      </c>
      <c r="P40" s="63" t="s">
        <v>894</v>
      </c>
      <c r="Q40" s="45" t="s">
        <v>834</v>
      </c>
      <c r="R40" s="45" t="s">
        <v>895</v>
      </c>
      <c r="S40" s="45" t="s">
        <v>1173</v>
      </c>
      <c r="T40" s="53" t="str">
        <f t="shared" si="0"/>
        <v>Premium</v>
      </c>
      <c r="U40" s="73">
        <v>83111.999654247964</v>
      </c>
      <c r="V40" s="73">
        <v>4000.2</v>
      </c>
      <c r="W40" s="73">
        <f t="shared" si="1"/>
        <v>79111.799654247967</v>
      </c>
    </row>
    <row r="41" spans="2:23" x14ac:dyDescent="0.35">
      <c r="B41" s="45" t="s">
        <v>971</v>
      </c>
      <c r="C41" s="45" t="s">
        <v>81</v>
      </c>
      <c r="D41" s="45" t="s">
        <v>1309</v>
      </c>
      <c r="E41" s="45" t="s">
        <v>1310</v>
      </c>
      <c r="F41" s="45" t="s">
        <v>1291</v>
      </c>
      <c r="G41" s="45" t="s">
        <v>863</v>
      </c>
      <c r="H41" s="45" t="s">
        <v>831</v>
      </c>
      <c r="I41" s="45" t="s">
        <v>1306</v>
      </c>
      <c r="J41" s="45" t="s">
        <v>1311</v>
      </c>
      <c r="K41" s="63" t="s">
        <v>1114</v>
      </c>
      <c r="L41" s="63" t="s">
        <v>938</v>
      </c>
      <c r="M41" s="45" t="s">
        <v>1115</v>
      </c>
      <c r="N41" s="45" t="s">
        <v>974</v>
      </c>
      <c r="O41" s="45" t="s">
        <v>104</v>
      </c>
      <c r="P41" s="63" t="s">
        <v>894</v>
      </c>
      <c r="Q41" s="45" t="s">
        <v>834</v>
      </c>
      <c r="R41" s="45" t="s">
        <v>895</v>
      </c>
      <c r="S41" s="45" t="s">
        <v>1173</v>
      </c>
      <c r="T41" s="53" t="str">
        <f t="shared" si="0"/>
        <v>Mainstream</v>
      </c>
      <c r="U41" s="73">
        <v>70463.679210764021</v>
      </c>
      <c r="V41" s="73"/>
      <c r="W41" s="73">
        <f t="shared" si="1"/>
        <v>70463.679210764021</v>
      </c>
    </row>
    <row r="42" spans="2:23" x14ac:dyDescent="0.35">
      <c r="B42" s="45" t="s">
        <v>971</v>
      </c>
      <c r="C42" s="45" t="s">
        <v>81</v>
      </c>
      <c r="D42" s="45" t="s">
        <v>987</v>
      </c>
      <c r="E42" s="45" t="s">
        <v>1297</v>
      </c>
      <c r="F42" s="45" t="s">
        <v>1291</v>
      </c>
      <c r="G42" s="45" t="s">
        <v>838</v>
      </c>
      <c r="H42" s="45" t="s">
        <v>831</v>
      </c>
      <c r="I42" s="45" t="s">
        <v>920</v>
      </c>
      <c r="J42" s="45" t="s">
        <v>87</v>
      </c>
      <c r="K42" s="63" t="s">
        <v>1298</v>
      </c>
      <c r="L42" s="63" t="s">
        <v>973</v>
      </c>
      <c r="M42" s="45" t="s">
        <v>1299</v>
      </c>
      <c r="N42" s="45" t="s">
        <v>974</v>
      </c>
      <c r="O42" s="45" t="s">
        <v>104</v>
      </c>
      <c r="P42" s="63" t="s">
        <v>894</v>
      </c>
      <c r="Q42" s="45" t="s">
        <v>834</v>
      </c>
      <c r="R42" s="45" t="s">
        <v>895</v>
      </c>
      <c r="S42" s="45" t="s">
        <v>896</v>
      </c>
      <c r="T42" s="53" t="str">
        <f t="shared" si="0"/>
        <v>Mainstream</v>
      </c>
      <c r="U42" s="73">
        <v>74815.091580669774</v>
      </c>
      <c r="V42" s="73">
        <v>6999.7599999999993</v>
      </c>
      <c r="W42" s="73">
        <f t="shared" si="1"/>
        <v>67815.331580669779</v>
      </c>
    </row>
    <row r="43" spans="2:23" x14ac:dyDescent="0.35">
      <c r="B43" s="45" t="s">
        <v>49</v>
      </c>
      <c r="C43" s="45" t="s">
        <v>48</v>
      </c>
      <c r="D43" s="45" t="s">
        <v>740</v>
      </c>
      <c r="E43" s="45" t="s">
        <v>725</v>
      </c>
      <c r="F43" s="45"/>
      <c r="G43" s="45" t="s">
        <v>838</v>
      </c>
      <c r="H43" s="45" t="s">
        <v>831</v>
      </c>
      <c r="I43" s="45" t="s">
        <v>101</v>
      </c>
      <c r="J43" s="45" t="s">
        <v>156</v>
      </c>
      <c r="K43" s="63" t="s">
        <v>726</v>
      </c>
      <c r="L43" s="63" t="s">
        <v>850</v>
      </c>
      <c r="M43" s="45" t="s">
        <v>851</v>
      </c>
      <c r="N43" s="45" t="s">
        <v>832</v>
      </c>
      <c r="O43" s="45" t="s">
        <v>104</v>
      </c>
      <c r="P43" s="63" t="s">
        <v>852</v>
      </c>
      <c r="Q43" s="45" t="s">
        <v>834</v>
      </c>
      <c r="R43" s="45" t="s">
        <v>841</v>
      </c>
      <c r="S43" s="45" t="s">
        <v>836</v>
      </c>
      <c r="T43" s="53" t="str">
        <f t="shared" si="0"/>
        <v>Premium</v>
      </c>
      <c r="U43" s="73">
        <v>143129.29243753516</v>
      </c>
      <c r="V43" s="73"/>
      <c r="W43" s="73">
        <f t="shared" si="1"/>
        <v>143129.29243753516</v>
      </c>
    </row>
    <row r="44" spans="2:23" x14ac:dyDescent="0.35">
      <c r="B44" s="45" t="s">
        <v>49</v>
      </c>
      <c r="C44" s="45" t="s">
        <v>48</v>
      </c>
      <c r="D44" s="45" t="s">
        <v>741</v>
      </c>
      <c r="E44" s="45" t="s">
        <v>725</v>
      </c>
      <c r="F44" s="45"/>
      <c r="G44" s="45" t="s">
        <v>838</v>
      </c>
      <c r="H44" s="45" t="s">
        <v>831</v>
      </c>
      <c r="I44" s="45" t="s">
        <v>101</v>
      </c>
      <c r="J44" s="45" t="s">
        <v>391</v>
      </c>
      <c r="K44" s="63" t="s">
        <v>726</v>
      </c>
      <c r="L44" s="63" t="s">
        <v>850</v>
      </c>
      <c r="M44" s="45" t="s">
        <v>851</v>
      </c>
      <c r="N44" s="45" t="s">
        <v>832</v>
      </c>
      <c r="O44" s="45" t="s">
        <v>104</v>
      </c>
      <c r="P44" s="63" t="s">
        <v>852</v>
      </c>
      <c r="Q44" s="45" t="s">
        <v>834</v>
      </c>
      <c r="R44" s="45" t="s">
        <v>841</v>
      </c>
      <c r="S44" s="45" t="s">
        <v>836</v>
      </c>
      <c r="T44" s="53" t="str">
        <f t="shared" si="0"/>
        <v>Premium</v>
      </c>
      <c r="U44" s="73">
        <v>165507.12906314654</v>
      </c>
      <c r="V44" s="73"/>
      <c r="W44" s="73">
        <f t="shared" si="1"/>
        <v>165507.12906314654</v>
      </c>
    </row>
    <row r="45" spans="2:23" x14ac:dyDescent="0.35">
      <c r="B45" s="45" t="s">
        <v>49</v>
      </c>
      <c r="C45" s="45" t="s">
        <v>48</v>
      </c>
      <c r="D45" s="45" t="s">
        <v>865</v>
      </c>
      <c r="E45" s="45" t="s">
        <v>725</v>
      </c>
      <c r="F45" s="45"/>
      <c r="G45" s="45" t="s">
        <v>838</v>
      </c>
      <c r="H45" s="45" t="s">
        <v>100</v>
      </c>
      <c r="I45" s="45" t="s">
        <v>866</v>
      </c>
      <c r="J45" s="45" t="s">
        <v>182</v>
      </c>
      <c r="K45" s="63" t="s">
        <v>726</v>
      </c>
      <c r="L45" s="63" t="s">
        <v>848</v>
      </c>
      <c r="M45" s="45" t="s">
        <v>851</v>
      </c>
      <c r="N45" s="45" t="s">
        <v>832</v>
      </c>
      <c r="O45" s="45" t="s">
        <v>743</v>
      </c>
      <c r="P45" s="63" t="s">
        <v>837</v>
      </c>
      <c r="Q45" s="45" t="s">
        <v>834</v>
      </c>
      <c r="R45" s="45" t="s">
        <v>841</v>
      </c>
      <c r="S45" s="45"/>
      <c r="T45" s="53" t="str">
        <f t="shared" si="0"/>
        <v>Premium</v>
      </c>
      <c r="U45" s="73">
        <v>126589.49243163651</v>
      </c>
      <c r="V45" s="73"/>
      <c r="W45" s="73">
        <f t="shared" si="1"/>
        <v>126589.49243163651</v>
      </c>
    </row>
    <row r="46" spans="2:23" x14ac:dyDescent="0.35">
      <c r="B46" s="45" t="s">
        <v>49</v>
      </c>
      <c r="C46" s="45" t="s">
        <v>48</v>
      </c>
      <c r="D46" s="45" t="s">
        <v>868</v>
      </c>
      <c r="E46" s="45" t="s">
        <v>725</v>
      </c>
      <c r="F46" s="45"/>
      <c r="G46" s="45" t="s">
        <v>838</v>
      </c>
      <c r="H46" s="45" t="s">
        <v>100</v>
      </c>
      <c r="I46" s="45" t="s">
        <v>866</v>
      </c>
      <c r="J46" s="45" t="s">
        <v>156</v>
      </c>
      <c r="K46" s="63" t="s">
        <v>726</v>
      </c>
      <c r="L46" s="63" t="s">
        <v>848</v>
      </c>
      <c r="M46" s="45" t="s">
        <v>851</v>
      </c>
      <c r="N46" s="45" t="s">
        <v>832</v>
      </c>
      <c r="O46" s="45" t="s">
        <v>743</v>
      </c>
      <c r="P46" s="63" t="s">
        <v>837</v>
      </c>
      <c r="Q46" s="45" t="s">
        <v>834</v>
      </c>
      <c r="R46" s="45" t="s">
        <v>841</v>
      </c>
      <c r="S46" s="45"/>
      <c r="T46" s="53" t="str">
        <f t="shared" si="0"/>
        <v>Premium</v>
      </c>
      <c r="U46" s="73">
        <v>143616.07764401843</v>
      </c>
      <c r="V46" s="73"/>
      <c r="W46" s="73">
        <f t="shared" si="1"/>
        <v>143616.07764401843</v>
      </c>
    </row>
    <row r="47" spans="2:23" x14ac:dyDescent="0.35">
      <c r="B47" s="45" t="s">
        <v>49</v>
      </c>
      <c r="C47" s="45" t="s">
        <v>48</v>
      </c>
      <c r="D47" s="45" t="s">
        <v>877</v>
      </c>
      <c r="E47" s="45" t="s">
        <v>667</v>
      </c>
      <c r="F47" s="45"/>
      <c r="G47" s="45" t="s">
        <v>872</v>
      </c>
      <c r="H47" s="45" t="s">
        <v>100</v>
      </c>
      <c r="I47" s="45" t="s">
        <v>101</v>
      </c>
      <c r="J47" s="45" t="s">
        <v>156</v>
      </c>
      <c r="K47" s="63" t="s">
        <v>659</v>
      </c>
      <c r="L47" s="63" t="s">
        <v>848</v>
      </c>
      <c r="M47" s="45" t="s">
        <v>878</v>
      </c>
      <c r="N47" s="45" t="s">
        <v>832</v>
      </c>
      <c r="O47" s="45" t="s">
        <v>104</v>
      </c>
      <c r="P47" s="63" t="s">
        <v>833</v>
      </c>
      <c r="Q47" s="45" t="s">
        <v>834</v>
      </c>
      <c r="R47" s="45" t="s">
        <v>845</v>
      </c>
      <c r="S47" s="45" t="s">
        <v>836</v>
      </c>
      <c r="T47" s="53" t="str">
        <f t="shared" si="0"/>
        <v>Premium</v>
      </c>
      <c r="U47" s="73">
        <v>119292.07314020008</v>
      </c>
      <c r="V47" s="73"/>
      <c r="W47" s="73">
        <f t="shared" si="1"/>
        <v>119292.07314020008</v>
      </c>
    </row>
    <row r="48" spans="2:23" x14ac:dyDescent="0.35">
      <c r="B48" s="45" t="s">
        <v>49</v>
      </c>
      <c r="C48" s="45" t="s">
        <v>48</v>
      </c>
      <c r="D48" s="45" t="s">
        <v>1033</v>
      </c>
      <c r="E48" s="45" t="s">
        <v>667</v>
      </c>
      <c r="F48" s="45"/>
      <c r="G48" s="45" t="s">
        <v>872</v>
      </c>
      <c r="H48" s="45" t="s">
        <v>100</v>
      </c>
      <c r="I48" s="45" t="s">
        <v>920</v>
      </c>
      <c r="J48" s="45" t="s">
        <v>156</v>
      </c>
      <c r="K48" s="63" t="s">
        <v>659</v>
      </c>
      <c r="L48" s="63" t="s">
        <v>848</v>
      </c>
      <c r="M48" s="45" t="s">
        <v>878</v>
      </c>
      <c r="N48" s="45" t="s">
        <v>832</v>
      </c>
      <c r="O48" s="45" t="s">
        <v>104</v>
      </c>
      <c r="P48" s="63" t="s">
        <v>833</v>
      </c>
      <c r="Q48" s="45" t="s">
        <v>834</v>
      </c>
      <c r="R48" s="45" t="s">
        <v>845</v>
      </c>
      <c r="S48" s="45" t="s">
        <v>836</v>
      </c>
      <c r="T48" s="53" t="str">
        <f t="shared" si="0"/>
        <v>Premium</v>
      </c>
      <c r="U48" s="73">
        <v>119778.547003411</v>
      </c>
      <c r="V48" s="73"/>
      <c r="W48" s="73">
        <f t="shared" si="1"/>
        <v>119778.547003411</v>
      </c>
    </row>
    <row r="49" spans="2:23" x14ac:dyDescent="0.35">
      <c r="B49" s="1" t="s">
        <v>49</v>
      </c>
      <c r="C49" s="1" t="s">
        <v>48</v>
      </c>
      <c r="D49" s="1" t="s">
        <v>1384</v>
      </c>
      <c r="E49" s="1" t="s">
        <v>1385</v>
      </c>
      <c r="F49" s="1"/>
      <c r="G49" s="1" t="s">
        <v>838</v>
      </c>
      <c r="H49" s="1" t="s">
        <v>1386</v>
      </c>
      <c r="I49" s="45" t="s">
        <v>866</v>
      </c>
      <c r="J49" s="1" t="s">
        <v>1321</v>
      </c>
      <c r="K49" s="1" t="s">
        <v>1387</v>
      </c>
      <c r="L49" s="63" t="s">
        <v>853</v>
      </c>
      <c r="M49" s="45" t="s">
        <v>1388</v>
      </c>
      <c r="N49" s="1" t="s">
        <v>832</v>
      </c>
      <c r="O49" s="45" t="s">
        <v>104</v>
      </c>
      <c r="P49" s="63" t="s">
        <v>852</v>
      </c>
      <c r="Q49" s="45" t="s">
        <v>834</v>
      </c>
      <c r="R49" s="45" t="s">
        <v>845</v>
      </c>
      <c r="S49" s="4"/>
      <c r="T49" s="53" t="str">
        <f t="shared" si="0"/>
        <v>Premium</v>
      </c>
      <c r="U49" s="73">
        <v>135976.03571111333</v>
      </c>
      <c r="V49" s="73"/>
      <c r="W49" s="73">
        <f t="shared" si="1"/>
        <v>135976.03571111333</v>
      </c>
    </row>
    <row r="50" spans="2:23" x14ac:dyDescent="0.35">
      <c r="B50" s="1" t="s">
        <v>49</v>
      </c>
      <c r="C50" s="1" t="s">
        <v>48</v>
      </c>
      <c r="D50" s="1" t="s">
        <v>1389</v>
      </c>
      <c r="E50" s="1" t="s">
        <v>1385</v>
      </c>
      <c r="F50" s="1"/>
      <c r="G50" s="1" t="s">
        <v>838</v>
      </c>
      <c r="H50" s="1" t="s">
        <v>1386</v>
      </c>
      <c r="I50" s="45" t="s">
        <v>866</v>
      </c>
      <c r="J50" s="1" t="s">
        <v>1317</v>
      </c>
      <c r="K50" s="1" t="s">
        <v>1387</v>
      </c>
      <c r="L50" s="63" t="s">
        <v>853</v>
      </c>
      <c r="M50" s="45" t="s">
        <v>1388</v>
      </c>
      <c r="N50" s="1" t="s">
        <v>832</v>
      </c>
      <c r="O50" s="45" t="s">
        <v>104</v>
      </c>
      <c r="P50" s="63" t="s">
        <v>852</v>
      </c>
      <c r="Q50" s="45" t="s">
        <v>834</v>
      </c>
      <c r="R50" s="45" t="s">
        <v>845</v>
      </c>
      <c r="S50" s="4"/>
      <c r="T50" s="53" t="str">
        <f t="shared" si="0"/>
        <v>Premium</v>
      </c>
      <c r="U50" s="73">
        <v>145705.51297533169</v>
      </c>
      <c r="V50" s="73"/>
      <c r="W50" s="73">
        <f t="shared" si="1"/>
        <v>145705.51297533169</v>
      </c>
    </row>
    <row r="51" spans="2:23" x14ac:dyDescent="0.35">
      <c r="B51" s="1" t="s">
        <v>49</v>
      </c>
      <c r="C51" s="1" t="s">
        <v>48</v>
      </c>
      <c r="D51" s="1" t="s">
        <v>1368</v>
      </c>
      <c r="E51" s="1" t="s">
        <v>1390</v>
      </c>
      <c r="F51" s="1"/>
      <c r="G51" s="1" t="s">
        <v>842</v>
      </c>
      <c r="H51" s="1" t="s">
        <v>1391</v>
      </c>
      <c r="I51" s="45" t="s">
        <v>866</v>
      </c>
      <c r="J51" s="1" t="s">
        <v>1392</v>
      </c>
      <c r="K51" s="1" t="s">
        <v>1393</v>
      </c>
      <c r="L51" s="63" t="s">
        <v>853</v>
      </c>
      <c r="M51" s="45" t="s">
        <v>1394</v>
      </c>
      <c r="N51" s="1" t="s">
        <v>1252</v>
      </c>
      <c r="O51" s="45" t="s">
        <v>104</v>
      </c>
      <c r="P51" s="63" t="s">
        <v>852</v>
      </c>
      <c r="Q51" s="45" t="s">
        <v>834</v>
      </c>
      <c r="R51" s="45" t="s">
        <v>1318</v>
      </c>
      <c r="S51" s="4"/>
      <c r="T51" s="53" t="str">
        <f t="shared" si="0"/>
        <v>Premium</v>
      </c>
      <c r="U51" s="73">
        <v>207914.95775973567</v>
      </c>
      <c r="V51" s="73">
        <v>8499.5399999999991</v>
      </c>
      <c r="W51" s="73">
        <f t="shared" si="1"/>
        <v>199415.41775973566</v>
      </c>
    </row>
    <row r="52" spans="2:23" x14ac:dyDescent="0.35">
      <c r="B52" s="1" t="s">
        <v>49</v>
      </c>
      <c r="C52" s="1" t="s">
        <v>48</v>
      </c>
      <c r="D52" s="1" t="s">
        <v>1395</v>
      </c>
      <c r="E52" s="1" t="s">
        <v>1396</v>
      </c>
      <c r="F52" s="1"/>
      <c r="G52" s="1" t="s">
        <v>842</v>
      </c>
      <c r="H52" s="1" t="s">
        <v>1391</v>
      </c>
      <c r="I52" s="45" t="s">
        <v>866</v>
      </c>
      <c r="J52" s="1" t="s">
        <v>1317</v>
      </c>
      <c r="K52" s="1" t="s">
        <v>1393</v>
      </c>
      <c r="L52" s="63" t="s">
        <v>853</v>
      </c>
      <c r="M52" s="45" t="s">
        <v>1394</v>
      </c>
      <c r="N52" s="1" t="s">
        <v>1252</v>
      </c>
      <c r="O52" s="45" t="s">
        <v>104</v>
      </c>
      <c r="P52" s="63" t="s">
        <v>852</v>
      </c>
      <c r="Q52" s="45" t="s">
        <v>834</v>
      </c>
      <c r="R52" s="45" t="s">
        <v>1318</v>
      </c>
      <c r="S52" s="4"/>
      <c r="T52" s="53" t="str">
        <f t="shared" si="0"/>
        <v>Premium</v>
      </c>
      <c r="U52" s="73">
        <v>169969.99642928396</v>
      </c>
      <c r="V52" s="73"/>
      <c r="W52" s="73">
        <f t="shared" si="1"/>
        <v>169969.99642928396</v>
      </c>
    </row>
    <row r="53" spans="2:23" x14ac:dyDescent="0.35">
      <c r="B53" s="45" t="s">
        <v>193</v>
      </c>
      <c r="C53" s="45" t="s">
        <v>48</v>
      </c>
      <c r="D53" s="45" t="s">
        <v>807</v>
      </c>
      <c r="E53" s="45" t="s">
        <v>811</v>
      </c>
      <c r="F53" s="45"/>
      <c r="G53" s="45" t="s">
        <v>838</v>
      </c>
      <c r="H53" s="45" t="s">
        <v>100</v>
      </c>
      <c r="I53" s="45" t="s">
        <v>57</v>
      </c>
      <c r="J53" s="45" t="s">
        <v>156</v>
      </c>
      <c r="K53" s="63" t="s">
        <v>812</v>
      </c>
      <c r="L53" s="63" t="s">
        <v>839</v>
      </c>
      <c r="M53" s="45" t="s">
        <v>840</v>
      </c>
      <c r="N53" s="45" t="s">
        <v>832</v>
      </c>
      <c r="O53" s="45" t="s">
        <v>104</v>
      </c>
      <c r="P53" s="63" t="s">
        <v>837</v>
      </c>
      <c r="Q53" s="45" t="s">
        <v>834</v>
      </c>
      <c r="R53" s="45" t="s">
        <v>841</v>
      </c>
      <c r="S53" s="45" t="s">
        <v>836</v>
      </c>
      <c r="T53" s="53" t="str">
        <f t="shared" si="0"/>
        <v>Premium</v>
      </c>
      <c r="U53" s="73">
        <v>171344.77650376852</v>
      </c>
      <c r="V53" s="73">
        <v>19999.82</v>
      </c>
      <c r="W53" s="73">
        <f t="shared" si="1"/>
        <v>151344.95650376851</v>
      </c>
    </row>
    <row r="54" spans="2:23" x14ac:dyDescent="0.35">
      <c r="B54" s="45" t="s">
        <v>193</v>
      </c>
      <c r="C54" s="45" t="s">
        <v>48</v>
      </c>
      <c r="D54" s="45" t="s">
        <v>813</v>
      </c>
      <c r="E54" s="45" t="s">
        <v>811</v>
      </c>
      <c r="F54" s="45"/>
      <c r="G54" s="45" t="s">
        <v>842</v>
      </c>
      <c r="H54" s="45" t="s">
        <v>100</v>
      </c>
      <c r="I54" s="45" t="s">
        <v>57</v>
      </c>
      <c r="J54" s="45" t="s">
        <v>391</v>
      </c>
      <c r="K54" s="63" t="s">
        <v>812</v>
      </c>
      <c r="L54" s="63" t="s">
        <v>839</v>
      </c>
      <c r="M54" s="45" t="s">
        <v>840</v>
      </c>
      <c r="N54" s="45" t="s">
        <v>832</v>
      </c>
      <c r="O54" s="45" t="s">
        <v>104</v>
      </c>
      <c r="P54" s="63" t="s">
        <v>837</v>
      </c>
      <c r="Q54" s="45" t="s">
        <v>834</v>
      </c>
      <c r="R54" s="45" t="s">
        <v>841</v>
      </c>
      <c r="S54" s="45" t="s">
        <v>836</v>
      </c>
      <c r="T54" s="53" t="str">
        <f t="shared" si="0"/>
        <v>Premium</v>
      </c>
      <c r="U54" s="73">
        <v>193236.1003482599</v>
      </c>
      <c r="V54" s="73"/>
      <c r="W54" s="73">
        <f t="shared" si="1"/>
        <v>193236.1003482599</v>
      </c>
    </row>
    <row r="55" spans="2:23" x14ac:dyDescent="0.35">
      <c r="B55" s="45" t="s">
        <v>193</v>
      </c>
      <c r="C55" s="45" t="s">
        <v>48</v>
      </c>
      <c r="D55" s="45" t="s">
        <v>869</v>
      </c>
      <c r="E55" s="45" t="s">
        <v>725</v>
      </c>
      <c r="F55" s="45"/>
      <c r="G55" s="45" t="s">
        <v>838</v>
      </c>
      <c r="H55" s="45" t="s">
        <v>100</v>
      </c>
      <c r="I55" s="45" t="s">
        <v>866</v>
      </c>
      <c r="J55" s="45" t="s">
        <v>156</v>
      </c>
      <c r="K55" s="63" t="s">
        <v>731</v>
      </c>
      <c r="L55" s="63" t="s">
        <v>839</v>
      </c>
      <c r="M55" s="45"/>
      <c r="N55" s="45" t="s">
        <v>832</v>
      </c>
      <c r="O55" s="45" t="s">
        <v>743</v>
      </c>
      <c r="P55" s="63" t="s">
        <v>837</v>
      </c>
      <c r="Q55" s="45" t="s">
        <v>834</v>
      </c>
      <c r="R55" s="45" t="s">
        <v>841</v>
      </c>
      <c r="S55" s="45"/>
      <c r="T55" s="53" t="str">
        <f t="shared" si="0"/>
        <v>Premium</v>
      </c>
      <c r="U55" s="73">
        <v>153345.55490823745</v>
      </c>
      <c r="V55" s="73"/>
      <c r="W55" s="73">
        <f t="shared" si="1"/>
        <v>153345.55490823745</v>
      </c>
    </row>
    <row r="56" spans="2:23" x14ac:dyDescent="0.35">
      <c r="B56" s="45" t="s">
        <v>859</v>
      </c>
      <c r="C56" s="45" t="s">
        <v>48</v>
      </c>
      <c r="D56" s="45" t="s">
        <v>749</v>
      </c>
      <c r="E56" s="45" t="s">
        <v>730</v>
      </c>
      <c r="F56" s="45"/>
      <c r="G56" s="45" t="s">
        <v>842</v>
      </c>
      <c r="H56" s="45" t="s">
        <v>831</v>
      </c>
      <c r="I56" s="45" t="s">
        <v>101</v>
      </c>
      <c r="J56" s="45" t="s">
        <v>391</v>
      </c>
      <c r="K56" s="63" t="s">
        <v>385</v>
      </c>
      <c r="L56" s="63" t="s">
        <v>860</v>
      </c>
      <c r="M56" s="45" t="s">
        <v>861</v>
      </c>
      <c r="N56" s="45" t="s">
        <v>832</v>
      </c>
      <c r="O56" s="45" t="s">
        <v>104</v>
      </c>
      <c r="P56" s="63" t="s">
        <v>852</v>
      </c>
      <c r="Q56" s="45" t="s">
        <v>834</v>
      </c>
      <c r="R56" s="45" t="s">
        <v>835</v>
      </c>
      <c r="S56" s="45" t="s">
        <v>836</v>
      </c>
      <c r="T56" s="53" t="str">
        <f t="shared" si="0"/>
        <v>Premium</v>
      </c>
      <c r="U56" s="73">
        <v>203938.52533890016</v>
      </c>
      <c r="V56" s="73"/>
      <c r="W56" s="73">
        <f t="shared" si="1"/>
        <v>203938.52533890016</v>
      </c>
    </row>
    <row r="57" spans="2:23" x14ac:dyDescent="0.35">
      <c r="B57" s="45" t="s">
        <v>859</v>
      </c>
      <c r="C57" s="45" t="s">
        <v>48</v>
      </c>
      <c r="D57" s="45" t="s">
        <v>752</v>
      </c>
      <c r="E57" s="45" t="s">
        <v>730</v>
      </c>
      <c r="F57" s="45"/>
      <c r="G57" s="45" t="s">
        <v>838</v>
      </c>
      <c r="H57" s="45" t="s">
        <v>831</v>
      </c>
      <c r="I57" s="45" t="s">
        <v>101</v>
      </c>
      <c r="J57" s="45" t="s">
        <v>156</v>
      </c>
      <c r="K57" s="63" t="s">
        <v>385</v>
      </c>
      <c r="L57" s="63" t="s">
        <v>860</v>
      </c>
      <c r="M57" s="45" t="s">
        <v>861</v>
      </c>
      <c r="N57" s="45" t="s">
        <v>832</v>
      </c>
      <c r="O57" s="45" t="s">
        <v>104</v>
      </c>
      <c r="P57" s="63" t="s">
        <v>852</v>
      </c>
      <c r="Q57" s="45" t="s">
        <v>834</v>
      </c>
      <c r="R57" s="45" t="s">
        <v>835</v>
      </c>
      <c r="S57" s="45" t="s">
        <v>836</v>
      </c>
      <c r="T57" s="53" t="str">
        <f t="shared" si="0"/>
        <v>Premium</v>
      </c>
      <c r="U57" s="73">
        <v>172317.52964064505</v>
      </c>
      <c r="V57" s="73"/>
      <c r="W57" s="73">
        <f t="shared" si="1"/>
        <v>172317.52964064505</v>
      </c>
    </row>
    <row r="58" spans="2:23" x14ac:dyDescent="0.35">
      <c r="B58" s="45" t="s">
        <v>859</v>
      </c>
      <c r="C58" s="45" t="s">
        <v>48</v>
      </c>
      <c r="D58" s="45" t="s">
        <v>753</v>
      </c>
      <c r="E58" s="45" t="s">
        <v>663</v>
      </c>
      <c r="F58" s="45"/>
      <c r="G58" s="45" t="s">
        <v>842</v>
      </c>
      <c r="H58" s="45" t="s">
        <v>831</v>
      </c>
      <c r="I58" s="45" t="s">
        <v>101</v>
      </c>
      <c r="J58" s="45" t="s">
        <v>391</v>
      </c>
      <c r="K58" s="63" t="s">
        <v>385</v>
      </c>
      <c r="L58" s="63" t="s">
        <v>860</v>
      </c>
      <c r="M58" s="45" t="s">
        <v>861</v>
      </c>
      <c r="N58" s="45" t="s">
        <v>832</v>
      </c>
      <c r="O58" s="45" t="s">
        <v>104</v>
      </c>
      <c r="P58" s="63" t="s">
        <v>852</v>
      </c>
      <c r="Q58" s="45" t="s">
        <v>834</v>
      </c>
      <c r="R58" s="45" t="s">
        <v>835</v>
      </c>
      <c r="S58" s="45" t="s">
        <v>836</v>
      </c>
      <c r="T58" s="53" t="str">
        <f t="shared" si="0"/>
        <v>Premium</v>
      </c>
      <c r="U58" s="73">
        <v>194209.0869925908</v>
      </c>
      <c r="V58" s="73">
        <v>19499.5</v>
      </c>
      <c r="W58" s="73">
        <f t="shared" si="1"/>
        <v>174709.5869925908</v>
      </c>
    </row>
    <row r="59" spans="2:23" x14ac:dyDescent="0.35">
      <c r="B59" s="45" t="s">
        <v>879</v>
      </c>
      <c r="C59" s="45" t="s">
        <v>48</v>
      </c>
      <c r="D59" s="45" t="s">
        <v>880</v>
      </c>
      <c r="E59" s="45" t="s">
        <v>881</v>
      </c>
      <c r="F59" s="45"/>
      <c r="G59" s="45" t="s">
        <v>849</v>
      </c>
      <c r="H59" s="45" t="s">
        <v>831</v>
      </c>
      <c r="I59" s="45" t="s">
        <v>766</v>
      </c>
      <c r="J59" s="45" t="s">
        <v>882</v>
      </c>
      <c r="K59" s="63" t="s">
        <v>883</v>
      </c>
      <c r="L59" s="63" t="s">
        <v>884</v>
      </c>
      <c r="M59" s="45" t="s">
        <v>885</v>
      </c>
      <c r="N59" s="45" t="s">
        <v>836</v>
      </c>
      <c r="O59" s="45" t="s">
        <v>104</v>
      </c>
      <c r="P59" s="63"/>
      <c r="Q59" s="45" t="s">
        <v>834</v>
      </c>
      <c r="R59" s="45" t="s">
        <v>308</v>
      </c>
      <c r="S59" s="45" t="s">
        <v>836</v>
      </c>
      <c r="T59" s="53" t="str">
        <f t="shared" si="0"/>
        <v>Mainstream</v>
      </c>
      <c r="U59" s="73">
        <v>64464.181300701384</v>
      </c>
      <c r="V59" s="73"/>
      <c r="W59" s="73">
        <f t="shared" si="1"/>
        <v>64464.181300701384</v>
      </c>
    </row>
    <row r="60" spans="2:23" x14ac:dyDescent="0.35">
      <c r="B60" s="45" t="s">
        <v>846</v>
      </c>
      <c r="C60" s="45" t="s">
        <v>48</v>
      </c>
      <c r="D60" s="45" t="s">
        <v>734</v>
      </c>
      <c r="E60" s="45" t="s">
        <v>725</v>
      </c>
      <c r="F60" s="45"/>
      <c r="G60" s="45" t="s">
        <v>838</v>
      </c>
      <c r="H60" s="45" t="s">
        <v>831</v>
      </c>
      <c r="I60" s="45" t="s">
        <v>101</v>
      </c>
      <c r="J60" s="45" t="s">
        <v>156</v>
      </c>
      <c r="K60" s="63" t="s">
        <v>731</v>
      </c>
      <c r="L60" s="63" t="s">
        <v>839</v>
      </c>
      <c r="M60" s="45" t="s">
        <v>855</v>
      </c>
      <c r="N60" s="45" t="s">
        <v>832</v>
      </c>
      <c r="O60" s="45" t="s">
        <v>104</v>
      </c>
      <c r="P60" s="63" t="s">
        <v>852</v>
      </c>
      <c r="Q60" s="45" t="s">
        <v>834</v>
      </c>
      <c r="R60" s="45" t="s">
        <v>841</v>
      </c>
      <c r="S60" s="45" t="s">
        <v>836</v>
      </c>
      <c r="T60" s="53" t="str">
        <f t="shared" si="0"/>
        <v>Premium</v>
      </c>
      <c r="U60" s="73">
        <v>152858.75024279903</v>
      </c>
      <c r="V60" s="73"/>
      <c r="W60" s="73">
        <f t="shared" si="1"/>
        <v>152858.75024279903</v>
      </c>
    </row>
    <row r="61" spans="2:23" x14ac:dyDescent="0.35">
      <c r="B61" s="45" t="s">
        <v>846</v>
      </c>
      <c r="C61" s="45" t="s">
        <v>48</v>
      </c>
      <c r="D61" s="45" t="s">
        <v>738</v>
      </c>
      <c r="E61" s="45" t="s">
        <v>730</v>
      </c>
      <c r="F61" s="45"/>
      <c r="G61" s="45" t="s">
        <v>842</v>
      </c>
      <c r="H61" s="45" t="s">
        <v>831</v>
      </c>
      <c r="I61" s="45" t="s">
        <v>101</v>
      </c>
      <c r="J61" s="45" t="s">
        <v>391</v>
      </c>
      <c r="K61" s="63" t="s">
        <v>731</v>
      </c>
      <c r="L61" s="63" t="s">
        <v>839</v>
      </c>
      <c r="M61" s="45" t="s">
        <v>855</v>
      </c>
      <c r="N61" s="45" t="s">
        <v>832</v>
      </c>
      <c r="O61" s="45" t="s">
        <v>104</v>
      </c>
      <c r="P61" s="63" t="s">
        <v>852</v>
      </c>
      <c r="Q61" s="45" t="s">
        <v>834</v>
      </c>
      <c r="R61" s="45" t="s">
        <v>841</v>
      </c>
      <c r="S61" s="45" t="s">
        <v>836</v>
      </c>
      <c r="T61" s="53" t="str">
        <f t="shared" si="0"/>
        <v>Premium</v>
      </c>
      <c r="U61" s="73">
        <v>194209.0869925908</v>
      </c>
      <c r="V61" s="73"/>
      <c r="W61" s="73">
        <f t="shared" si="1"/>
        <v>194209.0869925908</v>
      </c>
    </row>
    <row r="62" spans="2:23" x14ac:dyDescent="0.35">
      <c r="B62" s="1" t="s">
        <v>846</v>
      </c>
      <c r="C62" s="1" t="s">
        <v>48</v>
      </c>
      <c r="D62" s="1" t="s">
        <v>1397</v>
      </c>
      <c r="E62" s="1" t="s">
        <v>1396</v>
      </c>
      <c r="F62" s="1"/>
      <c r="G62" s="45" t="s">
        <v>842</v>
      </c>
      <c r="H62" s="1" t="s">
        <v>1398</v>
      </c>
      <c r="I62" s="45" t="s">
        <v>866</v>
      </c>
      <c r="J62" s="1" t="s">
        <v>1317</v>
      </c>
      <c r="K62" s="1" t="s">
        <v>1399</v>
      </c>
      <c r="L62" s="63" t="s">
        <v>853</v>
      </c>
      <c r="M62" s="45" t="s">
        <v>1400</v>
      </c>
      <c r="N62" s="1" t="s">
        <v>1252</v>
      </c>
      <c r="O62" s="45" t="s">
        <v>104</v>
      </c>
      <c r="P62" s="63" t="s">
        <v>852</v>
      </c>
      <c r="Q62" s="45" t="s">
        <v>834</v>
      </c>
      <c r="R62" s="45" t="s">
        <v>1318</v>
      </c>
      <c r="S62" s="4"/>
      <c r="T62" s="53" t="str">
        <f t="shared" si="0"/>
        <v>Premium</v>
      </c>
      <c r="U62" s="73">
        <v>186855.52169551729</v>
      </c>
      <c r="V62" s="73"/>
      <c r="W62" s="73">
        <f t="shared" si="1"/>
        <v>186855.52169551729</v>
      </c>
    </row>
    <row r="63" spans="2:23" x14ac:dyDescent="0.35">
      <c r="B63" s="1" t="s">
        <v>846</v>
      </c>
      <c r="C63" s="1" t="s">
        <v>48</v>
      </c>
      <c r="D63" s="1" t="s">
        <v>1401</v>
      </c>
      <c r="E63" s="1" t="s">
        <v>1402</v>
      </c>
      <c r="F63" s="1"/>
      <c r="G63" s="45" t="s">
        <v>842</v>
      </c>
      <c r="H63" s="1" t="s">
        <v>1403</v>
      </c>
      <c r="I63" s="45" t="s">
        <v>866</v>
      </c>
      <c r="J63" s="1" t="s">
        <v>1317</v>
      </c>
      <c r="K63" s="1" t="s">
        <v>1399</v>
      </c>
      <c r="L63" s="63" t="s">
        <v>853</v>
      </c>
      <c r="M63" s="45" t="s">
        <v>1400</v>
      </c>
      <c r="N63" s="1" t="s">
        <v>1252</v>
      </c>
      <c r="O63" s="45" t="s">
        <v>104</v>
      </c>
      <c r="P63" s="63" t="s">
        <v>852</v>
      </c>
      <c r="Q63" s="45" t="s">
        <v>834</v>
      </c>
      <c r="R63" s="45" t="s">
        <v>1318</v>
      </c>
      <c r="S63" s="4"/>
      <c r="T63" s="53" t="str">
        <f t="shared" si="0"/>
        <v>Premium</v>
      </c>
      <c r="U63" s="73">
        <v>189430.95429551729</v>
      </c>
      <c r="V63" s="73"/>
      <c r="W63" s="73">
        <f t="shared" si="1"/>
        <v>189430.95429551729</v>
      </c>
    </row>
    <row r="64" spans="2:23" x14ac:dyDescent="0.35">
      <c r="B64" s="1" t="s">
        <v>846</v>
      </c>
      <c r="C64" s="1" t="s">
        <v>48</v>
      </c>
      <c r="D64" s="1" t="s">
        <v>1404</v>
      </c>
      <c r="E64" s="1" t="s">
        <v>1402</v>
      </c>
      <c r="F64" s="1"/>
      <c r="G64" s="45" t="s">
        <v>842</v>
      </c>
      <c r="H64" s="1" t="s">
        <v>1403</v>
      </c>
      <c r="I64" s="45" t="s">
        <v>866</v>
      </c>
      <c r="J64" s="1" t="s">
        <v>1392</v>
      </c>
      <c r="K64" s="1" t="s">
        <v>1399</v>
      </c>
      <c r="L64" s="63" t="s">
        <v>853</v>
      </c>
      <c r="M64" s="45" t="s">
        <v>1400</v>
      </c>
      <c r="N64" s="1" t="s">
        <v>1252</v>
      </c>
      <c r="O64" s="45" t="s">
        <v>104</v>
      </c>
      <c r="P64" s="63" t="s">
        <v>852</v>
      </c>
      <c r="Q64" s="45" t="s">
        <v>834</v>
      </c>
      <c r="R64" s="45" t="s">
        <v>1318</v>
      </c>
      <c r="S64" s="4"/>
      <c r="T64" s="53" t="str">
        <f t="shared" si="0"/>
        <v>Premium</v>
      </c>
      <c r="U64" s="73">
        <v>208889.90882395412</v>
      </c>
      <c r="V64" s="73"/>
      <c r="W64" s="73">
        <f t="shared" si="1"/>
        <v>208889.90882395412</v>
      </c>
    </row>
    <row r="65" spans="2:23" x14ac:dyDescent="0.35">
      <c r="B65" s="1" t="s">
        <v>846</v>
      </c>
      <c r="C65" s="1" t="s">
        <v>48</v>
      </c>
      <c r="D65" s="1" t="s">
        <v>1405</v>
      </c>
      <c r="E65" s="1" t="s">
        <v>1390</v>
      </c>
      <c r="F65" s="1"/>
      <c r="G65" s="45" t="s">
        <v>842</v>
      </c>
      <c r="H65" s="1" t="s">
        <v>1398</v>
      </c>
      <c r="I65" s="45" t="s">
        <v>866</v>
      </c>
      <c r="J65" s="1" t="s">
        <v>1392</v>
      </c>
      <c r="K65" s="1" t="s">
        <v>1399</v>
      </c>
      <c r="L65" s="63" t="s">
        <v>853</v>
      </c>
      <c r="M65" s="45" t="s">
        <v>1400</v>
      </c>
      <c r="N65" s="1" t="s">
        <v>1252</v>
      </c>
      <c r="O65" s="45" t="s">
        <v>104</v>
      </c>
      <c r="P65" s="63" t="s">
        <v>852</v>
      </c>
      <c r="Q65" s="45" t="s">
        <v>834</v>
      </c>
      <c r="R65" s="45" t="s">
        <v>1318</v>
      </c>
      <c r="S65" s="4"/>
      <c r="T65" s="53" t="str">
        <f t="shared" si="0"/>
        <v>Premium</v>
      </c>
      <c r="U65" s="73">
        <v>208889.90882395412</v>
      </c>
      <c r="V65" s="73"/>
      <c r="W65" s="73">
        <f t="shared" si="1"/>
        <v>208889.90882395412</v>
      </c>
    </row>
    <row r="66" spans="2:23" x14ac:dyDescent="0.35">
      <c r="B66" s="45" t="s">
        <v>843</v>
      </c>
      <c r="C66" s="45" t="s">
        <v>48</v>
      </c>
      <c r="D66" s="45" t="s">
        <v>727</v>
      </c>
      <c r="E66" s="45" t="s">
        <v>730</v>
      </c>
      <c r="F66" s="45"/>
      <c r="G66" s="45" t="s">
        <v>842</v>
      </c>
      <c r="H66" s="45" t="s">
        <v>831</v>
      </c>
      <c r="I66" s="45" t="s">
        <v>101</v>
      </c>
      <c r="J66" s="45" t="s">
        <v>400</v>
      </c>
      <c r="K66" s="63" t="s">
        <v>731</v>
      </c>
      <c r="L66" s="63" t="s">
        <v>853</v>
      </c>
      <c r="M66" s="45" t="s">
        <v>854</v>
      </c>
      <c r="N66" s="45" t="s">
        <v>832</v>
      </c>
      <c r="O66" s="45" t="s">
        <v>104</v>
      </c>
      <c r="P66" s="63" t="s">
        <v>852</v>
      </c>
      <c r="Q66" s="45" t="s">
        <v>834</v>
      </c>
      <c r="R66" s="45" t="s">
        <v>835</v>
      </c>
      <c r="S66" s="45" t="s">
        <v>836</v>
      </c>
      <c r="T66" s="53" t="str">
        <f t="shared" si="0"/>
        <v>Premium</v>
      </c>
      <c r="U66" s="73">
        <v>280292.66948786646</v>
      </c>
      <c r="V66" s="73">
        <v>19999.82</v>
      </c>
      <c r="W66" s="73">
        <f t="shared" si="1"/>
        <v>260292.84948786645</v>
      </c>
    </row>
    <row r="67" spans="2:23" x14ac:dyDescent="0.35">
      <c r="B67" s="45" t="s">
        <v>843</v>
      </c>
      <c r="C67" s="45" t="s">
        <v>48</v>
      </c>
      <c r="D67" s="45" t="s">
        <v>732</v>
      </c>
      <c r="E67" s="45" t="s">
        <v>730</v>
      </c>
      <c r="F67" s="45"/>
      <c r="G67" s="45" t="s">
        <v>842</v>
      </c>
      <c r="H67" s="45" t="s">
        <v>831</v>
      </c>
      <c r="I67" s="45" t="s">
        <v>101</v>
      </c>
      <c r="J67" s="45" t="s">
        <v>403</v>
      </c>
      <c r="K67" s="63" t="s">
        <v>731</v>
      </c>
      <c r="L67" s="63" t="s">
        <v>853</v>
      </c>
      <c r="M67" s="45" t="s">
        <v>854</v>
      </c>
      <c r="N67" s="45" t="s">
        <v>832</v>
      </c>
      <c r="O67" s="45" t="s">
        <v>104</v>
      </c>
      <c r="P67" s="63" t="s">
        <v>852</v>
      </c>
      <c r="Q67" s="45" t="s">
        <v>834</v>
      </c>
      <c r="R67" s="45" t="s">
        <v>835</v>
      </c>
      <c r="S67" s="45" t="s">
        <v>836</v>
      </c>
      <c r="T67" s="53" t="str">
        <f t="shared" si="0"/>
        <v>Premium</v>
      </c>
      <c r="U67" s="73">
        <v>328940.19202164019</v>
      </c>
      <c r="V67" s="73">
        <v>19999.82</v>
      </c>
      <c r="W67" s="73">
        <f t="shared" si="1"/>
        <v>308940.37202164019</v>
      </c>
    </row>
    <row r="68" spans="2:23" x14ac:dyDescent="0.35">
      <c r="B68" s="45" t="s">
        <v>843</v>
      </c>
      <c r="C68" s="45" t="s">
        <v>48</v>
      </c>
      <c r="D68" s="45" t="s">
        <v>1247</v>
      </c>
      <c r="E68" s="45" t="s">
        <v>1248</v>
      </c>
      <c r="F68" s="45"/>
      <c r="G68" s="45" t="s">
        <v>842</v>
      </c>
      <c r="H68" s="45" t="s">
        <v>831</v>
      </c>
      <c r="I68" s="45" t="s">
        <v>866</v>
      </c>
      <c r="J68" s="45" t="s">
        <v>1249</v>
      </c>
      <c r="K68" s="63" t="s">
        <v>1250</v>
      </c>
      <c r="L68" s="63" t="s">
        <v>853</v>
      </c>
      <c r="M68" s="45" t="s">
        <v>1251</v>
      </c>
      <c r="N68" s="45" t="s">
        <v>1252</v>
      </c>
      <c r="O68" s="45" t="s">
        <v>104</v>
      </c>
      <c r="P68" s="63" t="s">
        <v>852</v>
      </c>
      <c r="Q68" s="45" t="s">
        <v>834</v>
      </c>
      <c r="R68" s="45" t="s">
        <v>835</v>
      </c>
      <c r="S68" s="45" t="s">
        <v>836</v>
      </c>
      <c r="T68" s="53" t="str">
        <f t="shared" si="0"/>
        <v>Premium</v>
      </c>
      <c r="U68" s="73">
        <v>252672.55651293689</v>
      </c>
      <c r="V68" s="73"/>
      <c r="W68" s="73">
        <f t="shared" si="1"/>
        <v>252672.55651293689</v>
      </c>
    </row>
    <row r="69" spans="2:23" x14ac:dyDescent="0.35">
      <c r="B69" s="45" t="s">
        <v>843</v>
      </c>
      <c r="C69" s="45" t="s">
        <v>48</v>
      </c>
      <c r="D69" s="45" t="s">
        <v>1253</v>
      </c>
      <c r="E69" s="45" t="s">
        <v>1248</v>
      </c>
      <c r="F69" s="45"/>
      <c r="G69" s="45" t="s">
        <v>842</v>
      </c>
      <c r="H69" s="45" t="s">
        <v>831</v>
      </c>
      <c r="I69" s="45" t="s">
        <v>866</v>
      </c>
      <c r="J69" s="45" t="s">
        <v>1254</v>
      </c>
      <c r="K69" s="63" t="s">
        <v>1250</v>
      </c>
      <c r="L69" s="63" t="s">
        <v>853</v>
      </c>
      <c r="M69" s="45" t="s">
        <v>1251</v>
      </c>
      <c r="N69" s="45" t="s">
        <v>1252</v>
      </c>
      <c r="O69" s="45" t="s">
        <v>104</v>
      </c>
      <c r="P69" s="63" t="s">
        <v>852</v>
      </c>
      <c r="Q69" s="45" t="s">
        <v>834</v>
      </c>
      <c r="R69" s="45" t="s">
        <v>835</v>
      </c>
      <c r="S69" s="45" t="s">
        <v>836</v>
      </c>
      <c r="T69" s="53" t="str">
        <f t="shared" si="0"/>
        <v>Premium</v>
      </c>
      <c r="U69" s="73">
        <v>320776.89402466913</v>
      </c>
      <c r="V69" s="73"/>
      <c r="W69" s="73">
        <f t="shared" si="1"/>
        <v>320776.89402466913</v>
      </c>
    </row>
    <row r="70" spans="2:23" x14ac:dyDescent="0.35">
      <c r="B70" s="45" t="s">
        <v>843</v>
      </c>
      <c r="C70" s="45" t="s">
        <v>48</v>
      </c>
      <c r="D70" s="45" t="s">
        <v>1255</v>
      </c>
      <c r="E70" s="45" t="s">
        <v>1248</v>
      </c>
      <c r="F70" s="45"/>
      <c r="G70" s="45" t="s">
        <v>1256</v>
      </c>
      <c r="H70" s="45" t="s">
        <v>831</v>
      </c>
      <c r="I70" s="45" t="s">
        <v>866</v>
      </c>
      <c r="J70" s="45" t="s">
        <v>1257</v>
      </c>
      <c r="K70" s="63" t="s">
        <v>1250</v>
      </c>
      <c r="L70" s="63" t="s">
        <v>853</v>
      </c>
      <c r="M70" s="45" t="s">
        <v>1251</v>
      </c>
      <c r="N70" s="45" t="s">
        <v>1252</v>
      </c>
      <c r="O70" s="45" t="s">
        <v>104</v>
      </c>
      <c r="P70" s="63" t="s">
        <v>852</v>
      </c>
      <c r="Q70" s="45" t="s">
        <v>834</v>
      </c>
      <c r="R70" s="45" t="s">
        <v>835</v>
      </c>
      <c r="S70" s="45" t="s">
        <v>836</v>
      </c>
      <c r="T70" s="53" t="str">
        <f t="shared" ref="T70:T123" si="2">IF(W70&lt;45000,"Entry",IF(W70&gt;72000,"Premium","Mainstream"))</f>
        <v>Premium</v>
      </c>
      <c r="U70" s="73">
        <v>386937.33942135423</v>
      </c>
      <c r="V70" s="73"/>
      <c r="W70" s="73">
        <f t="shared" ref="W70:W123" si="3">U70-V70</f>
        <v>386937.33942135423</v>
      </c>
    </row>
    <row r="71" spans="2:23" x14ac:dyDescent="0.35">
      <c r="B71" s="45" t="s">
        <v>97</v>
      </c>
      <c r="C71" s="45" t="s">
        <v>48</v>
      </c>
      <c r="D71" s="45" t="s">
        <v>1150</v>
      </c>
      <c r="E71" s="45" t="s">
        <v>667</v>
      </c>
      <c r="F71" s="45"/>
      <c r="G71" s="45" t="s">
        <v>872</v>
      </c>
      <c r="H71" s="45" t="s">
        <v>100</v>
      </c>
      <c r="I71" s="45" t="s">
        <v>1240</v>
      </c>
      <c r="J71" s="45" t="s">
        <v>182</v>
      </c>
      <c r="K71" s="63" t="s">
        <v>659</v>
      </c>
      <c r="L71" s="63" t="s">
        <v>850</v>
      </c>
      <c r="M71" s="45" t="s">
        <v>857</v>
      </c>
      <c r="N71" s="71" t="s">
        <v>1304</v>
      </c>
      <c r="O71" s="45" t="s">
        <v>743</v>
      </c>
      <c r="P71" s="63"/>
      <c r="Q71" s="45" t="s">
        <v>834</v>
      </c>
      <c r="R71" s="45" t="s">
        <v>841</v>
      </c>
      <c r="S71" s="45" t="s">
        <v>836</v>
      </c>
      <c r="T71" s="53" t="str">
        <f t="shared" si="2"/>
        <v>Premium</v>
      </c>
      <c r="U71" s="73">
        <v>94483.93170233618</v>
      </c>
      <c r="V71" s="73">
        <v>582.91999999999996</v>
      </c>
      <c r="W71" s="73">
        <f t="shared" si="3"/>
        <v>93901.011702336182</v>
      </c>
    </row>
    <row r="72" spans="2:23" x14ac:dyDescent="0.3">
      <c r="B72" s="1" t="s">
        <v>97</v>
      </c>
      <c r="C72" s="1" t="s">
        <v>48</v>
      </c>
      <c r="D72" s="45" t="s">
        <v>1284</v>
      </c>
      <c r="E72" s="43" t="s">
        <v>667</v>
      </c>
      <c r="F72" s="43"/>
      <c r="G72" s="1" t="s">
        <v>863</v>
      </c>
      <c r="H72" s="66" t="s">
        <v>100</v>
      </c>
      <c r="I72" s="66" t="s">
        <v>866</v>
      </c>
      <c r="J72" s="43" t="s">
        <v>182</v>
      </c>
      <c r="K72" s="67" t="s">
        <v>659</v>
      </c>
      <c r="L72" s="43" t="s">
        <v>850</v>
      </c>
      <c r="M72" s="43" t="s">
        <v>1092</v>
      </c>
      <c r="N72" s="71" t="s">
        <v>1304</v>
      </c>
      <c r="O72" s="66" t="s">
        <v>104</v>
      </c>
      <c r="P72" s="1"/>
      <c r="Q72" s="1" t="s">
        <v>834</v>
      </c>
      <c r="R72" s="43" t="s">
        <v>841</v>
      </c>
      <c r="S72" s="1"/>
      <c r="T72" s="66" t="str">
        <f t="shared" si="2"/>
        <v>Premium</v>
      </c>
      <c r="U72" s="73">
        <v>94661.16071606554</v>
      </c>
      <c r="V72" s="73"/>
      <c r="W72" s="73">
        <f t="shared" si="3"/>
        <v>94661.16071606554</v>
      </c>
    </row>
    <row r="73" spans="2:23" x14ac:dyDescent="0.35">
      <c r="B73" s="45" t="s">
        <v>97</v>
      </c>
      <c r="C73" s="45" t="s">
        <v>48</v>
      </c>
      <c r="D73" s="45" t="s">
        <v>1034</v>
      </c>
      <c r="E73" s="45" t="s">
        <v>667</v>
      </c>
      <c r="F73" s="45"/>
      <c r="G73" s="45" t="s">
        <v>863</v>
      </c>
      <c r="H73" s="45" t="s">
        <v>100</v>
      </c>
      <c r="I73" s="45" t="s">
        <v>57</v>
      </c>
      <c r="J73" s="45" t="s">
        <v>359</v>
      </c>
      <c r="K73" s="63" t="s">
        <v>659</v>
      </c>
      <c r="L73" s="63" t="s">
        <v>850</v>
      </c>
      <c r="M73" s="45" t="s">
        <v>857</v>
      </c>
      <c r="N73" s="71" t="s">
        <v>1304</v>
      </c>
      <c r="O73" s="45" t="s">
        <v>743</v>
      </c>
      <c r="P73" s="63"/>
      <c r="Q73" s="45" t="s">
        <v>834</v>
      </c>
      <c r="R73" s="45" t="s">
        <v>841</v>
      </c>
      <c r="S73" s="45" t="s">
        <v>836</v>
      </c>
      <c r="T73" s="53" t="str">
        <f t="shared" si="2"/>
        <v>Premium</v>
      </c>
      <c r="U73" s="73">
        <v>87599.441012250114</v>
      </c>
      <c r="V73" s="73"/>
      <c r="W73" s="73">
        <f t="shared" si="3"/>
        <v>87599.441012250114</v>
      </c>
    </row>
    <row r="74" spans="2:23" x14ac:dyDescent="0.35">
      <c r="B74" s="45" t="s">
        <v>1315</v>
      </c>
      <c r="C74" s="45" t="s">
        <v>48</v>
      </c>
      <c r="D74" s="45" t="s">
        <v>1316</v>
      </c>
      <c r="E74" s="45" t="s">
        <v>406</v>
      </c>
      <c r="F74" s="45"/>
      <c r="G74" s="45" t="s">
        <v>838</v>
      </c>
      <c r="H74" s="45" t="s">
        <v>100</v>
      </c>
      <c r="I74" s="45" t="s">
        <v>866</v>
      </c>
      <c r="J74" s="45" t="s">
        <v>1317</v>
      </c>
      <c r="K74" s="63" t="s">
        <v>659</v>
      </c>
      <c r="L74" s="63" t="s">
        <v>850</v>
      </c>
      <c r="M74" s="45" t="s">
        <v>857</v>
      </c>
      <c r="N74" s="71" t="s">
        <v>1304</v>
      </c>
      <c r="O74" s="45" t="s">
        <v>743</v>
      </c>
      <c r="P74" s="63"/>
      <c r="Q74" s="45" t="s">
        <v>834</v>
      </c>
      <c r="R74" s="45" t="s">
        <v>1318</v>
      </c>
      <c r="S74" s="45"/>
      <c r="T74" s="53" t="str">
        <f t="shared" si="2"/>
        <v>Premium</v>
      </c>
      <c r="U74" s="73">
        <v>123389.54358229891</v>
      </c>
      <c r="V74" s="73">
        <v>497.96</v>
      </c>
      <c r="W74" s="73">
        <f t="shared" si="3"/>
        <v>122891.5835822989</v>
      </c>
    </row>
    <row r="75" spans="2:23" x14ac:dyDescent="0.35">
      <c r="B75" s="45" t="s">
        <v>1315</v>
      </c>
      <c r="C75" s="45" t="s">
        <v>48</v>
      </c>
      <c r="D75" s="45" t="s">
        <v>1319</v>
      </c>
      <c r="E75" s="45" t="s">
        <v>663</v>
      </c>
      <c r="F75" s="45"/>
      <c r="G75" s="45" t="s">
        <v>838</v>
      </c>
      <c r="H75" s="45" t="s">
        <v>100</v>
      </c>
      <c r="I75" s="45" t="s">
        <v>866</v>
      </c>
      <c r="J75" s="45" t="s">
        <v>1317</v>
      </c>
      <c r="K75" s="63" t="s">
        <v>659</v>
      </c>
      <c r="L75" s="63" t="s">
        <v>850</v>
      </c>
      <c r="M75" s="45" t="s">
        <v>857</v>
      </c>
      <c r="N75" s="71" t="s">
        <v>1304</v>
      </c>
      <c r="O75" s="45" t="s">
        <v>743</v>
      </c>
      <c r="P75" s="63"/>
      <c r="Q75" s="45" t="s">
        <v>834</v>
      </c>
      <c r="R75" s="45" t="s">
        <v>1318</v>
      </c>
      <c r="S75" s="45"/>
      <c r="T75" s="53" t="str">
        <f t="shared" si="2"/>
        <v>Premium</v>
      </c>
      <c r="U75" s="73">
        <v>133119.02084651732</v>
      </c>
      <c r="V75" s="73">
        <v>497.96</v>
      </c>
      <c r="W75" s="73">
        <f t="shared" si="3"/>
        <v>132621.06084651733</v>
      </c>
    </row>
    <row r="76" spans="2:23" x14ac:dyDescent="0.35">
      <c r="B76" s="45" t="s">
        <v>1315</v>
      </c>
      <c r="C76" s="45" t="s">
        <v>48</v>
      </c>
      <c r="D76" s="45" t="s">
        <v>1320</v>
      </c>
      <c r="E76" s="45" t="s">
        <v>663</v>
      </c>
      <c r="F76" s="45"/>
      <c r="G76" s="45" t="s">
        <v>838</v>
      </c>
      <c r="H76" s="45" t="s">
        <v>100</v>
      </c>
      <c r="I76" s="45" t="s">
        <v>866</v>
      </c>
      <c r="J76" s="45" t="s">
        <v>1321</v>
      </c>
      <c r="K76" s="63" t="s">
        <v>659</v>
      </c>
      <c r="L76" s="63" t="s">
        <v>850</v>
      </c>
      <c r="M76" s="45" t="s">
        <v>857</v>
      </c>
      <c r="N76" s="71" t="s">
        <v>1304</v>
      </c>
      <c r="O76" s="45" t="s">
        <v>743</v>
      </c>
      <c r="P76" s="63"/>
      <c r="Q76" s="45" t="s">
        <v>834</v>
      </c>
      <c r="R76" s="45" t="s">
        <v>1318</v>
      </c>
      <c r="S76" s="45"/>
      <c r="T76" s="53" t="str">
        <f t="shared" si="2"/>
        <v>Premium</v>
      </c>
      <c r="U76" s="73">
        <v>120930.74932945523</v>
      </c>
      <c r="V76" s="73"/>
      <c r="W76" s="73">
        <f t="shared" si="3"/>
        <v>120930.74932945523</v>
      </c>
    </row>
    <row r="77" spans="2:23" x14ac:dyDescent="0.35">
      <c r="B77" s="45" t="s">
        <v>1315</v>
      </c>
      <c r="C77" s="45" t="s">
        <v>48</v>
      </c>
      <c r="D77" s="45" t="s">
        <v>1322</v>
      </c>
      <c r="E77" s="45" t="s">
        <v>406</v>
      </c>
      <c r="F77" s="45"/>
      <c r="G77" s="45" t="s">
        <v>838</v>
      </c>
      <c r="H77" s="45" t="s">
        <v>100</v>
      </c>
      <c r="I77" s="45" t="s">
        <v>866</v>
      </c>
      <c r="J77" s="45" t="s">
        <v>1321</v>
      </c>
      <c r="K77" s="63" t="s">
        <v>659</v>
      </c>
      <c r="L77" s="63" t="s">
        <v>850</v>
      </c>
      <c r="M77" s="45" t="s">
        <v>857</v>
      </c>
      <c r="N77" s="71" t="s">
        <v>1304</v>
      </c>
      <c r="O77" s="45" t="s">
        <v>743</v>
      </c>
      <c r="P77" s="63"/>
      <c r="Q77" s="45" t="s">
        <v>834</v>
      </c>
      <c r="R77" s="45" t="s">
        <v>1318</v>
      </c>
      <c r="S77" s="45"/>
      <c r="T77" s="53" t="str">
        <f t="shared" si="2"/>
        <v>Premium</v>
      </c>
      <c r="U77" s="73">
        <v>114585.61344450236</v>
      </c>
      <c r="V77" s="73">
        <v>451.94</v>
      </c>
      <c r="W77" s="73">
        <f t="shared" si="3"/>
        <v>114133.67344450236</v>
      </c>
    </row>
    <row r="78" spans="2:23" x14ac:dyDescent="0.35">
      <c r="B78" s="45" t="s">
        <v>1315</v>
      </c>
      <c r="C78" s="45" t="s">
        <v>48</v>
      </c>
      <c r="D78" s="45" t="s">
        <v>1323</v>
      </c>
      <c r="E78" s="45" t="s">
        <v>663</v>
      </c>
      <c r="F78" s="45"/>
      <c r="G78" s="45" t="s">
        <v>842</v>
      </c>
      <c r="H78" s="45" t="s">
        <v>100</v>
      </c>
      <c r="I78" s="45" t="s">
        <v>866</v>
      </c>
      <c r="J78" s="45" t="s">
        <v>1317</v>
      </c>
      <c r="K78" s="63" t="s">
        <v>659</v>
      </c>
      <c r="L78" s="63" t="s">
        <v>850</v>
      </c>
      <c r="M78" s="45" t="s">
        <v>857</v>
      </c>
      <c r="N78" s="71" t="s">
        <v>1304</v>
      </c>
      <c r="O78" s="45" t="s">
        <v>743</v>
      </c>
      <c r="P78" s="63"/>
      <c r="Q78" s="45" t="s">
        <v>834</v>
      </c>
      <c r="R78" s="45" t="s">
        <v>1318</v>
      </c>
      <c r="S78" s="45"/>
      <c r="T78" s="53" t="str">
        <f t="shared" si="2"/>
        <v>Premium</v>
      </c>
      <c r="U78" s="73">
        <v>138956.70720504835</v>
      </c>
      <c r="V78" s="73">
        <v>497.96</v>
      </c>
      <c r="W78" s="73">
        <f t="shared" si="3"/>
        <v>138458.74720504836</v>
      </c>
    </row>
    <row r="79" spans="2:23" x14ac:dyDescent="0.35">
      <c r="B79" s="45" t="s">
        <v>1315</v>
      </c>
      <c r="C79" s="45" t="s">
        <v>48</v>
      </c>
      <c r="D79" s="45" t="s">
        <v>1361</v>
      </c>
      <c r="E79" s="45" t="s">
        <v>1106</v>
      </c>
      <c r="F79" s="45"/>
      <c r="G79" s="45" t="s">
        <v>1108</v>
      </c>
      <c r="H79" s="45" t="s">
        <v>100</v>
      </c>
      <c r="I79" s="45" t="s">
        <v>866</v>
      </c>
      <c r="J79" s="45" t="s">
        <v>1275</v>
      </c>
      <c r="K79" s="63" t="s">
        <v>659</v>
      </c>
      <c r="L79" s="63" t="s">
        <v>850</v>
      </c>
      <c r="M79" s="45" t="s">
        <v>857</v>
      </c>
      <c r="N79" s="71" t="s">
        <v>1304</v>
      </c>
      <c r="O79" s="45" t="s">
        <v>743</v>
      </c>
      <c r="P79" s="63"/>
      <c r="Q79" s="45" t="s">
        <v>834</v>
      </c>
      <c r="R79" s="45" t="s">
        <v>845</v>
      </c>
      <c r="S79" s="45"/>
      <c r="T79" s="53" t="str">
        <f t="shared" si="2"/>
        <v>Mainstream</v>
      </c>
      <c r="U79" s="73">
        <v>63046.750470566665</v>
      </c>
      <c r="V79" s="73">
        <v>2000.1</v>
      </c>
      <c r="W79" s="73">
        <f t="shared" si="3"/>
        <v>61046.650470566667</v>
      </c>
    </row>
    <row r="80" spans="2:23" x14ac:dyDescent="0.35">
      <c r="B80" s="45" t="s">
        <v>473</v>
      </c>
      <c r="C80" s="45" t="s">
        <v>220</v>
      </c>
      <c r="D80" s="45" t="s">
        <v>928</v>
      </c>
      <c r="E80" s="45" t="s">
        <v>929</v>
      </c>
      <c r="F80" s="45"/>
      <c r="G80" s="45" t="s">
        <v>838</v>
      </c>
      <c r="H80" s="45" t="s">
        <v>831</v>
      </c>
      <c r="I80" s="45" t="s">
        <v>101</v>
      </c>
      <c r="J80" s="45" t="s">
        <v>882</v>
      </c>
      <c r="K80" s="63" t="s">
        <v>930</v>
      </c>
      <c r="L80" s="63" t="s">
        <v>931</v>
      </c>
      <c r="M80" s="45" t="s">
        <v>932</v>
      </c>
      <c r="N80" s="45" t="s">
        <v>893</v>
      </c>
      <c r="O80" s="45" t="s">
        <v>104</v>
      </c>
      <c r="P80" s="63" t="s">
        <v>894</v>
      </c>
      <c r="Q80" s="45" t="s">
        <v>834</v>
      </c>
      <c r="R80" s="45" t="s">
        <v>933</v>
      </c>
      <c r="S80" s="45" t="s">
        <v>902</v>
      </c>
      <c r="T80" s="53" t="str">
        <f t="shared" si="2"/>
        <v>Premium</v>
      </c>
      <c r="U80" s="73">
        <v>84420.163425447521</v>
      </c>
      <c r="V80" s="73"/>
      <c r="W80" s="73">
        <f t="shared" si="3"/>
        <v>84420.163425447521</v>
      </c>
    </row>
    <row r="81" spans="2:23" x14ac:dyDescent="0.35">
      <c r="B81" s="45" t="s">
        <v>776</v>
      </c>
      <c r="C81" s="45" t="s">
        <v>220</v>
      </c>
      <c r="D81" s="45" t="s">
        <v>1167</v>
      </c>
      <c r="E81" s="45" t="s">
        <v>1009</v>
      </c>
      <c r="F81" s="45" t="s">
        <v>1291</v>
      </c>
      <c r="G81" s="45" t="s">
        <v>830</v>
      </c>
      <c r="H81" s="45" t="s">
        <v>831</v>
      </c>
      <c r="I81" s="45" t="s">
        <v>920</v>
      </c>
      <c r="J81" s="45" t="s">
        <v>87</v>
      </c>
      <c r="K81" s="63" t="s">
        <v>1168</v>
      </c>
      <c r="L81" s="63" t="s">
        <v>1163</v>
      </c>
      <c r="M81" s="45" t="s">
        <v>1164</v>
      </c>
      <c r="N81" s="45" t="s">
        <v>893</v>
      </c>
      <c r="O81" s="45" t="s">
        <v>104</v>
      </c>
      <c r="P81" s="63" t="s">
        <v>894</v>
      </c>
      <c r="Q81" s="45" t="s">
        <v>834</v>
      </c>
      <c r="R81" s="45" t="s">
        <v>933</v>
      </c>
      <c r="S81" s="45" t="s">
        <v>896</v>
      </c>
      <c r="T81" s="53" t="str">
        <f t="shared" si="2"/>
        <v>Premium</v>
      </c>
      <c r="U81" s="73">
        <v>138652.31239966312</v>
      </c>
      <c r="V81" s="73">
        <v>2000.1</v>
      </c>
      <c r="W81" s="73">
        <f t="shared" si="3"/>
        <v>136652.21239966311</v>
      </c>
    </row>
    <row r="82" spans="2:23" x14ac:dyDescent="0.35">
      <c r="B82" s="45" t="s">
        <v>776</v>
      </c>
      <c r="C82" s="45" t="s">
        <v>220</v>
      </c>
      <c r="D82" s="45" t="s">
        <v>914</v>
      </c>
      <c r="E82" s="45" t="s">
        <v>905</v>
      </c>
      <c r="F82" s="45" t="s">
        <v>822</v>
      </c>
      <c r="G82" s="45" t="s">
        <v>842</v>
      </c>
      <c r="H82" s="45" t="s">
        <v>831</v>
      </c>
      <c r="I82" s="45" t="s">
        <v>101</v>
      </c>
      <c r="J82" s="45" t="s">
        <v>915</v>
      </c>
      <c r="K82" s="63" t="s">
        <v>916</v>
      </c>
      <c r="L82" s="63" t="s">
        <v>891</v>
      </c>
      <c r="M82" s="45" t="s">
        <v>917</v>
      </c>
      <c r="N82" s="45" t="s">
        <v>893</v>
      </c>
      <c r="O82" s="45" t="s">
        <v>104</v>
      </c>
      <c r="P82" s="63" t="s">
        <v>894</v>
      </c>
      <c r="Q82" s="45" t="s">
        <v>834</v>
      </c>
      <c r="R82" s="45" t="s">
        <v>895</v>
      </c>
      <c r="S82" s="45" t="s">
        <v>896</v>
      </c>
      <c r="T82" s="53" t="str">
        <f t="shared" si="2"/>
        <v>Premium</v>
      </c>
      <c r="U82" s="73">
        <v>128007.7740131918</v>
      </c>
      <c r="V82" s="73"/>
      <c r="W82" s="73">
        <f t="shared" si="3"/>
        <v>128007.7740131918</v>
      </c>
    </row>
    <row r="83" spans="2:23" x14ac:dyDescent="0.35">
      <c r="B83" s="45" t="s">
        <v>776</v>
      </c>
      <c r="C83" s="45" t="s">
        <v>220</v>
      </c>
      <c r="D83" s="45" t="s">
        <v>1165</v>
      </c>
      <c r="E83" s="45" t="s">
        <v>1166</v>
      </c>
      <c r="F83" s="45" t="s">
        <v>1291</v>
      </c>
      <c r="G83" s="45" t="s">
        <v>847</v>
      </c>
      <c r="H83" s="45" t="s">
        <v>831</v>
      </c>
      <c r="I83" s="45" t="s">
        <v>920</v>
      </c>
      <c r="J83" s="45" t="s">
        <v>87</v>
      </c>
      <c r="K83" s="63" t="s">
        <v>684</v>
      </c>
      <c r="L83" s="63" t="s">
        <v>1163</v>
      </c>
      <c r="M83" s="45" t="s">
        <v>1164</v>
      </c>
      <c r="N83" s="45" t="s">
        <v>893</v>
      </c>
      <c r="O83" s="45" t="s">
        <v>104</v>
      </c>
      <c r="P83" s="63" t="s">
        <v>894</v>
      </c>
      <c r="Q83" s="45" t="s">
        <v>834</v>
      </c>
      <c r="R83" s="45" t="s">
        <v>933</v>
      </c>
      <c r="S83" s="45" t="s">
        <v>896</v>
      </c>
      <c r="T83" s="53" t="str">
        <f t="shared" si="2"/>
        <v>Premium</v>
      </c>
      <c r="U83" s="73">
        <v>121139.25332407</v>
      </c>
      <c r="V83" s="73">
        <v>2000.1</v>
      </c>
      <c r="W83" s="73">
        <f t="shared" si="3"/>
        <v>119139.15332406999</v>
      </c>
    </row>
    <row r="84" spans="2:23" x14ac:dyDescent="0.35">
      <c r="B84" s="45" t="s">
        <v>776</v>
      </c>
      <c r="C84" s="45" t="s">
        <v>220</v>
      </c>
      <c r="D84" s="45" t="s">
        <v>806</v>
      </c>
      <c r="E84" s="45" t="s">
        <v>905</v>
      </c>
      <c r="F84" s="45" t="s">
        <v>822</v>
      </c>
      <c r="G84" s="45" t="s">
        <v>838</v>
      </c>
      <c r="H84" s="45" t="s">
        <v>831</v>
      </c>
      <c r="I84" s="45" t="s">
        <v>101</v>
      </c>
      <c r="J84" s="45" t="s">
        <v>915</v>
      </c>
      <c r="K84" s="63" t="s">
        <v>918</v>
      </c>
      <c r="L84" s="63" t="s">
        <v>891</v>
      </c>
      <c r="M84" s="45" t="s">
        <v>917</v>
      </c>
      <c r="N84" s="45" t="s">
        <v>893</v>
      </c>
      <c r="O84" s="45" t="s">
        <v>104</v>
      </c>
      <c r="P84" s="63" t="s">
        <v>894</v>
      </c>
      <c r="Q84" s="45" t="s">
        <v>834</v>
      </c>
      <c r="R84" s="45" t="s">
        <v>895</v>
      </c>
      <c r="S84" s="45" t="s">
        <v>896</v>
      </c>
      <c r="T84" s="53" t="str">
        <f t="shared" si="2"/>
        <v>Premium</v>
      </c>
      <c r="U84" s="73">
        <v>118277.81027511018</v>
      </c>
      <c r="V84" s="73">
        <v>13999.519999999999</v>
      </c>
      <c r="W84" s="73">
        <f t="shared" si="3"/>
        <v>104278.29027511018</v>
      </c>
    </row>
    <row r="85" spans="2:23" x14ac:dyDescent="0.35">
      <c r="B85" s="45" t="s">
        <v>776</v>
      </c>
      <c r="C85" s="45" t="s">
        <v>220</v>
      </c>
      <c r="D85" s="45" t="s">
        <v>919</v>
      </c>
      <c r="E85" s="45" t="s">
        <v>905</v>
      </c>
      <c r="F85" s="45" t="s">
        <v>822</v>
      </c>
      <c r="G85" s="45" t="s">
        <v>838</v>
      </c>
      <c r="H85" s="45" t="s">
        <v>831</v>
      </c>
      <c r="I85" s="45" t="s">
        <v>920</v>
      </c>
      <c r="J85" s="45" t="s">
        <v>915</v>
      </c>
      <c r="K85" s="63" t="s">
        <v>918</v>
      </c>
      <c r="L85" s="63" t="s">
        <v>891</v>
      </c>
      <c r="M85" s="45" t="s">
        <v>917</v>
      </c>
      <c r="N85" s="45" t="s">
        <v>893</v>
      </c>
      <c r="O85" s="45" t="s">
        <v>104</v>
      </c>
      <c r="P85" s="63" t="s">
        <v>894</v>
      </c>
      <c r="Q85" s="45" t="s">
        <v>834</v>
      </c>
      <c r="R85" s="45" t="s">
        <v>895</v>
      </c>
      <c r="S85" s="45" t="s">
        <v>896</v>
      </c>
      <c r="T85" s="53" t="str">
        <f t="shared" si="2"/>
        <v>Premium</v>
      </c>
      <c r="U85" s="73">
        <v>118277.79201838264</v>
      </c>
      <c r="V85" s="73">
        <v>13999.519999999999</v>
      </c>
      <c r="W85" s="73">
        <f t="shared" si="3"/>
        <v>104278.27201838263</v>
      </c>
    </row>
    <row r="86" spans="2:23" x14ac:dyDescent="0.35">
      <c r="B86" s="45" t="s">
        <v>776</v>
      </c>
      <c r="C86" s="45" t="s">
        <v>220</v>
      </c>
      <c r="D86" s="45" t="s">
        <v>1406</v>
      </c>
      <c r="E86" s="45" t="s">
        <v>1170</v>
      </c>
      <c r="F86" s="45" t="s">
        <v>1291</v>
      </c>
      <c r="G86" s="45" t="s">
        <v>842</v>
      </c>
      <c r="H86" s="45" t="s">
        <v>831</v>
      </c>
      <c r="I86" s="45" t="s">
        <v>1017</v>
      </c>
      <c r="J86" s="45" t="s">
        <v>87</v>
      </c>
      <c r="K86" s="63" t="s">
        <v>537</v>
      </c>
      <c r="L86" s="63" t="s">
        <v>1227</v>
      </c>
      <c r="M86" s="45" t="s">
        <v>1164</v>
      </c>
      <c r="N86" s="45" t="s">
        <v>893</v>
      </c>
      <c r="O86" s="45" t="s">
        <v>104</v>
      </c>
      <c r="P86" s="63" t="s">
        <v>894</v>
      </c>
      <c r="Q86" s="45" t="s">
        <v>834</v>
      </c>
      <c r="R86" s="45" t="s">
        <v>895</v>
      </c>
      <c r="S86" s="45" t="s">
        <v>896</v>
      </c>
      <c r="T86" s="53" t="str">
        <f t="shared" si="2"/>
        <v>Premium</v>
      </c>
      <c r="U86" s="73">
        <v>107118.8664391171</v>
      </c>
      <c r="V86" s="73"/>
      <c r="W86" s="73">
        <f t="shared" si="3"/>
        <v>107118.8664391171</v>
      </c>
    </row>
    <row r="87" spans="2:23" x14ac:dyDescent="0.35">
      <c r="B87" s="45" t="s">
        <v>776</v>
      </c>
      <c r="C87" s="45" t="s">
        <v>220</v>
      </c>
      <c r="D87" s="45" t="s">
        <v>1161</v>
      </c>
      <c r="E87" s="45" t="s">
        <v>1162</v>
      </c>
      <c r="F87" s="45" t="s">
        <v>1291</v>
      </c>
      <c r="G87" s="45" t="s">
        <v>847</v>
      </c>
      <c r="H87" s="45" t="s">
        <v>831</v>
      </c>
      <c r="I87" s="45" t="s">
        <v>920</v>
      </c>
      <c r="J87" s="45" t="s">
        <v>87</v>
      </c>
      <c r="K87" s="63" t="s">
        <v>684</v>
      </c>
      <c r="L87" s="63" t="s">
        <v>1163</v>
      </c>
      <c r="M87" s="45" t="s">
        <v>1164</v>
      </c>
      <c r="N87" s="45" t="s">
        <v>893</v>
      </c>
      <c r="O87" s="45" t="s">
        <v>104</v>
      </c>
      <c r="P87" s="63" t="s">
        <v>894</v>
      </c>
      <c r="Q87" s="45" t="s">
        <v>834</v>
      </c>
      <c r="R87" s="45" t="s">
        <v>933</v>
      </c>
      <c r="S87" s="45" t="s">
        <v>896</v>
      </c>
      <c r="T87" s="53" t="str">
        <f t="shared" si="2"/>
        <v>Premium</v>
      </c>
      <c r="U87" s="73">
        <v>111409.7760598516</v>
      </c>
      <c r="V87" s="73">
        <v>2000</v>
      </c>
      <c r="W87" s="73">
        <f t="shared" si="3"/>
        <v>109409.7760598516</v>
      </c>
    </row>
    <row r="88" spans="2:23" x14ac:dyDescent="0.35">
      <c r="B88" s="45" t="s">
        <v>776</v>
      </c>
      <c r="C88" s="45" t="s">
        <v>220</v>
      </c>
      <c r="D88" s="45" t="s">
        <v>1207</v>
      </c>
      <c r="E88" s="45" t="s">
        <v>1170</v>
      </c>
      <c r="F88" s="45" t="s">
        <v>1291</v>
      </c>
      <c r="G88" s="45" t="s">
        <v>1171</v>
      </c>
      <c r="H88" s="45" t="s">
        <v>831</v>
      </c>
      <c r="I88" s="45" t="s">
        <v>1017</v>
      </c>
      <c r="J88" s="45" t="s">
        <v>87</v>
      </c>
      <c r="K88" s="63" t="s">
        <v>537</v>
      </c>
      <c r="L88" s="63" t="s">
        <v>1227</v>
      </c>
      <c r="M88" s="45" t="s">
        <v>1164</v>
      </c>
      <c r="N88" s="45" t="s">
        <v>893</v>
      </c>
      <c r="O88" s="45" t="s">
        <v>104</v>
      </c>
      <c r="P88" s="63" t="s">
        <v>894</v>
      </c>
      <c r="Q88" s="45" t="s">
        <v>834</v>
      </c>
      <c r="R88" s="45" t="s">
        <v>895</v>
      </c>
      <c r="S88" s="45" t="s">
        <v>896</v>
      </c>
      <c r="T88" s="53" t="str">
        <f t="shared" si="2"/>
        <v>Premium</v>
      </c>
      <c r="U88" s="73">
        <v>102711.00423976</v>
      </c>
      <c r="V88" s="73">
        <v>2999.56</v>
      </c>
      <c r="W88" s="73">
        <f t="shared" si="3"/>
        <v>99711.444239760007</v>
      </c>
    </row>
    <row r="89" spans="2:23" x14ac:dyDescent="0.35">
      <c r="B89" s="45" t="s">
        <v>776</v>
      </c>
      <c r="C89" s="45" t="s">
        <v>220</v>
      </c>
      <c r="D89" s="45" t="s">
        <v>921</v>
      </c>
      <c r="E89" s="45" t="s">
        <v>922</v>
      </c>
      <c r="F89" s="45" t="s">
        <v>822</v>
      </c>
      <c r="G89" s="45" t="s">
        <v>838</v>
      </c>
      <c r="H89" s="45" t="s">
        <v>831</v>
      </c>
      <c r="I89" s="45" t="s">
        <v>101</v>
      </c>
      <c r="J89" s="45" t="s">
        <v>915</v>
      </c>
      <c r="K89" s="63" t="s">
        <v>918</v>
      </c>
      <c r="L89" s="63" t="s">
        <v>891</v>
      </c>
      <c r="M89" s="45" t="s">
        <v>917</v>
      </c>
      <c r="N89" s="45" t="s">
        <v>893</v>
      </c>
      <c r="O89" s="45" t="s">
        <v>104</v>
      </c>
      <c r="P89" s="63" t="s">
        <v>894</v>
      </c>
      <c r="Q89" s="45" t="s">
        <v>834</v>
      </c>
      <c r="R89" s="45" t="s">
        <v>895</v>
      </c>
      <c r="S89" s="45" t="s">
        <v>896</v>
      </c>
      <c r="T89" s="53" t="str">
        <f t="shared" si="2"/>
        <v>Premium</v>
      </c>
      <c r="U89" s="73">
        <v>100765.02362488046</v>
      </c>
      <c r="V89" s="73">
        <v>13042.539999999999</v>
      </c>
      <c r="W89" s="73">
        <f t="shared" si="3"/>
        <v>87722.483624880464</v>
      </c>
    </row>
    <row r="90" spans="2:23" x14ac:dyDescent="0.35">
      <c r="B90" s="45" t="s">
        <v>776</v>
      </c>
      <c r="C90" s="45" t="s">
        <v>220</v>
      </c>
      <c r="D90" s="45" t="s">
        <v>923</v>
      </c>
      <c r="E90" s="45" t="s">
        <v>922</v>
      </c>
      <c r="F90" s="45" t="s">
        <v>822</v>
      </c>
      <c r="G90" s="45" t="s">
        <v>838</v>
      </c>
      <c r="H90" s="45" t="s">
        <v>831</v>
      </c>
      <c r="I90" s="45" t="s">
        <v>920</v>
      </c>
      <c r="J90" s="45" t="s">
        <v>915</v>
      </c>
      <c r="K90" s="63" t="s">
        <v>918</v>
      </c>
      <c r="L90" s="63" t="s">
        <v>891</v>
      </c>
      <c r="M90" s="45" t="s">
        <v>917</v>
      </c>
      <c r="N90" s="45" t="s">
        <v>893</v>
      </c>
      <c r="O90" s="45" t="s">
        <v>104</v>
      </c>
      <c r="P90" s="63" t="s">
        <v>894</v>
      </c>
      <c r="Q90" s="45" t="s">
        <v>834</v>
      </c>
      <c r="R90" s="45" t="s">
        <v>895</v>
      </c>
      <c r="S90" s="45" t="s">
        <v>896</v>
      </c>
      <c r="T90" s="53" t="str">
        <f t="shared" si="2"/>
        <v>Premium</v>
      </c>
      <c r="U90" s="73">
        <v>100765.02362488046</v>
      </c>
      <c r="V90" s="73">
        <v>13042.539999999999</v>
      </c>
      <c r="W90" s="73">
        <f t="shared" si="3"/>
        <v>87722.483624880464</v>
      </c>
    </row>
    <row r="91" spans="2:23" x14ac:dyDescent="0.35">
      <c r="B91" s="45" t="s">
        <v>776</v>
      </c>
      <c r="C91" s="45" t="s">
        <v>220</v>
      </c>
      <c r="D91" s="45" t="s">
        <v>1160</v>
      </c>
      <c r="E91" s="45" t="s">
        <v>922</v>
      </c>
      <c r="F91" s="45" t="s">
        <v>822</v>
      </c>
      <c r="G91" s="45" t="s">
        <v>847</v>
      </c>
      <c r="H91" s="45" t="s">
        <v>831</v>
      </c>
      <c r="I91" s="45" t="s">
        <v>920</v>
      </c>
      <c r="J91" s="45" t="s">
        <v>87</v>
      </c>
      <c r="K91" s="63" t="s">
        <v>684</v>
      </c>
      <c r="L91" s="63" t="s">
        <v>891</v>
      </c>
      <c r="M91" s="45" t="s">
        <v>917</v>
      </c>
      <c r="N91" s="45" t="s">
        <v>893</v>
      </c>
      <c r="O91" s="45" t="s">
        <v>104</v>
      </c>
      <c r="P91" s="63" t="s">
        <v>894</v>
      </c>
      <c r="Q91" s="45" t="s">
        <v>834</v>
      </c>
      <c r="R91" s="45" t="s">
        <v>933</v>
      </c>
      <c r="S91" s="45" t="s">
        <v>896</v>
      </c>
      <c r="T91" s="53" t="str">
        <f t="shared" si="2"/>
        <v>Premium</v>
      </c>
      <c r="U91" s="73">
        <v>90750.674110680338</v>
      </c>
      <c r="V91" s="73"/>
      <c r="W91" s="73">
        <f t="shared" si="3"/>
        <v>90750.674110680338</v>
      </c>
    </row>
    <row r="92" spans="2:23" x14ac:dyDescent="0.35">
      <c r="B92" s="45" t="s">
        <v>776</v>
      </c>
      <c r="C92" s="45" t="s">
        <v>220</v>
      </c>
      <c r="D92" s="45" t="s">
        <v>924</v>
      </c>
      <c r="E92" s="45" t="s">
        <v>922</v>
      </c>
      <c r="F92" s="45" t="s">
        <v>822</v>
      </c>
      <c r="G92" s="45" t="s">
        <v>849</v>
      </c>
      <c r="H92" s="45" t="s">
        <v>831</v>
      </c>
      <c r="I92" s="45" t="s">
        <v>101</v>
      </c>
      <c r="J92" s="45" t="s">
        <v>915</v>
      </c>
      <c r="K92" s="63" t="s">
        <v>918</v>
      </c>
      <c r="L92" s="63" t="s">
        <v>891</v>
      </c>
      <c r="M92" s="45" t="s">
        <v>917</v>
      </c>
      <c r="N92" s="45" t="s">
        <v>836</v>
      </c>
      <c r="O92" s="45" t="s">
        <v>104</v>
      </c>
      <c r="P92" s="63" t="s">
        <v>894</v>
      </c>
      <c r="Q92" s="45" t="s">
        <v>834</v>
      </c>
      <c r="R92" s="45" t="s">
        <v>895</v>
      </c>
      <c r="S92" s="45" t="s">
        <v>925</v>
      </c>
      <c r="T92" s="53" t="str">
        <f t="shared" si="2"/>
        <v>Premium</v>
      </c>
      <c r="U92" s="73">
        <v>91874.709023699354</v>
      </c>
      <c r="V92" s="73">
        <v>8999.8599999999988</v>
      </c>
      <c r="W92" s="73">
        <f t="shared" si="3"/>
        <v>82874.849023699353</v>
      </c>
    </row>
    <row r="93" spans="2:23" x14ac:dyDescent="0.35">
      <c r="B93" s="45" t="s">
        <v>776</v>
      </c>
      <c r="C93" s="45" t="s">
        <v>220</v>
      </c>
      <c r="D93" s="45" t="s">
        <v>926</v>
      </c>
      <c r="E93" s="45" t="s">
        <v>922</v>
      </c>
      <c r="F93" s="45" t="s">
        <v>822</v>
      </c>
      <c r="G93" s="45" t="s">
        <v>849</v>
      </c>
      <c r="H93" s="45" t="s">
        <v>831</v>
      </c>
      <c r="I93" s="45" t="s">
        <v>101</v>
      </c>
      <c r="J93" s="45" t="s">
        <v>915</v>
      </c>
      <c r="K93" s="63" t="s">
        <v>918</v>
      </c>
      <c r="L93" s="63" t="s">
        <v>848</v>
      </c>
      <c r="M93" s="45" t="s">
        <v>917</v>
      </c>
      <c r="N93" s="45" t="s">
        <v>836</v>
      </c>
      <c r="O93" s="45" t="s">
        <v>104</v>
      </c>
      <c r="P93" s="63" t="s">
        <v>894</v>
      </c>
      <c r="Q93" s="45" t="s">
        <v>834</v>
      </c>
      <c r="R93" s="45" t="s">
        <v>895</v>
      </c>
      <c r="S93" s="45" t="s">
        <v>925</v>
      </c>
      <c r="T93" s="53" t="str">
        <f t="shared" si="2"/>
        <v>Premium</v>
      </c>
      <c r="U93" s="73">
        <v>91874.709023699354</v>
      </c>
      <c r="V93" s="73">
        <v>8999.8599999999988</v>
      </c>
      <c r="W93" s="73">
        <f t="shared" si="3"/>
        <v>82874.849023699353</v>
      </c>
    </row>
    <row r="94" spans="2:23" x14ac:dyDescent="0.35">
      <c r="B94" s="45" t="s">
        <v>776</v>
      </c>
      <c r="C94" s="45" t="s">
        <v>220</v>
      </c>
      <c r="D94" s="45" t="s">
        <v>927</v>
      </c>
      <c r="E94" s="45" t="s">
        <v>922</v>
      </c>
      <c r="F94" s="45" t="s">
        <v>822</v>
      </c>
      <c r="G94" s="45" t="s">
        <v>849</v>
      </c>
      <c r="H94" s="45" t="s">
        <v>831</v>
      </c>
      <c r="I94" s="45" t="s">
        <v>920</v>
      </c>
      <c r="J94" s="45" t="s">
        <v>915</v>
      </c>
      <c r="K94" s="63" t="s">
        <v>918</v>
      </c>
      <c r="L94" s="63" t="s">
        <v>891</v>
      </c>
      <c r="M94" s="45" t="s">
        <v>917</v>
      </c>
      <c r="N94" s="45" t="s">
        <v>836</v>
      </c>
      <c r="O94" s="45" t="s">
        <v>104</v>
      </c>
      <c r="P94" s="63" t="s">
        <v>894</v>
      </c>
      <c r="Q94" s="45" t="s">
        <v>834</v>
      </c>
      <c r="R94" s="45" t="s">
        <v>895</v>
      </c>
      <c r="S94" s="45" t="s">
        <v>925</v>
      </c>
      <c r="T94" s="53" t="str">
        <f t="shared" si="2"/>
        <v>Premium</v>
      </c>
      <c r="U94" s="73">
        <v>91874.732985654264</v>
      </c>
      <c r="V94" s="73">
        <v>8999.8599999999988</v>
      </c>
      <c r="W94" s="73">
        <f t="shared" si="3"/>
        <v>82874.872985654263</v>
      </c>
    </row>
    <row r="95" spans="2:23" x14ac:dyDescent="0.35">
      <c r="B95" s="45" t="s">
        <v>776</v>
      </c>
      <c r="C95" s="45" t="s">
        <v>220</v>
      </c>
      <c r="D95" s="45" t="s">
        <v>1221</v>
      </c>
      <c r="E95" s="45" t="s">
        <v>1222</v>
      </c>
      <c r="F95" s="45" t="s">
        <v>822</v>
      </c>
      <c r="G95" s="45" t="s">
        <v>847</v>
      </c>
      <c r="H95" s="45" t="s">
        <v>831</v>
      </c>
      <c r="I95" s="45" t="s">
        <v>920</v>
      </c>
      <c r="J95" s="45" t="s">
        <v>915</v>
      </c>
      <c r="K95" s="63" t="s">
        <v>918</v>
      </c>
      <c r="L95" s="63" t="s">
        <v>891</v>
      </c>
      <c r="M95" s="45" t="s">
        <v>917</v>
      </c>
      <c r="N95" s="45" t="s">
        <v>836</v>
      </c>
      <c r="O95" s="45" t="s">
        <v>104</v>
      </c>
      <c r="P95" s="63" t="s">
        <v>894</v>
      </c>
      <c r="Q95" s="45" t="s">
        <v>834</v>
      </c>
      <c r="R95" s="45" t="s">
        <v>895</v>
      </c>
      <c r="S95" s="45" t="s">
        <v>925</v>
      </c>
      <c r="T95" s="53" t="str">
        <f t="shared" si="2"/>
        <v>Premium</v>
      </c>
      <c r="U95" s="73">
        <v>83118.347647857707</v>
      </c>
      <c r="V95" s="73"/>
      <c r="W95" s="73">
        <f t="shared" si="3"/>
        <v>83118.347647857707</v>
      </c>
    </row>
    <row r="96" spans="2:23" x14ac:dyDescent="0.35">
      <c r="B96" s="45" t="s">
        <v>910</v>
      </c>
      <c r="C96" s="45" t="s">
        <v>220</v>
      </c>
      <c r="D96" s="45" t="s">
        <v>911</v>
      </c>
      <c r="E96" s="45" t="s">
        <v>521</v>
      </c>
      <c r="F96" s="45"/>
      <c r="G96" s="45" t="s">
        <v>847</v>
      </c>
      <c r="H96" s="45" t="s">
        <v>831</v>
      </c>
      <c r="I96" s="45" t="s">
        <v>101</v>
      </c>
      <c r="J96" s="45" t="s">
        <v>675</v>
      </c>
      <c r="K96" s="63" t="s">
        <v>912</v>
      </c>
      <c r="L96" s="63" t="s">
        <v>891</v>
      </c>
      <c r="M96" s="45" t="s">
        <v>913</v>
      </c>
      <c r="N96" s="45" t="s">
        <v>893</v>
      </c>
      <c r="O96" s="45" t="s">
        <v>104</v>
      </c>
      <c r="P96" s="63" t="s">
        <v>894</v>
      </c>
      <c r="Q96" s="45" t="s">
        <v>834</v>
      </c>
      <c r="R96" s="45" t="s">
        <v>895</v>
      </c>
      <c r="S96" s="45" t="s">
        <v>896</v>
      </c>
      <c r="T96" s="53" t="str">
        <f t="shared" si="2"/>
        <v>Premium</v>
      </c>
      <c r="U96" s="73">
        <v>110519.04841810273</v>
      </c>
      <c r="V96" s="73">
        <v>6199.7199999999993</v>
      </c>
      <c r="W96" s="73">
        <f t="shared" si="3"/>
        <v>104319.32841810273</v>
      </c>
    </row>
    <row r="97" spans="2:23" x14ac:dyDescent="0.35">
      <c r="B97" s="45" t="s">
        <v>903</v>
      </c>
      <c r="C97" s="45" t="s">
        <v>220</v>
      </c>
      <c r="D97" s="45" t="s">
        <v>904</v>
      </c>
      <c r="E97" s="45" t="s">
        <v>905</v>
      </c>
      <c r="F97" s="45" t="s">
        <v>822</v>
      </c>
      <c r="G97" s="45" t="s">
        <v>830</v>
      </c>
      <c r="H97" s="45" t="s">
        <v>831</v>
      </c>
      <c r="I97" s="45" t="s">
        <v>101</v>
      </c>
      <c r="J97" s="45" t="s">
        <v>906</v>
      </c>
      <c r="K97" s="63" t="s">
        <v>907</v>
      </c>
      <c r="L97" s="63" t="s">
        <v>908</v>
      </c>
      <c r="M97" s="45" t="s">
        <v>909</v>
      </c>
      <c r="N97" s="45" t="s">
        <v>893</v>
      </c>
      <c r="O97" s="45" t="s">
        <v>104</v>
      </c>
      <c r="P97" s="63" t="s">
        <v>894</v>
      </c>
      <c r="Q97" s="45" t="s">
        <v>834</v>
      </c>
      <c r="R97" s="45" t="s">
        <v>895</v>
      </c>
      <c r="S97" s="45" t="s">
        <v>896</v>
      </c>
      <c r="T97" s="53" t="str">
        <f t="shared" si="2"/>
        <v>Premium</v>
      </c>
      <c r="U97" s="73">
        <v>174709.71243739428</v>
      </c>
      <c r="V97" s="73"/>
      <c r="W97" s="73">
        <f t="shared" si="3"/>
        <v>174709.71243739428</v>
      </c>
    </row>
    <row r="98" spans="2:23" x14ac:dyDescent="0.35">
      <c r="B98" s="45" t="s">
        <v>1236</v>
      </c>
      <c r="C98" s="45" t="s">
        <v>220</v>
      </c>
      <c r="D98" s="45" t="s">
        <v>1237</v>
      </c>
      <c r="E98" s="45" t="s">
        <v>1009</v>
      </c>
      <c r="F98" s="45" t="s">
        <v>1291</v>
      </c>
      <c r="G98" s="45" t="s">
        <v>830</v>
      </c>
      <c r="H98" s="45" t="s">
        <v>831</v>
      </c>
      <c r="I98" s="45" t="s">
        <v>920</v>
      </c>
      <c r="J98" s="45" t="s">
        <v>906</v>
      </c>
      <c r="K98" s="63" t="s">
        <v>1238</v>
      </c>
      <c r="L98" s="63" t="s">
        <v>908</v>
      </c>
      <c r="M98" s="45" t="s">
        <v>909</v>
      </c>
      <c r="N98" s="45" t="s">
        <v>893</v>
      </c>
      <c r="O98" s="45" t="s">
        <v>104</v>
      </c>
      <c r="P98" s="63" t="s">
        <v>894</v>
      </c>
      <c r="Q98" s="45" t="s">
        <v>834</v>
      </c>
      <c r="R98" s="45" t="s">
        <v>895</v>
      </c>
      <c r="S98" s="45" t="s">
        <v>896</v>
      </c>
      <c r="T98" s="53" t="str">
        <f t="shared" si="2"/>
        <v>Premium</v>
      </c>
      <c r="U98" s="73">
        <v>201895.03776104003</v>
      </c>
      <c r="V98" s="73"/>
      <c r="W98" s="73">
        <f t="shared" si="3"/>
        <v>201895.03776104003</v>
      </c>
    </row>
    <row r="99" spans="2:23" x14ac:dyDescent="0.35">
      <c r="B99" s="45" t="s">
        <v>898</v>
      </c>
      <c r="C99" s="45" t="s">
        <v>220</v>
      </c>
      <c r="D99" s="45" t="s">
        <v>524</v>
      </c>
      <c r="E99" s="45" t="s">
        <v>521</v>
      </c>
      <c r="F99" s="45"/>
      <c r="G99" s="45" t="s">
        <v>838</v>
      </c>
      <c r="H99" s="45" t="s">
        <v>831</v>
      </c>
      <c r="I99" s="45" t="s">
        <v>101</v>
      </c>
      <c r="J99" s="45" t="s">
        <v>675</v>
      </c>
      <c r="K99" s="63" t="s">
        <v>899</v>
      </c>
      <c r="L99" s="63" t="s">
        <v>900</v>
      </c>
      <c r="M99" s="45" t="s">
        <v>901</v>
      </c>
      <c r="N99" s="45" t="s">
        <v>893</v>
      </c>
      <c r="O99" s="45" t="s">
        <v>104</v>
      </c>
      <c r="P99" s="63" t="s">
        <v>894</v>
      </c>
      <c r="Q99" s="45" t="s">
        <v>834</v>
      </c>
      <c r="R99" s="45" t="s">
        <v>895</v>
      </c>
      <c r="S99" s="45" t="s">
        <v>902</v>
      </c>
      <c r="T99" s="53" t="str">
        <f t="shared" si="2"/>
        <v>Premium</v>
      </c>
      <c r="U99" s="73">
        <v>131779.35902414762</v>
      </c>
      <c r="V99" s="73"/>
      <c r="W99" s="73">
        <f t="shared" si="3"/>
        <v>131779.35902414762</v>
      </c>
    </row>
    <row r="100" spans="2:23" x14ac:dyDescent="0.35">
      <c r="B100" s="45" t="s">
        <v>628</v>
      </c>
      <c r="C100" s="45" t="s">
        <v>220</v>
      </c>
      <c r="D100" s="45" t="s">
        <v>887</v>
      </c>
      <c r="E100" s="45" t="s">
        <v>888</v>
      </c>
      <c r="F100" s="45" t="s">
        <v>822</v>
      </c>
      <c r="G100" s="45" t="s">
        <v>842</v>
      </c>
      <c r="H100" s="45" t="s">
        <v>831</v>
      </c>
      <c r="I100" s="45" t="s">
        <v>101</v>
      </c>
      <c r="J100" s="45" t="s">
        <v>889</v>
      </c>
      <c r="K100" s="63" t="s">
        <v>890</v>
      </c>
      <c r="L100" s="63" t="s">
        <v>891</v>
      </c>
      <c r="M100" s="45" t="s">
        <v>892</v>
      </c>
      <c r="N100" s="45" t="s">
        <v>893</v>
      </c>
      <c r="O100" s="45" t="s">
        <v>104</v>
      </c>
      <c r="P100" s="63" t="s">
        <v>894</v>
      </c>
      <c r="Q100" s="45" t="s">
        <v>834</v>
      </c>
      <c r="R100" s="45" t="s">
        <v>895</v>
      </c>
      <c r="S100" s="45" t="s">
        <v>896</v>
      </c>
      <c r="T100" s="53" t="str">
        <f t="shared" si="2"/>
        <v>Premium</v>
      </c>
      <c r="U100" s="73">
        <v>233086.57602270471</v>
      </c>
      <c r="V100" s="73">
        <v>22000.000000000004</v>
      </c>
      <c r="W100" s="73">
        <f t="shared" si="3"/>
        <v>211086.57602270471</v>
      </c>
    </row>
    <row r="101" spans="2:23" x14ac:dyDescent="0.35">
      <c r="B101" s="45" t="s">
        <v>628</v>
      </c>
      <c r="C101" s="45" t="s">
        <v>220</v>
      </c>
      <c r="D101" s="45" t="s">
        <v>627</v>
      </c>
      <c r="E101" s="45" t="s">
        <v>514</v>
      </c>
      <c r="F101" s="45"/>
      <c r="G101" s="45" t="s">
        <v>838</v>
      </c>
      <c r="H101" s="45" t="s">
        <v>831</v>
      </c>
      <c r="I101" s="45" t="s">
        <v>101</v>
      </c>
      <c r="J101" s="45" t="s">
        <v>675</v>
      </c>
      <c r="K101" s="63" t="s">
        <v>890</v>
      </c>
      <c r="L101" s="63" t="s">
        <v>891</v>
      </c>
      <c r="M101" s="45" t="s">
        <v>892</v>
      </c>
      <c r="N101" s="45" t="s">
        <v>893</v>
      </c>
      <c r="O101" s="45" t="s">
        <v>104</v>
      </c>
      <c r="P101" s="63" t="s">
        <v>894</v>
      </c>
      <c r="Q101" s="45" t="s">
        <v>834</v>
      </c>
      <c r="R101" s="45" t="s">
        <v>895</v>
      </c>
      <c r="S101" s="45" t="s">
        <v>897</v>
      </c>
      <c r="T101" s="53" t="str">
        <f t="shared" si="2"/>
        <v>Premium</v>
      </c>
      <c r="U101" s="73">
        <v>197114.20794523958</v>
      </c>
      <c r="V101" s="73"/>
      <c r="W101" s="73">
        <f t="shared" si="3"/>
        <v>197114.20794523958</v>
      </c>
    </row>
    <row r="102" spans="2:23" x14ac:dyDescent="0.35">
      <c r="B102" s="45" t="s">
        <v>886</v>
      </c>
      <c r="C102" s="45" t="s">
        <v>220</v>
      </c>
      <c r="D102" s="45" t="s">
        <v>1287</v>
      </c>
      <c r="E102" s="45" t="s">
        <v>1288</v>
      </c>
      <c r="F102" s="45" t="s">
        <v>822</v>
      </c>
      <c r="G102" s="45" t="s">
        <v>842</v>
      </c>
      <c r="H102" s="45" t="s">
        <v>831</v>
      </c>
      <c r="I102" s="45" t="s">
        <v>920</v>
      </c>
      <c r="J102" s="45" t="s">
        <v>889</v>
      </c>
      <c r="K102" s="63" t="s">
        <v>1289</v>
      </c>
      <c r="L102" s="63" t="s">
        <v>891</v>
      </c>
      <c r="M102" s="45" t="s">
        <v>1290</v>
      </c>
      <c r="N102" s="45" t="s">
        <v>1305</v>
      </c>
      <c r="O102" s="45" t="s">
        <v>104</v>
      </c>
      <c r="P102" s="63" t="s">
        <v>894</v>
      </c>
      <c r="Q102" s="45" t="s">
        <v>834</v>
      </c>
      <c r="R102" s="45" t="s">
        <v>895</v>
      </c>
      <c r="S102" s="45" t="s">
        <v>897</v>
      </c>
      <c r="T102" s="53" t="str">
        <f t="shared" si="2"/>
        <v>Premium</v>
      </c>
      <c r="U102" s="73">
        <v>231005.75284643998</v>
      </c>
      <c r="V102" s="73"/>
      <c r="W102" s="73">
        <f t="shared" si="3"/>
        <v>231005.75284643998</v>
      </c>
    </row>
    <row r="103" spans="2:23" x14ac:dyDescent="0.35">
      <c r="B103" s="45" t="s">
        <v>999</v>
      </c>
      <c r="C103" s="45" t="s">
        <v>81</v>
      </c>
      <c r="D103" s="45" t="s">
        <v>1000</v>
      </c>
      <c r="E103" s="45" t="s">
        <v>1229</v>
      </c>
      <c r="F103" s="45" t="s">
        <v>1291</v>
      </c>
      <c r="G103" s="45" t="s">
        <v>830</v>
      </c>
      <c r="H103" s="45" t="s">
        <v>831</v>
      </c>
      <c r="I103" s="45" t="s">
        <v>920</v>
      </c>
      <c r="J103" s="45" t="s">
        <v>87</v>
      </c>
      <c r="K103" s="63" t="s">
        <v>1001</v>
      </c>
      <c r="L103" s="63" t="s">
        <v>938</v>
      </c>
      <c r="M103" s="45" t="s">
        <v>1002</v>
      </c>
      <c r="N103" s="45" t="s">
        <v>893</v>
      </c>
      <c r="O103" s="45" t="s">
        <v>104</v>
      </c>
      <c r="P103" s="63" t="s">
        <v>894</v>
      </c>
      <c r="Q103" s="45" t="s">
        <v>834</v>
      </c>
      <c r="R103" s="45" t="s">
        <v>933</v>
      </c>
      <c r="S103" s="45" t="s">
        <v>896</v>
      </c>
      <c r="T103" s="53" t="str">
        <f t="shared" si="2"/>
        <v>Premium</v>
      </c>
      <c r="U103" s="73">
        <v>124115.80797691368</v>
      </c>
      <c r="V103" s="73"/>
      <c r="W103" s="73">
        <f t="shared" si="3"/>
        <v>124115.80797691368</v>
      </c>
    </row>
    <row r="104" spans="2:23" x14ac:dyDescent="0.35">
      <c r="B104" s="45" t="s">
        <v>999</v>
      </c>
      <c r="C104" s="45" t="s">
        <v>81</v>
      </c>
      <c r="D104" s="45" t="s">
        <v>1025</v>
      </c>
      <c r="E104" s="45" t="s">
        <v>996</v>
      </c>
      <c r="F104" s="45" t="s">
        <v>822</v>
      </c>
      <c r="G104" s="45" t="s">
        <v>847</v>
      </c>
      <c r="H104" s="45" t="s">
        <v>831</v>
      </c>
      <c r="I104" s="45" t="s">
        <v>101</v>
      </c>
      <c r="J104" s="45" t="s">
        <v>1004</v>
      </c>
      <c r="K104" s="63" t="s">
        <v>1026</v>
      </c>
      <c r="L104" s="63" t="s">
        <v>891</v>
      </c>
      <c r="M104" s="45" t="s">
        <v>1027</v>
      </c>
      <c r="N104" s="45" t="s">
        <v>893</v>
      </c>
      <c r="O104" s="45" t="s">
        <v>104</v>
      </c>
      <c r="P104" s="63" t="s">
        <v>894</v>
      </c>
      <c r="Q104" s="45" t="s">
        <v>834</v>
      </c>
      <c r="R104" s="45" t="s">
        <v>895</v>
      </c>
      <c r="S104" s="45" t="s">
        <v>896</v>
      </c>
      <c r="T104" s="53" t="str">
        <f t="shared" si="2"/>
        <v>Premium</v>
      </c>
      <c r="U104" s="73">
        <v>146493.60568461599</v>
      </c>
      <c r="V104" s="73"/>
      <c r="W104" s="73">
        <f t="shared" si="3"/>
        <v>146493.60568461599</v>
      </c>
    </row>
    <row r="105" spans="2:23" x14ac:dyDescent="0.35">
      <c r="B105" s="45" t="s">
        <v>1242</v>
      </c>
      <c r="C105" s="45" t="s">
        <v>81</v>
      </c>
      <c r="D105" s="45" t="s">
        <v>1243</v>
      </c>
      <c r="E105" s="45" t="s">
        <v>1244</v>
      </c>
      <c r="F105" s="45" t="s">
        <v>822</v>
      </c>
      <c r="G105" s="45" t="s">
        <v>842</v>
      </c>
      <c r="H105" s="45" t="s">
        <v>831</v>
      </c>
      <c r="I105" s="45" t="s">
        <v>920</v>
      </c>
      <c r="J105" s="45" t="s">
        <v>1245</v>
      </c>
      <c r="K105" s="63" t="s">
        <v>1246</v>
      </c>
      <c r="L105" s="63" t="s">
        <v>938</v>
      </c>
      <c r="M105" s="45" t="s">
        <v>1002</v>
      </c>
      <c r="N105" s="45" t="s">
        <v>893</v>
      </c>
      <c r="O105" s="45" t="s">
        <v>104</v>
      </c>
      <c r="P105" s="63" t="s">
        <v>894</v>
      </c>
      <c r="Q105" s="45" t="s">
        <v>834</v>
      </c>
      <c r="R105" s="45" t="s">
        <v>895</v>
      </c>
      <c r="S105" s="45" t="s">
        <v>896</v>
      </c>
      <c r="T105" s="53" t="str">
        <f t="shared" si="2"/>
        <v>Premium</v>
      </c>
      <c r="U105" s="73">
        <v>133787.57376755393</v>
      </c>
      <c r="V105" s="73"/>
      <c r="W105" s="73">
        <f t="shared" si="3"/>
        <v>133787.57376755393</v>
      </c>
    </row>
    <row r="106" spans="2:23" x14ac:dyDescent="0.35">
      <c r="B106" s="45" t="s">
        <v>1028</v>
      </c>
      <c r="C106" s="45" t="s">
        <v>81</v>
      </c>
      <c r="D106" s="45" t="s">
        <v>1029</v>
      </c>
      <c r="E106" s="45" t="s">
        <v>1030</v>
      </c>
      <c r="F106" s="45" t="s">
        <v>822</v>
      </c>
      <c r="G106" s="45" t="s">
        <v>830</v>
      </c>
      <c r="H106" s="45" t="s">
        <v>831</v>
      </c>
      <c r="I106" s="45" t="s">
        <v>101</v>
      </c>
      <c r="J106" s="45" t="s">
        <v>1004</v>
      </c>
      <c r="K106" s="63" t="s">
        <v>1031</v>
      </c>
      <c r="L106" s="63" t="s">
        <v>938</v>
      </c>
      <c r="M106" s="45" t="s">
        <v>1032</v>
      </c>
      <c r="N106" s="45" t="s">
        <v>893</v>
      </c>
      <c r="O106" s="45" t="s">
        <v>104</v>
      </c>
      <c r="P106" s="63" t="s">
        <v>894</v>
      </c>
      <c r="Q106" s="45" t="s">
        <v>834</v>
      </c>
      <c r="R106" s="45" t="s">
        <v>895</v>
      </c>
      <c r="S106" s="45" t="s">
        <v>896</v>
      </c>
      <c r="T106" s="53" t="str">
        <f t="shared" si="2"/>
        <v>Premium</v>
      </c>
      <c r="U106" s="73">
        <v>176654.98520369304</v>
      </c>
      <c r="V106" s="73"/>
      <c r="W106" s="73">
        <f t="shared" si="3"/>
        <v>176654.98520369304</v>
      </c>
    </row>
    <row r="107" spans="2:23" x14ac:dyDescent="0.35">
      <c r="B107" s="45" t="s">
        <v>429</v>
      </c>
      <c r="C107" s="45" t="s">
        <v>81</v>
      </c>
      <c r="D107" s="45" t="s">
        <v>983</v>
      </c>
      <c r="E107" s="45" t="s">
        <v>442</v>
      </c>
      <c r="F107" s="45"/>
      <c r="G107" s="45" t="s">
        <v>847</v>
      </c>
      <c r="H107" s="45" t="s">
        <v>831</v>
      </c>
      <c r="I107" s="45" t="s">
        <v>101</v>
      </c>
      <c r="J107" s="45" t="s">
        <v>87</v>
      </c>
      <c r="K107" s="63" t="s">
        <v>984</v>
      </c>
      <c r="L107" s="63" t="s">
        <v>848</v>
      </c>
      <c r="M107" s="45" t="s">
        <v>985</v>
      </c>
      <c r="N107" s="45" t="s">
        <v>893</v>
      </c>
      <c r="O107" s="45" t="s">
        <v>104</v>
      </c>
      <c r="P107" s="63" t="s">
        <v>894</v>
      </c>
      <c r="Q107" s="45" t="s">
        <v>834</v>
      </c>
      <c r="R107" s="45" t="s">
        <v>933</v>
      </c>
      <c r="S107" s="45" t="s">
        <v>896</v>
      </c>
      <c r="T107" s="53" t="str">
        <f t="shared" si="2"/>
        <v>Premium</v>
      </c>
      <c r="U107" s="73">
        <v>82594.825983251023</v>
      </c>
      <c r="V107" s="73">
        <v>4410.84</v>
      </c>
      <c r="W107" s="73">
        <f t="shared" si="3"/>
        <v>78183.985983251026</v>
      </c>
    </row>
    <row r="108" spans="2:23" x14ac:dyDescent="0.35">
      <c r="B108" s="45" t="s">
        <v>429</v>
      </c>
      <c r="C108" s="45" t="s">
        <v>81</v>
      </c>
      <c r="D108" s="45" t="s">
        <v>991</v>
      </c>
      <c r="E108" s="45" t="s">
        <v>461</v>
      </c>
      <c r="F108" s="45"/>
      <c r="G108" s="45" t="s">
        <v>847</v>
      </c>
      <c r="H108" s="45" t="s">
        <v>831</v>
      </c>
      <c r="I108" s="45" t="s">
        <v>101</v>
      </c>
      <c r="J108" s="45" t="s">
        <v>87</v>
      </c>
      <c r="K108" s="63" t="s">
        <v>984</v>
      </c>
      <c r="L108" s="63" t="s">
        <v>848</v>
      </c>
      <c r="M108" s="45" t="s">
        <v>985</v>
      </c>
      <c r="N108" s="45" t="s">
        <v>893</v>
      </c>
      <c r="O108" s="45" t="s">
        <v>104</v>
      </c>
      <c r="P108" s="63" t="s">
        <v>894</v>
      </c>
      <c r="Q108" s="45" t="s">
        <v>834</v>
      </c>
      <c r="R108" s="45" t="s">
        <v>933</v>
      </c>
      <c r="S108" s="45" t="s">
        <v>896</v>
      </c>
      <c r="T108" s="53" t="str">
        <f t="shared" si="2"/>
        <v>Premium</v>
      </c>
      <c r="U108" s="73">
        <v>92689.596413488267</v>
      </c>
      <c r="V108" s="73"/>
      <c r="W108" s="73">
        <f t="shared" si="3"/>
        <v>92689.596413488267</v>
      </c>
    </row>
    <row r="109" spans="2:23" x14ac:dyDescent="0.35">
      <c r="B109" s="45" t="s">
        <v>680</v>
      </c>
      <c r="C109" s="45" t="s">
        <v>81</v>
      </c>
      <c r="D109" s="45" t="s">
        <v>1295</v>
      </c>
      <c r="E109" s="45" t="s">
        <v>922</v>
      </c>
      <c r="F109" s="45" t="s">
        <v>822</v>
      </c>
      <c r="G109" s="45" t="s">
        <v>838</v>
      </c>
      <c r="H109" s="45" t="s">
        <v>831</v>
      </c>
      <c r="I109" s="45" t="s">
        <v>920</v>
      </c>
      <c r="J109" s="45" t="s">
        <v>87</v>
      </c>
      <c r="K109" s="63" t="s">
        <v>684</v>
      </c>
      <c r="L109" s="63" t="s">
        <v>850</v>
      </c>
      <c r="M109" s="45" t="s">
        <v>989</v>
      </c>
      <c r="N109" s="45" t="s">
        <v>893</v>
      </c>
      <c r="O109" s="45" t="s">
        <v>104</v>
      </c>
      <c r="P109" s="63" t="s">
        <v>894</v>
      </c>
      <c r="Q109" s="45" t="s">
        <v>834</v>
      </c>
      <c r="R109" s="45" t="s">
        <v>895</v>
      </c>
      <c r="S109" s="45" t="s">
        <v>896</v>
      </c>
      <c r="T109" s="53" t="str">
        <f t="shared" si="2"/>
        <v>Premium</v>
      </c>
      <c r="U109" s="73">
        <v>81135.404393618242</v>
      </c>
      <c r="V109" s="73"/>
      <c r="W109" s="73">
        <f t="shared" si="3"/>
        <v>81135.404393618242</v>
      </c>
    </row>
    <row r="110" spans="2:23" x14ac:dyDescent="0.35">
      <c r="B110" s="45" t="s">
        <v>680</v>
      </c>
      <c r="C110" s="45" t="s">
        <v>81</v>
      </c>
      <c r="D110" s="45" t="s">
        <v>1407</v>
      </c>
      <c r="E110" s="45" t="s">
        <v>922</v>
      </c>
      <c r="F110" s="45" t="s">
        <v>822</v>
      </c>
      <c r="G110" s="45" t="s">
        <v>838</v>
      </c>
      <c r="H110" s="45" t="s">
        <v>831</v>
      </c>
      <c r="I110" s="45" t="s">
        <v>1408</v>
      </c>
      <c r="J110" s="45" t="s">
        <v>87</v>
      </c>
      <c r="K110" s="63" t="s">
        <v>684</v>
      </c>
      <c r="L110" s="63" t="s">
        <v>850</v>
      </c>
      <c r="M110" s="45" t="s">
        <v>989</v>
      </c>
      <c r="N110" s="45" t="s">
        <v>893</v>
      </c>
      <c r="O110" s="45" t="s">
        <v>104</v>
      </c>
      <c r="P110" s="63" t="s">
        <v>894</v>
      </c>
      <c r="Q110" s="45" t="s">
        <v>834</v>
      </c>
      <c r="R110" s="45" t="s">
        <v>895</v>
      </c>
      <c r="S110" s="45" t="s">
        <v>896</v>
      </c>
      <c r="T110" s="53" t="str">
        <f t="shared" si="2"/>
        <v>Premium</v>
      </c>
      <c r="U110" s="73">
        <v>81135.404393618242</v>
      </c>
      <c r="V110" s="73"/>
      <c r="W110" s="73">
        <f t="shared" si="3"/>
        <v>81135.404393618242</v>
      </c>
    </row>
    <row r="111" spans="2:23" x14ac:dyDescent="0.35">
      <c r="B111" s="45" t="s">
        <v>680</v>
      </c>
      <c r="C111" s="45" t="s">
        <v>81</v>
      </c>
      <c r="D111" s="45" t="s">
        <v>1239</v>
      </c>
      <c r="E111" s="45" t="s">
        <v>905</v>
      </c>
      <c r="F111" s="45" t="s">
        <v>822</v>
      </c>
      <c r="G111" s="45" t="s">
        <v>842</v>
      </c>
      <c r="H111" s="45" t="s">
        <v>831</v>
      </c>
      <c r="I111" s="45" t="s">
        <v>920</v>
      </c>
      <c r="J111" s="45" t="s">
        <v>87</v>
      </c>
      <c r="K111" s="63" t="s">
        <v>684</v>
      </c>
      <c r="L111" s="63" t="s">
        <v>850</v>
      </c>
      <c r="M111" s="45" t="s">
        <v>989</v>
      </c>
      <c r="N111" s="45" t="s">
        <v>893</v>
      </c>
      <c r="O111" s="45" t="s">
        <v>104</v>
      </c>
      <c r="P111" s="63" t="s">
        <v>894</v>
      </c>
      <c r="Q111" s="45" t="s">
        <v>834</v>
      </c>
      <c r="R111" s="45" t="s">
        <v>895</v>
      </c>
      <c r="S111" s="45" t="s">
        <v>896</v>
      </c>
      <c r="T111" s="53" t="str">
        <f t="shared" si="2"/>
        <v>Premium</v>
      </c>
      <c r="U111" s="73">
        <v>102710.95799563322</v>
      </c>
      <c r="V111" s="73"/>
      <c r="W111" s="73">
        <f t="shared" si="3"/>
        <v>102710.95799563322</v>
      </c>
    </row>
    <row r="112" spans="2:23" x14ac:dyDescent="0.35">
      <c r="B112" s="45" t="s">
        <v>680</v>
      </c>
      <c r="C112" s="45" t="s">
        <v>81</v>
      </c>
      <c r="D112" s="45" t="s">
        <v>1296</v>
      </c>
      <c r="E112" s="45" t="s">
        <v>905</v>
      </c>
      <c r="F112" s="45" t="s">
        <v>822</v>
      </c>
      <c r="G112" s="45" t="s">
        <v>842</v>
      </c>
      <c r="H112" s="45" t="s">
        <v>831</v>
      </c>
      <c r="I112" s="45" t="s">
        <v>920</v>
      </c>
      <c r="J112" s="45" t="s">
        <v>87</v>
      </c>
      <c r="K112" s="63" t="s">
        <v>684</v>
      </c>
      <c r="L112" s="63" t="s">
        <v>850</v>
      </c>
      <c r="M112" s="45" t="s">
        <v>989</v>
      </c>
      <c r="N112" s="45" t="s">
        <v>893</v>
      </c>
      <c r="O112" s="45" t="s">
        <v>104</v>
      </c>
      <c r="P112" s="63" t="s">
        <v>894</v>
      </c>
      <c r="Q112" s="45" t="s">
        <v>834</v>
      </c>
      <c r="R112" s="45" t="s">
        <v>895</v>
      </c>
      <c r="S112" s="45" t="s">
        <v>896</v>
      </c>
      <c r="T112" s="53" t="str">
        <f t="shared" si="2"/>
        <v>Premium</v>
      </c>
      <c r="U112" s="73">
        <v>101680.29879563322</v>
      </c>
      <c r="V112" s="73"/>
      <c r="W112" s="73">
        <f t="shared" si="3"/>
        <v>101680.29879563322</v>
      </c>
    </row>
    <row r="113" spans="2:23" x14ac:dyDescent="0.35">
      <c r="B113" s="45" t="s">
        <v>680</v>
      </c>
      <c r="C113" s="45" t="s">
        <v>81</v>
      </c>
      <c r="D113" s="45" t="s">
        <v>1174</v>
      </c>
      <c r="E113" s="45" t="s">
        <v>1170</v>
      </c>
      <c r="F113" s="45" t="s">
        <v>1291</v>
      </c>
      <c r="G113" s="45" t="s">
        <v>830</v>
      </c>
      <c r="H113" s="45" t="s">
        <v>831</v>
      </c>
      <c r="I113" s="45" t="s">
        <v>920</v>
      </c>
      <c r="J113" s="45" t="s">
        <v>1172</v>
      </c>
      <c r="K113" s="63" t="s">
        <v>1158</v>
      </c>
      <c r="L113" s="63" t="s">
        <v>891</v>
      </c>
      <c r="M113" s="45" t="s">
        <v>1175</v>
      </c>
      <c r="N113" s="45" t="s">
        <v>893</v>
      </c>
      <c r="O113" s="45" t="s">
        <v>104</v>
      </c>
      <c r="P113" s="63" t="s">
        <v>894</v>
      </c>
      <c r="Q113" s="45" t="s">
        <v>834</v>
      </c>
      <c r="R113" s="45" t="s">
        <v>895</v>
      </c>
      <c r="S113" s="45" t="s">
        <v>1176</v>
      </c>
      <c r="T113" s="53" t="str">
        <f t="shared" si="2"/>
        <v>Premium</v>
      </c>
      <c r="U113" s="73">
        <v>110494.53980700791</v>
      </c>
      <c r="V113" s="73"/>
      <c r="W113" s="73">
        <f t="shared" si="3"/>
        <v>110494.53980700791</v>
      </c>
    </row>
    <row r="114" spans="2:23" x14ac:dyDescent="0.35">
      <c r="B114" s="45" t="s">
        <v>680</v>
      </c>
      <c r="C114" s="45" t="s">
        <v>81</v>
      </c>
      <c r="D114" s="45" t="s">
        <v>1325</v>
      </c>
      <c r="E114" s="45" t="s">
        <v>1170</v>
      </c>
      <c r="F114" s="45" t="s">
        <v>1291</v>
      </c>
      <c r="G114" s="45" t="s">
        <v>830</v>
      </c>
      <c r="H114" s="45" t="s">
        <v>831</v>
      </c>
      <c r="I114" s="45" t="s">
        <v>920</v>
      </c>
      <c r="J114" s="45" t="s">
        <v>1172</v>
      </c>
      <c r="K114" s="63" t="s">
        <v>1158</v>
      </c>
      <c r="L114" s="63" t="s">
        <v>891</v>
      </c>
      <c r="M114" s="45" t="s">
        <v>1175</v>
      </c>
      <c r="N114" s="45" t="s">
        <v>893</v>
      </c>
      <c r="O114" s="45" t="s">
        <v>104</v>
      </c>
      <c r="P114" s="63" t="s">
        <v>894</v>
      </c>
      <c r="Q114" s="45" t="s">
        <v>834</v>
      </c>
      <c r="R114" s="45" t="s">
        <v>895</v>
      </c>
      <c r="S114" s="45" t="s">
        <v>1176</v>
      </c>
      <c r="T114" s="53" t="str">
        <f t="shared" si="2"/>
        <v>Premium</v>
      </c>
      <c r="U114" s="73">
        <v>110494.53980700791</v>
      </c>
      <c r="V114" s="73"/>
      <c r="W114" s="73">
        <f t="shared" si="3"/>
        <v>110494.53980700791</v>
      </c>
    </row>
    <row r="115" spans="2:23" x14ac:dyDescent="0.35">
      <c r="B115" s="45" t="s">
        <v>680</v>
      </c>
      <c r="C115" s="45" t="s">
        <v>81</v>
      </c>
      <c r="D115" s="45" t="s">
        <v>1326</v>
      </c>
      <c r="E115" s="45" t="s">
        <v>1170</v>
      </c>
      <c r="F115" s="45" t="s">
        <v>1291</v>
      </c>
      <c r="G115" s="45" t="s">
        <v>830</v>
      </c>
      <c r="H115" s="45" t="s">
        <v>831</v>
      </c>
      <c r="I115" s="45" t="s">
        <v>1306</v>
      </c>
      <c r="J115" s="45" t="s">
        <v>1172</v>
      </c>
      <c r="K115" s="63" t="s">
        <v>1158</v>
      </c>
      <c r="L115" s="63" t="s">
        <v>891</v>
      </c>
      <c r="M115" s="45" t="s">
        <v>1175</v>
      </c>
      <c r="N115" s="45" t="s">
        <v>893</v>
      </c>
      <c r="O115" s="45" t="s">
        <v>104</v>
      </c>
      <c r="P115" s="63" t="s">
        <v>894</v>
      </c>
      <c r="Q115" s="45" t="s">
        <v>834</v>
      </c>
      <c r="R115" s="45" t="s">
        <v>895</v>
      </c>
      <c r="S115" s="45" t="s">
        <v>1176</v>
      </c>
      <c r="T115" s="53" t="str">
        <f t="shared" si="2"/>
        <v>Premium</v>
      </c>
      <c r="U115" s="73">
        <v>110494.53980700791</v>
      </c>
      <c r="V115" s="73"/>
      <c r="W115" s="73">
        <f t="shared" si="3"/>
        <v>110494.53980700791</v>
      </c>
    </row>
    <row r="116" spans="2:23" x14ac:dyDescent="0.35">
      <c r="B116" s="45" t="s">
        <v>680</v>
      </c>
      <c r="C116" s="45" t="s">
        <v>81</v>
      </c>
      <c r="D116" s="45" t="s">
        <v>1261</v>
      </c>
      <c r="E116" s="45" t="s">
        <v>1262</v>
      </c>
      <c r="F116" s="45" t="s">
        <v>822</v>
      </c>
      <c r="G116" s="45" t="s">
        <v>842</v>
      </c>
      <c r="H116" s="45" t="s">
        <v>831</v>
      </c>
      <c r="I116" s="45" t="s">
        <v>1306</v>
      </c>
      <c r="J116" s="45" t="s">
        <v>87</v>
      </c>
      <c r="K116" s="63" t="s">
        <v>684</v>
      </c>
      <c r="L116" s="63" t="s">
        <v>850</v>
      </c>
      <c r="M116" s="45" t="s">
        <v>989</v>
      </c>
      <c r="N116" s="45" t="s">
        <v>893</v>
      </c>
      <c r="O116" s="45" t="s">
        <v>104</v>
      </c>
      <c r="P116" s="63" t="s">
        <v>894</v>
      </c>
      <c r="Q116" s="45" t="s">
        <v>834</v>
      </c>
      <c r="R116" s="45" t="s">
        <v>895</v>
      </c>
      <c r="S116" s="45" t="s">
        <v>896</v>
      </c>
      <c r="T116" s="53" t="str">
        <f t="shared" si="2"/>
        <v>Premium</v>
      </c>
      <c r="U116" s="73">
        <v>109521.5920805861</v>
      </c>
      <c r="V116" s="73"/>
      <c r="W116" s="73">
        <f t="shared" si="3"/>
        <v>109521.5920805861</v>
      </c>
    </row>
    <row r="117" spans="2:23" x14ac:dyDescent="0.35">
      <c r="B117" s="45" t="s">
        <v>680</v>
      </c>
      <c r="C117" s="45" t="s">
        <v>81</v>
      </c>
      <c r="D117" s="45" t="s">
        <v>1015</v>
      </c>
      <c r="E117" s="45" t="s">
        <v>1292</v>
      </c>
      <c r="F117" s="45" t="s">
        <v>1291</v>
      </c>
      <c r="G117" s="45" t="s">
        <v>830</v>
      </c>
      <c r="H117" s="45" t="s">
        <v>831</v>
      </c>
      <c r="I117" s="45" t="s">
        <v>920</v>
      </c>
      <c r="J117" s="45" t="s">
        <v>87</v>
      </c>
      <c r="K117" s="63" t="s">
        <v>1293</v>
      </c>
      <c r="L117" s="63" t="s">
        <v>908</v>
      </c>
      <c r="M117" s="45" t="s">
        <v>1294</v>
      </c>
      <c r="N117" s="45" t="s">
        <v>893</v>
      </c>
      <c r="O117" s="45" t="s">
        <v>104</v>
      </c>
      <c r="P117" s="63" t="s">
        <v>894</v>
      </c>
      <c r="Q117" s="45" t="s">
        <v>834</v>
      </c>
      <c r="R117" s="45" t="s">
        <v>895</v>
      </c>
      <c r="S117" s="45" t="s">
        <v>896</v>
      </c>
      <c r="T117" s="53" t="str">
        <f t="shared" si="2"/>
        <v>Premium</v>
      </c>
      <c r="U117" s="73">
        <v>135220.14295819416</v>
      </c>
      <c r="V117" s="73">
        <v>6999.7599999999993</v>
      </c>
      <c r="W117" s="73">
        <f t="shared" si="3"/>
        <v>128220.38295819417</v>
      </c>
    </row>
    <row r="118" spans="2:23" x14ac:dyDescent="0.35">
      <c r="B118" s="45" t="s">
        <v>1233</v>
      </c>
      <c r="C118" s="45" t="s">
        <v>81</v>
      </c>
      <c r="D118" s="45" t="s">
        <v>1177</v>
      </c>
      <c r="E118" s="45" t="s">
        <v>1178</v>
      </c>
      <c r="F118" s="45" t="s">
        <v>1291</v>
      </c>
      <c r="G118" s="45" t="s">
        <v>838</v>
      </c>
      <c r="H118" s="45" t="s">
        <v>831</v>
      </c>
      <c r="I118" s="45" t="s">
        <v>920</v>
      </c>
      <c r="J118" s="45" t="s">
        <v>1179</v>
      </c>
      <c r="K118" s="63" t="s">
        <v>1158</v>
      </c>
      <c r="L118" s="63" t="s">
        <v>938</v>
      </c>
      <c r="M118" s="45" t="s">
        <v>1037</v>
      </c>
      <c r="N118" s="45" t="s">
        <v>893</v>
      </c>
      <c r="O118" s="45" t="s">
        <v>104</v>
      </c>
      <c r="P118" s="63" t="s">
        <v>894</v>
      </c>
      <c r="Q118" s="45" t="s">
        <v>834</v>
      </c>
      <c r="R118" s="45" t="s">
        <v>933</v>
      </c>
      <c r="S118" s="45" t="s">
        <v>896</v>
      </c>
      <c r="T118" s="53" t="str">
        <f t="shared" si="2"/>
        <v>Premium</v>
      </c>
      <c r="U118" s="73">
        <v>101738.01026921136</v>
      </c>
      <c r="V118" s="73"/>
      <c r="W118" s="73">
        <f t="shared" si="3"/>
        <v>101738.01026921136</v>
      </c>
    </row>
    <row r="119" spans="2:23" x14ac:dyDescent="0.35">
      <c r="B119" s="45" t="s">
        <v>1233</v>
      </c>
      <c r="C119" s="45" t="s">
        <v>81</v>
      </c>
      <c r="D119" s="45" t="s">
        <v>1035</v>
      </c>
      <c r="E119" s="45" t="s">
        <v>1036</v>
      </c>
      <c r="F119" s="45" t="s">
        <v>1291</v>
      </c>
      <c r="G119" s="45" t="s">
        <v>830</v>
      </c>
      <c r="H119" s="45" t="s">
        <v>831</v>
      </c>
      <c r="I119" s="45" t="s">
        <v>920</v>
      </c>
      <c r="J119" s="45" t="s">
        <v>1157</v>
      </c>
      <c r="K119" s="63" t="s">
        <v>1158</v>
      </c>
      <c r="L119" s="63" t="s">
        <v>938</v>
      </c>
      <c r="M119" s="45" t="s">
        <v>1037</v>
      </c>
      <c r="N119" s="45" t="s">
        <v>893</v>
      </c>
      <c r="O119" s="45" t="s">
        <v>104</v>
      </c>
      <c r="P119" s="63" t="s">
        <v>894</v>
      </c>
      <c r="Q119" s="45" t="s">
        <v>834</v>
      </c>
      <c r="R119" s="45" t="s">
        <v>933</v>
      </c>
      <c r="S119" s="45" t="s">
        <v>896</v>
      </c>
      <c r="T119" s="53" t="str">
        <f t="shared" si="2"/>
        <v>Premium</v>
      </c>
      <c r="U119" s="73">
        <v>111467.48753342977</v>
      </c>
      <c r="V119" s="73"/>
      <c r="W119" s="73">
        <f t="shared" si="3"/>
        <v>111467.48753342977</v>
      </c>
    </row>
    <row r="120" spans="2:23" x14ac:dyDescent="0.35">
      <c r="B120" s="45" t="s">
        <v>1233</v>
      </c>
      <c r="C120" s="45" t="s">
        <v>81</v>
      </c>
      <c r="D120" s="45" t="s">
        <v>1008</v>
      </c>
      <c r="E120" s="45" t="s">
        <v>1234</v>
      </c>
      <c r="F120" s="45" t="s">
        <v>1291</v>
      </c>
      <c r="G120" s="45" t="s">
        <v>830</v>
      </c>
      <c r="H120" s="45" t="s">
        <v>831</v>
      </c>
      <c r="I120" s="45" t="s">
        <v>920</v>
      </c>
      <c r="J120" s="45" t="s">
        <v>87</v>
      </c>
      <c r="K120" s="63" t="s">
        <v>1010</v>
      </c>
      <c r="L120" s="63" t="s">
        <v>938</v>
      </c>
      <c r="M120" s="45" t="s">
        <v>1011</v>
      </c>
      <c r="N120" s="45" t="s">
        <v>893</v>
      </c>
      <c r="O120" s="45" t="s">
        <v>104</v>
      </c>
      <c r="P120" s="63" t="s">
        <v>894</v>
      </c>
      <c r="Q120" s="45" t="s">
        <v>834</v>
      </c>
      <c r="R120" s="45" t="s">
        <v>933</v>
      </c>
      <c r="S120" s="45" t="s">
        <v>896</v>
      </c>
      <c r="T120" s="53" t="str">
        <f t="shared" si="2"/>
        <v>Premium</v>
      </c>
      <c r="U120" s="73">
        <v>143574.76250535049</v>
      </c>
      <c r="V120" s="73"/>
      <c r="W120" s="73">
        <f t="shared" si="3"/>
        <v>143574.76250535049</v>
      </c>
    </row>
    <row r="121" spans="2:23" x14ac:dyDescent="0.35">
      <c r="B121" s="45" t="s">
        <v>1233</v>
      </c>
      <c r="C121" s="45" t="s">
        <v>81</v>
      </c>
      <c r="D121" s="45" t="s">
        <v>1307</v>
      </c>
      <c r="E121" s="45" t="s">
        <v>1234</v>
      </c>
      <c r="F121" s="45" t="s">
        <v>1291</v>
      </c>
      <c r="G121" s="45" t="s">
        <v>830</v>
      </c>
      <c r="H121" s="45" t="s">
        <v>831</v>
      </c>
      <c r="I121" s="45" t="s">
        <v>920</v>
      </c>
      <c r="J121" s="45" t="s">
        <v>87</v>
      </c>
      <c r="K121" s="63" t="s">
        <v>1010</v>
      </c>
      <c r="L121" s="63" t="s">
        <v>938</v>
      </c>
      <c r="M121" s="45" t="s">
        <v>1011</v>
      </c>
      <c r="N121" s="45" t="s">
        <v>893</v>
      </c>
      <c r="O121" s="45" t="s">
        <v>104</v>
      </c>
      <c r="P121" s="63" t="s">
        <v>894</v>
      </c>
      <c r="Q121" s="45" t="s">
        <v>834</v>
      </c>
      <c r="R121" s="45" t="s">
        <v>933</v>
      </c>
      <c r="S121" s="45" t="s">
        <v>896</v>
      </c>
      <c r="T121" s="53" t="str">
        <f t="shared" si="2"/>
        <v>Premium</v>
      </c>
      <c r="U121" s="73">
        <v>143574.76250535049</v>
      </c>
      <c r="V121" s="73"/>
      <c r="W121" s="73">
        <f t="shared" si="3"/>
        <v>143574.76250535049</v>
      </c>
    </row>
    <row r="122" spans="2:23" x14ac:dyDescent="0.35">
      <c r="B122" s="45" t="s">
        <v>1233</v>
      </c>
      <c r="C122" s="45" t="s">
        <v>81</v>
      </c>
      <c r="D122" s="45" t="s">
        <v>1038</v>
      </c>
      <c r="E122" s="45" t="s">
        <v>1234</v>
      </c>
      <c r="F122" s="45" t="s">
        <v>1291</v>
      </c>
      <c r="G122" s="45" t="s">
        <v>830</v>
      </c>
      <c r="H122" s="45" t="s">
        <v>831</v>
      </c>
      <c r="I122" s="45" t="s">
        <v>920</v>
      </c>
      <c r="J122" s="45" t="s">
        <v>1159</v>
      </c>
      <c r="K122" s="63" t="s">
        <v>1158</v>
      </c>
      <c r="L122" s="63" t="s">
        <v>938</v>
      </c>
      <c r="M122" s="45" t="s">
        <v>1037</v>
      </c>
      <c r="N122" s="45" t="s">
        <v>893</v>
      </c>
      <c r="O122" s="45" t="s">
        <v>104</v>
      </c>
      <c r="P122" s="63" t="s">
        <v>894</v>
      </c>
      <c r="Q122" s="45" t="s">
        <v>834</v>
      </c>
      <c r="R122" s="45" t="s">
        <v>933</v>
      </c>
      <c r="S122" s="45" t="s">
        <v>896</v>
      </c>
      <c r="T122" s="53" t="str">
        <f t="shared" si="2"/>
        <v>Premium</v>
      </c>
      <c r="U122" s="73">
        <v>128124.59770535049</v>
      </c>
      <c r="V122" s="73"/>
      <c r="W122" s="73">
        <f t="shared" si="3"/>
        <v>128124.59770535049</v>
      </c>
    </row>
    <row r="123" spans="2:23" x14ac:dyDescent="0.35">
      <c r="B123" s="45" t="s">
        <v>1263</v>
      </c>
      <c r="C123" s="45" t="s">
        <v>81</v>
      </c>
      <c r="D123" s="45" t="s">
        <v>1264</v>
      </c>
      <c r="E123" s="45" t="s">
        <v>1265</v>
      </c>
      <c r="F123" s="45" t="s">
        <v>1291</v>
      </c>
      <c r="G123" s="45" t="s">
        <v>842</v>
      </c>
      <c r="H123" s="45" t="s">
        <v>831</v>
      </c>
      <c r="I123" s="45" t="s">
        <v>1017</v>
      </c>
      <c r="J123" s="45" t="s">
        <v>1266</v>
      </c>
      <c r="K123" s="63" t="s">
        <v>1267</v>
      </c>
      <c r="L123" s="63" t="s">
        <v>891</v>
      </c>
      <c r="M123" s="45" t="s">
        <v>1268</v>
      </c>
      <c r="N123" s="45" t="s">
        <v>893</v>
      </c>
      <c r="O123" s="45" t="s">
        <v>104</v>
      </c>
      <c r="P123" s="63" t="s">
        <v>894</v>
      </c>
      <c r="Q123" s="45" t="s">
        <v>834</v>
      </c>
      <c r="R123" s="45" t="s">
        <v>895</v>
      </c>
      <c r="S123" s="45" t="s">
        <v>1269</v>
      </c>
      <c r="T123" s="53" t="str">
        <f t="shared" si="2"/>
        <v>Premium</v>
      </c>
      <c r="U123" s="73">
        <v>192222.14882644248</v>
      </c>
      <c r="V123" s="73"/>
      <c r="W123" s="73">
        <f t="shared" si="3"/>
        <v>192222.14882644248</v>
      </c>
    </row>
  </sheetData>
  <autoFilter ref="B4:W123" xr:uid="{A439EC7C-337F-4557-9B67-7EEB9E0187A1}"/>
  <conditionalFormatting sqref="D3:D4">
    <cfRule type="duplicateValues" dxfId="271" priority="238"/>
  </conditionalFormatting>
  <conditionalFormatting sqref="D19:D21">
    <cfRule type="duplicateValues" dxfId="270" priority="21"/>
    <cfRule type="duplicateValues" dxfId="269" priority="22"/>
    <cfRule type="duplicateValues" dxfId="268" priority="23"/>
    <cfRule type="duplicateValues" dxfId="267" priority="24"/>
    <cfRule type="duplicateValues" dxfId="266" priority="25"/>
    <cfRule type="duplicateValues" dxfId="265" priority="26"/>
    <cfRule type="duplicateValues" dxfId="264" priority="27"/>
    <cfRule type="duplicateValues" dxfId="263" priority="28"/>
    <cfRule type="duplicateValues" dxfId="262" priority="29"/>
    <cfRule type="duplicateValues" dxfId="261" priority="30"/>
    <cfRule type="duplicateValues" dxfId="260" priority="31"/>
  </conditionalFormatting>
  <conditionalFormatting sqref="D22">
    <cfRule type="duplicateValues" dxfId="259" priority="7"/>
    <cfRule type="duplicateValues" dxfId="258" priority="8"/>
    <cfRule type="duplicateValues" dxfId="257" priority="13"/>
    <cfRule type="duplicateValues" dxfId="256" priority="14"/>
  </conditionalFormatting>
  <conditionalFormatting sqref="D23">
    <cfRule type="duplicateValues" dxfId="255" priority="6"/>
  </conditionalFormatting>
  <conditionalFormatting sqref="D25">
    <cfRule type="duplicateValues" dxfId="254" priority="11"/>
  </conditionalFormatting>
  <conditionalFormatting sqref="D31:D32">
    <cfRule type="duplicateValues" dxfId="253" priority="2"/>
  </conditionalFormatting>
  <conditionalFormatting sqref="D74">
    <cfRule type="duplicateValues" dxfId="252" priority="5"/>
  </conditionalFormatting>
  <conditionalFormatting sqref="D77 D22">
    <cfRule type="duplicateValues" dxfId="251" priority="12"/>
  </conditionalFormatting>
  <conditionalFormatting sqref="D77">
    <cfRule type="duplicateValues" dxfId="250" priority="9"/>
  </conditionalFormatting>
  <conditionalFormatting sqref="D80">
    <cfRule type="duplicateValues" dxfId="249" priority="10"/>
  </conditionalFormatting>
  <conditionalFormatting sqref="D87:D88">
    <cfRule type="duplicateValues" dxfId="248" priority="32"/>
    <cfRule type="duplicateValues" dxfId="247" priority="33"/>
  </conditionalFormatting>
  <conditionalFormatting sqref="D89:D90 D24 D51 D11:D13 D29:D30 D78:D79 D81:D84 D69:D70 D33:D35">
    <cfRule type="duplicateValues" dxfId="246" priority="34"/>
  </conditionalFormatting>
  <conditionalFormatting sqref="D93">
    <cfRule type="duplicateValues" dxfId="245" priority="3"/>
    <cfRule type="duplicateValues" dxfId="244" priority="4"/>
  </conditionalFormatting>
  <conditionalFormatting sqref="D109:D112 D114:D115 D122:D123">
    <cfRule type="duplicateValues" dxfId="243" priority="20"/>
    <cfRule type="duplicateValues" dxfId="242" priority="15"/>
    <cfRule type="duplicateValues" dxfId="241" priority="16"/>
    <cfRule type="duplicateValues" dxfId="240" priority="17"/>
    <cfRule type="duplicateValues" dxfId="239" priority="19"/>
    <cfRule type="duplicateValues" dxfId="238" priority="18"/>
  </conditionalFormatting>
  <conditionalFormatting sqref="D113 D94:D108 D26:D30 D33:D92 D5:D24">
    <cfRule type="duplicateValues" dxfId="237" priority="35"/>
  </conditionalFormatting>
  <conditionalFormatting sqref="D116:D121">
    <cfRule type="duplicateValues" dxfId="236" priority="1"/>
  </conditionalFormatting>
  <conditionalFormatting sqref="D124:D1048576 D1:D2">
    <cfRule type="duplicateValues" dxfId="235" priority="180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0541-40D6-4076-9186-0350C86AF3F0}">
  <sheetPr>
    <tabColor theme="7" tint="-0.249977111117893"/>
  </sheetPr>
  <dimension ref="A4:W63"/>
  <sheetViews>
    <sheetView showGridLines="0" zoomScale="90" zoomScaleNormal="90" workbookViewId="0">
      <pane xSplit="5" ySplit="5" topLeftCell="F57" activePane="bottomRight" state="frozen"/>
      <selection pane="topRight" activeCell="F1" sqref="F1"/>
      <selection pane="bottomLeft" activeCell="A6" sqref="A6"/>
      <selection pane="bottomRight" activeCell="B6" sqref="B6:B63"/>
    </sheetView>
  </sheetViews>
  <sheetFormatPr defaultColWidth="9.26953125" defaultRowHeight="14.5" x14ac:dyDescent="0.35"/>
  <cols>
    <col min="1" max="1" width="4.453125" customWidth="1"/>
    <col min="2" max="2" width="21.54296875" style="17" customWidth="1"/>
    <col min="3" max="3" width="10.7265625" style="17" bestFit="1" customWidth="1"/>
    <col min="4" max="4" width="13" style="17" customWidth="1"/>
    <col min="5" max="6" width="15.54296875" style="17" customWidth="1"/>
    <col min="7" max="7" width="14.453125" style="17" customWidth="1"/>
    <col min="8" max="8" width="21.54296875" style="17" customWidth="1"/>
    <col min="9" max="9" width="15.453125" style="17" bestFit="1" customWidth="1"/>
    <col min="10" max="10" width="36.1796875" style="17" customWidth="1"/>
    <col min="11" max="11" width="37.26953125" style="17" customWidth="1"/>
    <col min="12" max="12" width="16.54296875" style="17" customWidth="1"/>
    <col min="13" max="13" width="7.54296875" style="17" customWidth="1"/>
    <col min="14" max="14" width="11" style="17" customWidth="1"/>
    <col min="15" max="15" width="11.54296875" style="17" customWidth="1"/>
    <col min="16" max="16" width="28.54296875" style="17" customWidth="1"/>
    <col min="17" max="17" width="15.81640625" style="17" customWidth="1"/>
    <col min="18" max="18" width="17.26953125" style="17" bestFit="1" customWidth="1"/>
    <col min="19" max="19" width="13.26953125" style="17" customWidth="1"/>
    <col min="20" max="20" width="9.7265625" style="17" customWidth="1"/>
    <col min="21" max="16384" width="9.26953125" style="17"/>
  </cols>
  <sheetData>
    <row r="4" spans="1:23" ht="18.649999999999999" customHeight="1" x14ac:dyDescent="0.3">
      <c r="A4" s="17"/>
      <c r="B4" s="59" t="s">
        <v>1349</v>
      </c>
      <c r="C4" s="49"/>
      <c r="D4" s="49"/>
      <c r="E4" s="49"/>
      <c r="F4" s="49"/>
      <c r="G4" s="49"/>
      <c r="H4" s="49"/>
      <c r="I4" s="49"/>
      <c r="J4" s="49"/>
      <c r="K4" s="64"/>
      <c r="L4" s="49"/>
      <c r="M4" s="49"/>
      <c r="N4" s="49"/>
      <c r="O4" s="49"/>
      <c r="P4" s="49"/>
      <c r="Q4" s="49"/>
      <c r="R4" s="49"/>
      <c r="S4" s="49"/>
      <c r="T4" s="49"/>
    </row>
    <row r="5" spans="1:23" ht="39" x14ac:dyDescent="0.3">
      <c r="A5" s="17"/>
      <c r="B5" s="44" t="s">
        <v>814</v>
      </c>
      <c r="C5" s="44" t="s">
        <v>4</v>
      </c>
      <c r="D5" s="44" t="s">
        <v>0</v>
      </c>
      <c r="E5" s="44" t="s">
        <v>6</v>
      </c>
      <c r="F5" s="44" t="s">
        <v>822</v>
      </c>
      <c r="G5" s="44" t="s">
        <v>816</v>
      </c>
      <c r="H5" s="44" t="s">
        <v>817</v>
      </c>
      <c r="I5" s="44" t="s">
        <v>11</v>
      </c>
      <c r="J5" s="44" t="s">
        <v>12</v>
      </c>
      <c r="K5" s="65" t="s">
        <v>13</v>
      </c>
      <c r="L5" s="44" t="s">
        <v>818</v>
      </c>
      <c r="M5" s="44" t="s">
        <v>823</v>
      </c>
      <c r="N5" s="44" t="s">
        <v>819</v>
      </c>
      <c r="O5" s="44" t="s">
        <v>14</v>
      </c>
      <c r="P5" s="44" t="s">
        <v>820</v>
      </c>
      <c r="Q5" s="44" t="s">
        <v>815</v>
      </c>
      <c r="R5" s="44" t="s">
        <v>825</v>
      </c>
      <c r="S5" s="44" t="s">
        <v>826</v>
      </c>
      <c r="T5" s="44" t="s">
        <v>821</v>
      </c>
      <c r="U5" s="50" t="s">
        <v>827</v>
      </c>
      <c r="V5" s="51" t="s">
        <v>828</v>
      </c>
      <c r="W5" s="50" t="s">
        <v>829</v>
      </c>
    </row>
    <row r="6" spans="1:23" x14ac:dyDescent="0.35">
      <c r="B6" s="1" t="s">
        <v>910</v>
      </c>
      <c r="C6" s="1" t="s">
        <v>220</v>
      </c>
      <c r="D6" s="45" t="s">
        <v>1097</v>
      </c>
      <c r="E6" s="1" t="s">
        <v>1098</v>
      </c>
      <c r="F6" s="1"/>
      <c r="G6" s="1" t="s">
        <v>863</v>
      </c>
      <c r="H6" s="1" t="s">
        <v>100</v>
      </c>
      <c r="I6" s="43" t="s">
        <v>57</v>
      </c>
      <c r="J6" s="43" t="s">
        <v>675</v>
      </c>
      <c r="K6" s="16" t="s">
        <v>1099</v>
      </c>
      <c r="L6" s="1" t="s">
        <v>848</v>
      </c>
      <c r="M6" s="1" t="s">
        <v>1100</v>
      </c>
      <c r="N6" s="1" t="s">
        <v>836</v>
      </c>
      <c r="O6" s="1" t="s">
        <v>104</v>
      </c>
      <c r="P6" s="1" t="s">
        <v>894</v>
      </c>
      <c r="Q6" s="1" t="s">
        <v>834</v>
      </c>
      <c r="R6" s="1" t="s">
        <v>933</v>
      </c>
      <c r="S6" s="1" t="s">
        <v>896</v>
      </c>
      <c r="T6" s="1" t="s">
        <v>46</v>
      </c>
      <c r="U6" s="72">
        <v>81580.018231315335</v>
      </c>
      <c r="V6" s="72"/>
      <c r="W6" s="72">
        <f>U6-V6</f>
        <v>81580.018231315335</v>
      </c>
    </row>
    <row r="7" spans="1:23" x14ac:dyDescent="0.35">
      <c r="B7" s="1" t="s">
        <v>971</v>
      </c>
      <c r="C7" s="1" t="s">
        <v>81</v>
      </c>
      <c r="D7" s="45" t="s">
        <v>1109</v>
      </c>
      <c r="E7" s="1" t="s">
        <v>411</v>
      </c>
      <c r="F7" s="1"/>
      <c r="G7" s="43" t="s">
        <v>849</v>
      </c>
      <c r="H7" s="1" t="s">
        <v>831</v>
      </c>
      <c r="I7" s="1" t="s">
        <v>920</v>
      </c>
      <c r="J7" s="43" t="s">
        <v>1101</v>
      </c>
      <c r="K7" s="16" t="s">
        <v>1110</v>
      </c>
      <c r="L7" s="1" t="s">
        <v>973</v>
      </c>
      <c r="M7" s="1" t="s">
        <v>1111</v>
      </c>
      <c r="N7" s="1" t="s">
        <v>836</v>
      </c>
      <c r="O7" s="1" t="s">
        <v>104</v>
      </c>
      <c r="P7" s="1" t="s">
        <v>894</v>
      </c>
      <c r="Q7" s="1" t="s">
        <v>834</v>
      </c>
      <c r="R7" s="1" t="s">
        <v>933</v>
      </c>
      <c r="S7" s="1" t="s">
        <v>896</v>
      </c>
      <c r="T7" s="1" t="s">
        <v>79</v>
      </c>
      <c r="U7" s="72">
        <v>64991.902938067833</v>
      </c>
      <c r="V7" s="72"/>
      <c r="W7" s="72">
        <f t="shared" ref="W7:W63" si="0">U7-V7</f>
        <v>64991.902938067833</v>
      </c>
    </row>
    <row r="8" spans="1:23" x14ac:dyDescent="0.35">
      <c r="B8" s="1" t="s">
        <v>971</v>
      </c>
      <c r="C8" s="43" t="s">
        <v>81</v>
      </c>
      <c r="D8" s="45" t="s">
        <v>433</v>
      </c>
      <c r="E8" s="43" t="s">
        <v>99</v>
      </c>
      <c r="F8" s="43"/>
      <c r="G8" s="43" t="s">
        <v>847</v>
      </c>
      <c r="H8" s="43" t="s">
        <v>831</v>
      </c>
      <c r="I8" s="43" t="s">
        <v>101</v>
      </c>
      <c r="J8" s="43" t="s">
        <v>1101</v>
      </c>
      <c r="K8" s="67" t="s">
        <v>1105</v>
      </c>
      <c r="L8" s="43" t="s">
        <v>973</v>
      </c>
      <c r="M8" s="43" t="s">
        <v>994</v>
      </c>
      <c r="N8" s="43" t="s">
        <v>836</v>
      </c>
      <c r="O8" s="43" t="s">
        <v>104</v>
      </c>
      <c r="P8" s="1" t="s">
        <v>894</v>
      </c>
      <c r="Q8" s="1" t="s">
        <v>834</v>
      </c>
      <c r="R8" s="43" t="s">
        <v>933</v>
      </c>
      <c r="S8" s="43" t="s">
        <v>836</v>
      </c>
      <c r="T8" s="43" t="s">
        <v>79</v>
      </c>
      <c r="U8" s="72">
        <v>62870.818984707199</v>
      </c>
      <c r="V8" s="72">
        <v>4526.4799999999996</v>
      </c>
      <c r="W8" s="72">
        <f t="shared" si="0"/>
        <v>58344.338984707196</v>
      </c>
    </row>
    <row r="9" spans="1:23" x14ac:dyDescent="0.35">
      <c r="B9" s="1" t="s">
        <v>971</v>
      </c>
      <c r="C9" s="45" t="s">
        <v>81</v>
      </c>
      <c r="D9" s="45" t="s">
        <v>1113</v>
      </c>
      <c r="E9" s="45" t="s">
        <v>437</v>
      </c>
      <c r="F9" s="45"/>
      <c r="G9" s="68" t="s">
        <v>847</v>
      </c>
      <c r="H9" s="45" t="s">
        <v>831</v>
      </c>
      <c r="I9" s="45" t="s">
        <v>920</v>
      </c>
      <c r="J9" s="45" t="s">
        <v>87</v>
      </c>
      <c r="K9" s="69" t="s">
        <v>1114</v>
      </c>
      <c r="L9" s="1" t="s">
        <v>850</v>
      </c>
      <c r="M9" s="45" t="s">
        <v>1115</v>
      </c>
      <c r="N9" s="1" t="s">
        <v>836</v>
      </c>
      <c r="O9" s="45" t="s">
        <v>104</v>
      </c>
      <c r="P9" s="45" t="s">
        <v>894</v>
      </c>
      <c r="Q9" s="45" t="s">
        <v>834</v>
      </c>
      <c r="R9" s="45" t="s">
        <v>933</v>
      </c>
      <c r="S9" s="45" t="s">
        <v>896</v>
      </c>
      <c r="T9" s="45" t="s">
        <v>79</v>
      </c>
      <c r="U9" s="72">
        <v>70196.082594789055</v>
      </c>
      <c r="V9" s="72">
        <v>4999.66</v>
      </c>
      <c r="W9" s="72">
        <f t="shared" si="0"/>
        <v>65196.422594789052</v>
      </c>
    </row>
    <row r="10" spans="1:23" x14ac:dyDescent="0.35">
      <c r="B10" s="43" t="s">
        <v>97</v>
      </c>
      <c r="C10" s="45" t="s">
        <v>48</v>
      </c>
      <c r="D10" s="45" t="s">
        <v>1091</v>
      </c>
      <c r="E10" s="1" t="s">
        <v>667</v>
      </c>
      <c r="F10" s="43"/>
      <c r="G10" s="43" t="s">
        <v>872</v>
      </c>
      <c r="H10" s="1" t="s">
        <v>100</v>
      </c>
      <c r="I10" s="24" t="s">
        <v>866</v>
      </c>
      <c r="J10" s="1" t="s">
        <v>156</v>
      </c>
      <c r="K10" s="16" t="s">
        <v>659</v>
      </c>
      <c r="L10" s="1" t="s">
        <v>850</v>
      </c>
      <c r="M10" s="1" t="s">
        <v>1092</v>
      </c>
      <c r="N10" s="1" t="s">
        <v>844</v>
      </c>
      <c r="O10" s="1" t="s">
        <v>104</v>
      </c>
      <c r="P10" s="43"/>
      <c r="Q10" s="45" t="s">
        <v>834</v>
      </c>
      <c r="R10" s="1" t="s">
        <v>841</v>
      </c>
      <c r="S10" s="1"/>
      <c r="T10" s="1" t="s">
        <v>46</v>
      </c>
      <c r="U10" s="72">
        <v>106658.9556994829</v>
      </c>
      <c r="V10" s="72">
        <v>10999.96</v>
      </c>
      <c r="W10" s="72">
        <f t="shared" si="0"/>
        <v>95658.995699482912</v>
      </c>
    </row>
    <row r="11" spans="1:23" x14ac:dyDescent="0.35">
      <c r="B11" s="43" t="s">
        <v>97</v>
      </c>
      <c r="C11" s="45" t="s">
        <v>48</v>
      </c>
      <c r="D11" s="45" t="s">
        <v>1083</v>
      </c>
      <c r="E11" s="1" t="s">
        <v>1095</v>
      </c>
      <c r="F11" s="43"/>
      <c r="G11" s="43" t="s">
        <v>872</v>
      </c>
      <c r="H11" s="1" t="s">
        <v>100</v>
      </c>
      <c r="I11" s="24" t="s">
        <v>866</v>
      </c>
      <c r="J11" s="1" t="s">
        <v>156</v>
      </c>
      <c r="K11" s="16" t="s">
        <v>659</v>
      </c>
      <c r="L11" s="1" t="s">
        <v>850</v>
      </c>
      <c r="M11" s="1" t="s">
        <v>1092</v>
      </c>
      <c r="N11" s="1" t="s">
        <v>1304</v>
      </c>
      <c r="O11" s="1" t="s">
        <v>104</v>
      </c>
      <c r="P11" s="43"/>
      <c r="Q11" s="45" t="s">
        <v>834</v>
      </c>
      <c r="R11" s="1" t="s">
        <v>845</v>
      </c>
      <c r="S11" s="1"/>
      <c r="T11" s="1" t="s">
        <v>46</v>
      </c>
      <c r="U11" s="72">
        <v>90522.14769159579</v>
      </c>
      <c r="V11" s="72"/>
      <c r="W11" s="72">
        <f t="shared" si="0"/>
        <v>90522.14769159579</v>
      </c>
    </row>
    <row r="12" spans="1:23" x14ac:dyDescent="0.35">
      <c r="B12" s="43" t="s">
        <v>97</v>
      </c>
      <c r="C12" s="45" t="s">
        <v>48</v>
      </c>
      <c r="D12" s="45" t="s">
        <v>1096</v>
      </c>
      <c r="E12" s="1" t="s">
        <v>665</v>
      </c>
      <c r="F12" s="43"/>
      <c r="G12" s="43" t="s">
        <v>872</v>
      </c>
      <c r="H12" s="1" t="s">
        <v>100</v>
      </c>
      <c r="I12" s="24" t="s">
        <v>866</v>
      </c>
      <c r="J12" s="1" t="s">
        <v>182</v>
      </c>
      <c r="K12" s="16" t="s">
        <v>659</v>
      </c>
      <c r="L12" s="1" t="s">
        <v>850</v>
      </c>
      <c r="M12" s="1" t="s">
        <v>1092</v>
      </c>
      <c r="N12" s="1" t="s">
        <v>844</v>
      </c>
      <c r="O12" s="1" t="s">
        <v>104</v>
      </c>
      <c r="P12" s="43"/>
      <c r="Q12" s="45" t="s">
        <v>834</v>
      </c>
      <c r="R12" s="1" t="s">
        <v>841</v>
      </c>
      <c r="S12" s="1"/>
      <c r="T12" s="1" t="s">
        <v>46</v>
      </c>
      <c r="U12" s="72">
        <v>87333.074380032529</v>
      </c>
      <c r="V12" s="72"/>
      <c r="W12" s="72">
        <f t="shared" si="0"/>
        <v>87333.074380032529</v>
      </c>
    </row>
    <row r="13" spans="1:23" x14ac:dyDescent="0.35">
      <c r="B13" s="43" t="s">
        <v>97</v>
      </c>
      <c r="C13" s="45" t="s">
        <v>48</v>
      </c>
      <c r="D13" s="45" t="s">
        <v>1102</v>
      </c>
      <c r="E13" s="1" t="s">
        <v>1095</v>
      </c>
      <c r="F13" s="43"/>
      <c r="G13" s="43" t="s">
        <v>872</v>
      </c>
      <c r="H13" s="1" t="s">
        <v>100</v>
      </c>
      <c r="I13" s="24" t="s">
        <v>866</v>
      </c>
      <c r="J13" s="1" t="s">
        <v>182</v>
      </c>
      <c r="K13" s="16" t="s">
        <v>659</v>
      </c>
      <c r="L13" s="1" t="s">
        <v>850</v>
      </c>
      <c r="M13" s="1" t="s">
        <v>1092</v>
      </c>
      <c r="N13" s="1" t="s">
        <v>1304</v>
      </c>
      <c r="O13" s="1" t="s">
        <v>104</v>
      </c>
      <c r="P13" s="43"/>
      <c r="Q13" s="45" t="s">
        <v>834</v>
      </c>
      <c r="R13" s="1" t="s">
        <v>845</v>
      </c>
      <c r="S13" s="1"/>
      <c r="T13" s="1" t="s">
        <v>46</v>
      </c>
      <c r="U13" s="72">
        <v>82907.945000494918</v>
      </c>
      <c r="V13" s="72"/>
      <c r="W13" s="72">
        <f t="shared" si="0"/>
        <v>82907.945000494918</v>
      </c>
    </row>
    <row r="14" spans="1:23" x14ac:dyDescent="0.35">
      <c r="B14" s="43" t="s">
        <v>97</v>
      </c>
      <c r="C14" s="45" t="s">
        <v>48</v>
      </c>
      <c r="D14" s="45" t="s">
        <v>1103</v>
      </c>
      <c r="E14" s="1" t="s">
        <v>665</v>
      </c>
      <c r="F14" s="43"/>
      <c r="G14" s="43" t="s">
        <v>872</v>
      </c>
      <c r="H14" s="1" t="s">
        <v>100</v>
      </c>
      <c r="I14" s="24" t="s">
        <v>866</v>
      </c>
      <c r="J14" s="1" t="s">
        <v>359</v>
      </c>
      <c r="K14" s="16" t="s">
        <v>659</v>
      </c>
      <c r="L14" s="1" t="s">
        <v>850</v>
      </c>
      <c r="M14" s="1" t="s">
        <v>1092</v>
      </c>
      <c r="N14" s="1" t="s">
        <v>1304</v>
      </c>
      <c r="O14" s="1" t="s">
        <v>104</v>
      </c>
      <c r="P14" s="43"/>
      <c r="Q14" s="45" t="s">
        <v>834</v>
      </c>
      <c r="R14" s="1" t="s">
        <v>841</v>
      </c>
      <c r="S14" s="1"/>
      <c r="T14" s="1" t="s">
        <v>46</v>
      </c>
      <c r="U14" s="72">
        <v>81770.566772058068</v>
      </c>
      <c r="V14" s="72"/>
      <c r="W14" s="72">
        <f t="shared" si="0"/>
        <v>81770.566772058068</v>
      </c>
    </row>
    <row r="15" spans="1:23" x14ac:dyDescent="0.35">
      <c r="B15" s="43" t="s">
        <v>97</v>
      </c>
      <c r="C15" s="45" t="s">
        <v>48</v>
      </c>
      <c r="D15" s="45" t="s">
        <v>1081</v>
      </c>
      <c r="E15" s="1" t="s">
        <v>656</v>
      </c>
      <c r="F15" s="43"/>
      <c r="G15" s="43" t="s">
        <v>872</v>
      </c>
      <c r="H15" s="1" t="s">
        <v>100</v>
      </c>
      <c r="I15" s="24" t="s">
        <v>866</v>
      </c>
      <c r="J15" s="1" t="s">
        <v>359</v>
      </c>
      <c r="K15" s="16" t="s">
        <v>659</v>
      </c>
      <c r="L15" s="1" t="s">
        <v>850</v>
      </c>
      <c r="M15" s="1" t="s">
        <v>1092</v>
      </c>
      <c r="N15" s="1" t="s">
        <v>836</v>
      </c>
      <c r="O15" s="1" t="s">
        <v>104</v>
      </c>
      <c r="P15" s="43"/>
      <c r="Q15" s="45" t="s">
        <v>834</v>
      </c>
      <c r="R15" s="1" t="s">
        <v>845</v>
      </c>
      <c r="S15" s="1"/>
      <c r="T15" s="1" t="s">
        <v>46</v>
      </c>
      <c r="U15" s="72">
        <v>73975.887568193109</v>
      </c>
      <c r="V15" s="72">
        <v>2999.56</v>
      </c>
      <c r="W15" s="72">
        <f t="shared" si="0"/>
        <v>70976.327568193112</v>
      </c>
    </row>
    <row r="16" spans="1:23" x14ac:dyDescent="0.35">
      <c r="B16" s="43" t="s">
        <v>97</v>
      </c>
      <c r="C16" s="45" t="s">
        <v>48</v>
      </c>
      <c r="D16" s="45" t="s">
        <v>1084</v>
      </c>
      <c r="E16" s="1" t="s">
        <v>656</v>
      </c>
      <c r="F16" s="43"/>
      <c r="G16" s="43" t="s">
        <v>863</v>
      </c>
      <c r="H16" s="1" t="s">
        <v>100</v>
      </c>
      <c r="I16" s="24" t="s">
        <v>866</v>
      </c>
      <c r="J16" s="1" t="s">
        <v>359</v>
      </c>
      <c r="K16" s="16" t="s">
        <v>659</v>
      </c>
      <c r="L16" s="1" t="s">
        <v>850</v>
      </c>
      <c r="M16" s="1" t="s">
        <v>1092</v>
      </c>
      <c r="N16" s="1" t="s">
        <v>1304</v>
      </c>
      <c r="O16" s="1" t="s">
        <v>104</v>
      </c>
      <c r="P16" s="43"/>
      <c r="Q16" s="45" t="s">
        <v>834</v>
      </c>
      <c r="R16" s="1" t="s">
        <v>845</v>
      </c>
      <c r="S16" s="1"/>
      <c r="T16" s="1" t="s">
        <v>46</v>
      </c>
      <c r="U16" s="72">
        <v>74594.651624380364</v>
      </c>
      <c r="V16" s="72"/>
      <c r="W16" s="72">
        <f t="shared" si="0"/>
        <v>74594.651624380364</v>
      </c>
    </row>
    <row r="17" spans="2:23" x14ac:dyDescent="0.35">
      <c r="B17" s="43" t="s">
        <v>97</v>
      </c>
      <c r="C17" s="1" t="s">
        <v>48</v>
      </c>
      <c r="D17" s="45" t="s">
        <v>799</v>
      </c>
      <c r="E17" s="1" t="s">
        <v>656</v>
      </c>
      <c r="F17" s="1"/>
      <c r="G17" s="43" t="s">
        <v>849</v>
      </c>
      <c r="H17" s="1" t="s">
        <v>100</v>
      </c>
      <c r="I17" s="1" t="s">
        <v>139</v>
      </c>
      <c r="J17" s="43" t="s">
        <v>359</v>
      </c>
      <c r="K17" s="16" t="s">
        <v>659</v>
      </c>
      <c r="L17" s="1" t="s">
        <v>850</v>
      </c>
      <c r="M17" s="1" t="s">
        <v>1092</v>
      </c>
      <c r="N17" s="1" t="s">
        <v>836</v>
      </c>
      <c r="O17" s="1" t="s">
        <v>104</v>
      </c>
      <c r="P17" s="1"/>
      <c r="Q17" s="1" t="s">
        <v>834</v>
      </c>
      <c r="R17" s="1" t="s">
        <v>845</v>
      </c>
      <c r="S17" s="43"/>
      <c r="T17" s="1" t="s">
        <v>79</v>
      </c>
      <c r="U17" s="72">
        <v>69452.410908918318</v>
      </c>
      <c r="V17" s="72">
        <v>2999.56</v>
      </c>
      <c r="W17" s="72">
        <f t="shared" si="0"/>
        <v>66452.850908918321</v>
      </c>
    </row>
    <row r="18" spans="2:23" x14ac:dyDescent="0.35">
      <c r="B18" s="43" t="s">
        <v>97</v>
      </c>
      <c r="C18" s="43" t="s">
        <v>48</v>
      </c>
      <c r="D18" s="45" t="s">
        <v>1087</v>
      </c>
      <c r="E18" s="43" t="s">
        <v>1106</v>
      </c>
      <c r="F18" s="43"/>
      <c r="G18" s="43" t="s">
        <v>872</v>
      </c>
      <c r="H18" s="1" t="s">
        <v>831</v>
      </c>
      <c r="I18" s="43" t="s">
        <v>866</v>
      </c>
      <c r="J18" s="43" t="s">
        <v>359</v>
      </c>
      <c r="K18" s="67" t="s">
        <v>659</v>
      </c>
      <c r="L18" s="1" t="s">
        <v>850</v>
      </c>
      <c r="M18" s="43" t="s">
        <v>1092</v>
      </c>
      <c r="N18" s="1" t="s">
        <v>1304</v>
      </c>
      <c r="O18" s="43" t="s">
        <v>104</v>
      </c>
      <c r="P18" s="43" t="s">
        <v>836</v>
      </c>
      <c r="Q18" s="1" t="s">
        <v>834</v>
      </c>
      <c r="R18" s="43" t="s">
        <v>845</v>
      </c>
      <c r="S18" s="43" t="s">
        <v>836</v>
      </c>
      <c r="T18" s="43" t="s">
        <v>46</v>
      </c>
      <c r="U18" s="72">
        <v>72109.384280244529</v>
      </c>
      <c r="V18" s="72"/>
      <c r="W18" s="72">
        <f t="shared" si="0"/>
        <v>72109.384280244529</v>
      </c>
    </row>
    <row r="19" spans="2:23" x14ac:dyDescent="0.35">
      <c r="B19" s="43" t="s">
        <v>97</v>
      </c>
      <c r="C19" s="43" t="s">
        <v>48</v>
      </c>
      <c r="D19" s="45" t="s">
        <v>1076</v>
      </c>
      <c r="E19" s="43" t="s">
        <v>656</v>
      </c>
      <c r="F19" s="43"/>
      <c r="G19" s="43" t="s">
        <v>872</v>
      </c>
      <c r="H19" s="1" t="s">
        <v>831</v>
      </c>
      <c r="I19" s="43" t="s">
        <v>139</v>
      </c>
      <c r="J19" s="43" t="s">
        <v>102</v>
      </c>
      <c r="K19" s="67" t="s">
        <v>659</v>
      </c>
      <c r="L19" s="1" t="s">
        <v>850</v>
      </c>
      <c r="M19" s="43" t="s">
        <v>1092</v>
      </c>
      <c r="N19" s="1" t="s">
        <v>844</v>
      </c>
      <c r="O19" s="43" t="s">
        <v>104</v>
      </c>
      <c r="P19" s="43" t="s">
        <v>836</v>
      </c>
      <c r="Q19" s="1" t="s">
        <v>834</v>
      </c>
      <c r="R19" s="43" t="s">
        <v>845</v>
      </c>
      <c r="S19" s="43" t="s">
        <v>836</v>
      </c>
      <c r="T19" s="43" t="s">
        <v>79</v>
      </c>
      <c r="U19" s="72">
        <v>63174.940737890043</v>
      </c>
      <c r="V19" s="72">
        <v>500.32</v>
      </c>
      <c r="W19" s="72">
        <f t="shared" si="0"/>
        <v>62674.620737890044</v>
      </c>
    </row>
    <row r="20" spans="2:23" x14ac:dyDescent="0.35">
      <c r="B20" s="43" t="s">
        <v>97</v>
      </c>
      <c r="C20" s="45" t="s">
        <v>48</v>
      </c>
      <c r="D20" s="45" t="s">
        <v>1079</v>
      </c>
      <c r="E20" s="1" t="s">
        <v>656</v>
      </c>
      <c r="F20" s="43"/>
      <c r="G20" s="1" t="s">
        <v>1108</v>
      </c>
      <c r="H20" s="1" t="s">
        <v>100</v>
      </c>
      <c r="I20" s="24" t="s">
        <v>866</v>
      </c>
      <c r="J20" s="1" t="s">
        <v>102</v>
      </c>
      <c r="K20" s="16" t="s">
        <v>659</v>
      </c>
      <c r="L20" s="1" t="s">
        <v>850</v>
      </c>
      <c r="M20" s="1" t="s">
        <v>1092</v>
      </c>
      <c r="N20" s="1" t="s">
        <v>844</v>
      </c>
      <c r="O20" s="1" t="s">
        <v>104</v>
      </c>
      <c r="P20" s="43"/>
      <c r="Q20" s="45" t="s">
        <v>834</v>
      </c>
      <c r="R20" s="1" t="s">
        <v>845</v>
      </c>
      <c r="S20" s="1"/>
      <c r="T20" s="1" t="s">
        <v>79</v>
      </c>
      <c r="U20" s="72">
        <v>62898.763690858512</v>
      </c>
      <c r="V20" s="72">
        <v>699.74</v>
      </c>
      <c r="W20" s="72">
        <f t="shared" si="0"/>
        <v>62199.023690858514</v>
      </c>
    </row>
    <row r="21" spans="2:23" x14ac:dyDescent="0.35">
      <c r="B21" s="43" t="s">
        <v>97</v>
      </c>
      <c r="C21" s="43" t="s">
        <v>48</v>
      </c>
      <c r="D21" s="45" t="s">
        <v>1063</v>
      </c>
      <c r="E21" s="43" t="s">
        <v>656</v>
      </c>
      <c r="F21" s="43"/>
      <c r="G21" s="43" t="s">
        <v>1108</v>
      </c>
      <c r="H21" s="1" t="s">
        <v>100</v>
      </c>
      <c r="I21" s="43" t="s">
        <v>139</v>
      </c>
      <c r="J21" s="43" t="s">
        <v>102</v>
      </c>
      <c r="K21" s="67" t="s">
        <v>659</v>
      </c>
      <c r="L21" s="1" t="s">
        <v>850</v>
      </c>
      <c r="M21" s="43" t="s">
        <v>1094</v>
      </c>
      <c r="N21" s="1" t="s">
        <v>844</v>
      </c>
      <c r="O21" s="43" t="s">
        <v>743</v>
      </c>
      <c r="P21" s="43" t="s">
        <v>836</v>
      </c>
      <c r="Q21" s="1" t="s">
        <v>834</v>
      </c>
      <c r="R21" s="43" t="s">
        <v>845</v>
      </c>
      <c r="S21" s="43"/>
      <c r="T21" s="43" t="s">
        <v>79</v>
      </c>
      <c r="U21" s="72">
        <v>60521.117678933289</v>
      </c>
      <c r="V21" s="72">
        <v>726.88</v>
      </c>
      <c r="W21" s="72">
        <f t="shared" si="0"/>
        <v>59794.237678933292</v>
      </c>
    </row>
    <row r="22" spans="2:23" x14ac:dyDescent="0.35">
      <c r="B22" s="43" t="s">
        <v>97</v>
      </c>
      <c r="C22" s="43" t="s">
        <v>48</v>
      </c>
      <c r="D22" s="45" t="s">
        <v>1089</v>
      </c>
      <c r="E22" s="43" t="s">
        <v>1106</v>
      </c>
      <c r="F22" s="43"/>
      <c r="G22" s="43" t="s">
        <v>1107</v>
      </c>
      <c r="H22" s="1" t="s">
        <v>831</v>
      </c>
      <c r="I22" s="43" t="s">
        <v>866</v>
      </c>
      <c r="J22" s="43" t="s">
        <v>359</v>
      </c>
      <c r="K22" s="67" t="s">
        <v>659</v>
      </c>
      <c r="L22" s="1" t="s">
        <v>850</v>
      </c>
      <c r="M22" s="43" t="s">
        <v>1092</v>
      </c>
      <c r="N22" s="1" t="s">
        <v>1304</v>
      </c>
      <c r="O22" s="43" t="s">
        <v>104</v>
      </c>
      <c r="P22" s="43" t="s">
        <v>836</v>
      </c>
      <c r="Q22" s="1" t="s">
        <v>834</v>
      </c>
      <c r="R22" s="43" t="s">
        <v>845</v>
      </c>
      <c r="S22" s="43" t="s">
        <v>836</v>
      </c>
      <c r="T22" s="43" t="s">
        <v>79</v>
      </c>
      <c r="U22" s="72">
        <v>69221.66909886591</v>
      </c>
      <c r="V22" s="72"/>
      <c r="W22" s="72">
        <f t="shared" si="0"/>
        <v>69221.66909886591</v>
      </c>
    </row>
    <row r="23" spans="2:23" x14ac:dyDescent="0.35">
      <c r="B23" s="43" t="s">
        <v>97</v>
      </c>
      <c r="C23" s="43" t="s">
        <v>48</v>
      </c>
      <c r="D23" s="1" t="s">
        <v>1274</v>
      </c>
      <c r="E23" s="43" t="s">
        <v>665</v>
      </c>
      <c r="F23" s="43"/>
      <c r="G23" s="43" t="s">
        <v>872</v>
      </c>
      <c r="H23" s="1" t="s">
        <v>100</v>
      </c>
      <c r="I23" s="43" t="s">
        <v>866</v>
      </c>
      <c r="J23" s="43" t="s">
        <v>1275</v>
      </c>
      <c r="K23" s="67" t="s">
        <v>659</v>
      </c>
      <c r="L23" s="1" t="s">
        <v>850</v>
      </c>
      <c r="M23" s="43" t="s">
        <v>1092</v>
      </c>
      <c r="N23" s="1" t="s">
        <v>1304</v>
      </c>
      <c r="O23" s="43" t="s">
        <v>743</v>
      </c>
      <c r="P23" s="43"/>
      <c r="Q23" s="1" t="s">
        <v>834</v>
      </c>
      <c r="R23" s="43" t="s">
        <v>845</v>
      </c>
      <c r="S23" s="43"/>
      <c r="T23" s="1" t="s">
        <v>46</v>
      </c>
      <c r="U23" s="72">
        <v>75038.485695364725</v>
      </c>
      <c r="V23" s="72"/>
      <c r="W23" s="72">
        <f t="shared" si="0"/>
        <v>75038.485695364725</v>
      </c>
    </row>
    <row r="24" spans="2:23" x14ac:dyDescent="0.35">
      <c r="B24" s="43" t="s">
        <v>97</v>
      </c>
      <c r="C24" s="43" t="s">
        <v>48</v>
      </c>
      <c r="D24" s="1" t="s">
        <v>1200</v>
      </c>
      <c r="E24" s="43" t="s">
        <v>1106</v>
      </c>
      <c r="F24" s="43"/>
      <c r="G24" s="43" t="s">
        <v>872</v>
      </c>
      <c r="H24" s="1" t="s">
        <v>100</v>
      </c>
      <c r="I24" s="43" t="s">
        <v>866</v>
      </c>
      <c r="J24" s="43" t="s">
        <v>1275</v>
      </c>
      <c r="K24" s="67" t="s">
        <v>659</v>
      </c>
      <c r="L24" s="1" t="s">
        <v>850</v>
      </c>
      <c r="M24" s="43" t="s">
        <v>1092</v>
      </c>
      <c r="N24" s="1" t="s">
        <v>1304</v>
      </c>
      <c r="O24" s="43" t="s">
        <v>743</v>
      </c>
      <c r="P24" s="43"/>
      <c r="Q24" s="1" t="s">
        <v>834</v>
      </c>
      <c r="R24" s="43" t="s">
        <v>845</v>
      </c>
      <c r="S24" s="43"/>
      <c r="T24" s="1" t="s">
        <v>79</v>
      </c>
      <c r="U24" s="72">
        <v>69086.7095531183</v>
      </c>
      <c r="V24" s="72">
        <v>2000.1</v>
      </c>
      <c r="W24" s="72">
        <f t="shared" si="0"/>
        <v>67086.609553118295</v>
      </c>
    </row>
    <row r="25" spans="2:23" x14ac:dyDescent="0.35">
      <c r="B25" s="43" t="s">
        <v>97</v>
      </c>
      <c r="C25" s="43" t="s">
        <v>48</v>
      </c>
      <c r="D25" s="1" t="s">
        <v>1276</v>
      </c>
      <c r="E25" s="43" t="s">
        <v>1095</v>
      </c>
      <c r="F25" s="43"/>
      <c r="G25" s="43" t="s">
        <v>872</v>
      </c>
      <c r="H25" s="1" t="s">
        <v>100</v>
      </c>
      <c r="I25" s="43" t="s">
        <v>866</v>
      </c>
      <c r="J25" s="43" t="s">
        <v>1275</v>
      </c>
      <c r="K25" s="67" t="s">
        <v>659</v>
      </c>
      <c r="L25" s="1" t="s">
        <v>850</v>
      </c>
      <c r="M25" s="43" t="s">
        <v>1092</v>
      </c>
      <c r="N25" s="1" t="s">
        <v>1304</v>
      </c>
      <c r="O25" s="43" t="s">
        <v>743</v>
      </c>
      <c r="P25" s="43"/>
      <c r="Q25" s="1" t="s">
        <v>834</v>
      </c>
      <c r="R25" s="43" t="s">
        <v>845</v>
      </c>
      <c r="S25" s="43"/>
      <c r="T25" s="1" t="s">
        <v>79</v>
      </c>
      <c r="U25" s="72">
        <v>69636.128020728051</v>
      </c>
      <c r="V25" s="72"/>
      <c r="W25" s="72">
        <f t="shared" si="0"/>
        <v>69636.128020728051</v>
      </c>
    </row>
    <row r="26" spans="2:23" x14ac:dyDescent="0.35">
      <c r="B26" s="43" t="s">
        <v>97</v>
      </c>
      <c r="C26" s="43" t="s">
        <v>48</v>
      </c>
      <c r="D26" s="1" t="s">
        <v>1201</v>
      </c>
      <c r="E26" s="43" t="s">
        <v>1106</v>
      </c>
      <c r="F26" s="43"/>
      <c r="G26" s="43" t="s">
        <v>1108</v>
      </c>
      <c r="H26" s="1" t="s">
        <v>100</v>
      </c>
      <c r="I26" s="43" t="s">
        <v>866</v>
      </c>
      <c r="J26" s="43" t="s">
        <v>1275</v>
      </c>
      <c r="K26" s="67" t="s">
        <v>659</v>
      </c>
      <c r="L26" s="1" t="s">
        <v>850</v>
      </c>
      <c r="M26" s="43" t="s">
        <v>1092</v>
      </c>
      <c r="N26" s="1" t="s">
        <v>1304</v>
      </c>
      <c r="O26" s="43" t="s">
        <v>743</v>
      </c>
      <c r="P26" s="43"/>
      <c r="Q26" s="1" t="s">
        <v>834</v>
      </c>
      <c r="R26" s="43" t="s">
        <v>845</v>
      </c>
      <c r="S26" s="43"/>
      <c r="T26" s="1" t="s">
        <v>79</v>
      </c>
      <c r="U26" s="72">
        <v>63311.279190361114</v>
      </c>
      <c r="V26" s="72">
        <v>2000.1</v>
      </c>
      <c r="W26" s="72">
        <f t="shared" si="0"/>
        <v>61311.179190361116</v>
      </c>
    </row>
    <row r="27" spans="2:23" x14ac:dyDescent="0.35">
      <c r="B27" s="43" t="s">
        <v>97</v>
      </c>
      <c r="C27" s="43" t="s">
        <v>48</v>
      </c>
      <c r="D27" s="1" t="s">
        <v>1204</v>
      </c>
      <c r="E27" s="43" t="s">
        <v>667</v>
      </c>
      <c r="F27" s="43"/>
      <c r="G27" s="43" t="s">
        <v>863</v>
      </c>
      <c r="H27" s="1" t="s">
        <v>100</v>
      </c>
      <c r="I27" s="43" t="s">
        <v>1240</v>
      </c>
      <c r="J27" s="43" t="s">
        <v>359</v>
      </c>
      <c r="K27" s="67" t="s">
        <v>659</v>
      </c>
      <c r="L27" s="1" t="s">
        <v>850</v>
      </c>
      <c r="M27" s="43" t="s">
        <v>1092</v>
      </c>
      <c r="N27" s="43" t="s">
        <v>836</v>
      </c>
      <c r="O27" s="43" t="s">
        <v>104</v>
      </c>
      <c r="P27" s="43"/>
      <c r="Q27" s="1" t="s">
        <v>834</v>
      </c>
      <c r="R27" s="43" t="s">
        <v>841</v>
      </c>
      <c r="S27" s="43"/>
      <c r="T27" s="1" t="s">
        <v>46</v>
      </c>
      <c r="U27" s="72">
        <v>88193.379958729813</v>
      </c>
      <c r="V27" s="72"/>
      <c r="W27" s="72">
        <f t="shared" si="0"/>
        <v>88193.379958729813</v>
      </c>
    </row>
    <row r="28" spans="2:23" x14ac:dyDescent="0.35">
      <c r="B28" s="43" t="s">
        <v>97</v>
      </c>
      <c r="C28" s="43" t="s">
        <v>48</v>
      </c>
      <c r="D28" s="43" t="s">
        <v>1216</v>
      </c>
      <c r="E28" s="43" t="s">
        <v>665</v>
      </c>
      <c r="F28" s="70"/>
      <c r="G28" s="43" t="s">
        <v>872</v>
      </c>
      <c r="H28" s="1" t="s">
        <v>100</v>
      </c>
      <c r="I28" s="43" t="s">
        <v>1240</v>
      </c>
      <c r="J28" s="43" t="s">
        <v>359</v>
      </c>
      <c r="K28" s="67" t="s">
        <v>659</v>
      </c>
      <c r="L28" s="1" t="s">
        <v>850</v>
      </c>
      <c r="M28" s="43" t="s">
        <v>1092</v>
      </c>
      <c r="N28" s="1" t="s">
        <v>1304</v>
      </c>
      <c r="O28" s="43" t="s">
        <v>104</v>
      </c>
      <c r="P28" s="43"/>
      <c r="Q28" s="1" t="s">
        <v>834</v>
      </c>
      <c r="R28" s="43" t="s">
        <v>841</v>
      </c>
      <c r="S28" s="43"/>
      <c r="T28" s="1" t="s">
        <v>46</v>
      </c>
      <c r="U28" s="72">
        <v>82347.512714263779</v>
      </c>
      <c r="V28" s="72">
        <v>985.3</v>
      </c>
      <c r="W28" s="72">
        <f t="shared" si="0"/>
        <v>81362.212714263776</v>
      </c>
    </row>
    <row r="29" spans="2:23" x14ac:dyDescent="0.35">
      <c r="B29" s="43" t="s">
        <v>97</v>
      </c>
      <c r="C29" s="43" t="s">
        <v>48</v>
      </c>
      <c r="D29" s="43" t="s">
        <v>1217</v>
      </c>
      <c r="E29" s="43" t="s">
        <v>667</v>
      </c>
      <c r="F29" s="70"/>
      <c r="G29" s="43" t="s">
        <v>863</v>
      </c>
      <c r="H29" s="1" t="s">
        <v>100</v>
      </c>
      <c r="I29" s="43" t="s">
        <v>1240</v>
      </c>
      <c r="J29" s="43" t="s">
        <v>359</v>
      </c>
      <c r="K29" s="67" t="s">
        <v>659</v>
      </c>
      <c r="L29" s="1" t="s">
        <v>850</v>
      </c>
      <c r="M29" s="43" t="s">
        <v>1092</v>
      </c>
      <c r="N29" s="43" t="s">
        <v>836</v>
      </c>
      <c r="O29" s="43" t="s">
        <v>104</v>
      </c>
      <c r="P29" s="43"/>
      <c r="Q29" s="1" t="s">
        <v>834</v>
      </c>
      <c r="R29" s="43" t="s">
        <v>841</v>
      </c>
      <c r="S29" s="43"/>
      <c r="T29" s="1" t="s">
        <v>46</v>
      </c>
      <c r="U29" s="72">
        <v>92167.167127864435</v>
      </c>
      <c r="V29" s="72">
        <v>1121</v>
      </c>
      <c r="W29" s="72">
        <f t="shared" si="0"/>
        <v>91046.167127864435</v>
      </c>
    </row>
    <row r="30" spans="2:23" x14ac:dyDescent="0.35">
      <c r="B30" s="43" t="s">
        <v>97</v>
      </c>
      <c r="C30" s="43" t="s">
        <v>48</v>
      </c>
      <c r="D30" s="43" t="s">
        <v>1202</v>
      </c>
      <c r="E30" s="43" t="s">
        <v>665</v>
      </c>
      <c r="F30" s="70"/>
      <c r="G30" s="43" t="s">
        <v>872</v>
      </c>
      <c r="H30" s="1" t="s">
        <v>100</v>
      </c>
      <c r="I30" s="43" t="s">
        <v>1240</v>
      </c>
      <c r="J30" s="43" t="s">
        <v>1275</v>
      </c>
      <c r="K30" s="67" t="s">
        <v>659</v>
      </c>
      <c r="L30" s="1" t="s">
        <v>850</v>
      </c>
      <c r="M30" s="43" t="s">
        <v>1092</v>
      </c>
      <c r="N30" s="1" t="s">
        <v>1304</v>
      </c>
      <c r="O30" s="43" t="s">
        <v>104</v>
      </c>
      <c r="P30" s="43"/>
      <c r="Q30" s="1" t="s">
        <v>834</v>
      </c>
      <c r="R30" s="43" t="s">
        <v>845</v>
      </c>
      <c r="S30" s="43"/>
      <c r="T30" s="1" t="s">
        <v>46</v>
      </c>
      <c r="U30" s="72">
        <v>77199.303970127934</v>
      </c>
      <c r="V30" s="72">
        <v>398.84</v>
      </c>
      <c r="W30" s="72">
        <f t="shared" si="0"/>
        <v>76800.463970127938</v>
      </c>
    </row>
    <row r="31" spans="2:23" x14ac:dyDescent="0.35">
      <c r="B31" s="43" t="s">
        <v>97</v>
      </c>
      <c r="C31" s="43" t="s">
        <v>48</v>
      </c>
      <c r="D31" s="43" t="s">
        <v>1218</v>
      </c>
      <c r="E31" s="43" t="s">
        <v>667</v>
      </c>
      <c r="F31" s="70"/>
      <c r="G31" s="43" t="s">
        <v>872</v>
      </c>
      <c r="H31" s="1" t="s">
        <v>100</v>
      </c>
      <c r="I31" s="43" t="s">
        <v>1240</v>
      </c>
      <c r="J31" s="43" t="s">
        <v>156</v>
      </c>
      <c r="K31" s="67" t="s">
        <v>659</v>
      </c>
      <c r="L31" s="1" t="s">
        <v>850</v>
      </c>
      <c r="M31" s="43" t="s">
        <v>1092</v>
      </c>
      <c r="N31" s="1" t="s">
        <v>1304</v>
      </c>
      <c r="O31" s="43" t="s">
        <v>104</v>
      </c>
      <c r="P31" s="43"/>
      <c r="Q31" s="1" t="s">
        <v>834</v>
      </c>
      <c r="R31" s="43" t="s">
        <v>841</v>
      </c>
      <c r="S31" s="43"/>
      <c r="T31" s="1" t="s">
        <v>46</v>
      </c>
      <c r="U31" s="72">
        <v>109261.98157460339</v>
      </c>
      <c r="V31" s="72">
        <v>7585.04</v>
      </c>
      <c r="W31" s="72">
        <f t="shared" si="0"/>
        <v>101676.94157460339</v>
      </c>
    </row>
    <row r="32" spans="2:23" x14ac:dyDescent="0.35">
      <c r="B32" s="43" t="s">
        <v>97</v>
      </c>
      <c r="C32" s="43" t="s">
        <v>48</v>
      </c>
      <c r="D32" s="43" t="s">
        <v>1277</v>
      </c>
      <c r="E32" s="43" t="s">
        <v>665</v>
      </c>
      <c r="F32" s="70"/>
      <c r="G32" s="43" t="s">
        <v>863</v>
      </c>
      <c r="H32" s="1" t="s">
        <v>100</v>
      </c>
      <c r="I32" s="43" t="s">
        <v>1240</v>
      </c>
      <c r="J32" s="43" t="s">
        <v>182</v>
      </c>
      <c r="K32" s="67" t="s">
        <v>659</v>
      </c>
      <c r="L32" s="1" t="s">
        <v>850</v>
      </c>
      <c r="M32" s="43" t="s">
        <v>1092</v>
      </c>
      <c r="N32" s="43" t="s">
        <v>836</v>
      </c>
      <c r="O32" s="43" t="s">
        <v>104</v>
      </c>
      <c r="P32" s="43"/>
      <c r="Q32" s="1" t="s">
        <v>834</v>
      </c>
      <c r="R32" s="43" t="s">
        <v>841</v>
      </c>
      <c r="S32" s="43"/>
      <c r="T32" s="1" t="s">
        <v>46</v>
      </c>
      <c r="U32" s="72">
        <v>83413.369717834707</v>
      </c>
      <c r="V32" s="72"/>
      <c r="W32" s="72">
        <f t="shared" si="0"/>
        <v>83413.369717834707</v>
      </c>
    </row>
    <row r="33" spans="2:23" x14ac:dyDescent="0.35">
      <c r="B33" s="1" t="s">
        <v>97</v>
      </c>
      <c r="C33" s="1" t="s">
        <v>48</v>
      </c>
      <c r="D33" s="45" t="s">
        <v>1203</v>
      </c>
      <c r="E33" s="43" t="s">
        <v>656</v>
      </c>
      <c r="F33" s="43"/>
      <c r="G33" s="1" t="s">
        <v>863</v>
      </c>
      <c r="H33" s="66" t="s">
        <v>100</v>
      </c>
      <c r="I33" s="66" t="s">
        <v>866</v>
      </c>
      <c r="J33" s="43" t="s">
        <v>359</v>
      </c>
      <c r="K33" s="67" t="s">
        <v>659</v>
      </c>
      <c r="L33" s="43" t="s">
        <v>850</v>
      </c>
      <c r="M33" s="43" t="s">
        <v>1092</v>
      </c>
      <c r="N33" s="43" t="s">
        <v>836</v>
      </c>
      <c r="O33" s="66" t="s">
        <v>104</v>
      </c>
      <c r="P33" s="1"/>
      <c r="Q33" s="1" t="s">
        <v>834</v>
      </c>
      <c r="R33" s="43" t="s">
        <v>845</v>
      </c>
      <c r="S33" s="1"/>
      <c r="T33" s="66" t="s">
        <v>46</v>
      </c>
      <c r="U33" s="72">
        <v>73647.731009329873</v>
      </c>
      <c r="V33" s="72"/>
      <c r="W33" s="72">
        <f t="shared" si="0"/>
        <v>73647.731009329873</v>
      </c>
    </row>
    <row r="34" spans="2:23" x14ac:dyDescent="0.35">
      <c r="B34" s="1" t="s">
        <v>97</v>
      </c>
      <c r="C34" s="1" t="s">
        <v>48</v>
      </c>
      <c r="D34" s="45" t="s">
        <v>1283</v>
      </c>
      <c r="E34" s="43" t="s">
        <v>665</v>
      </c>
      <c r="F34" s="43"/>
      <c r="G34" s="1" t="s">
        <v>872</v>
      </c>
      <c r="H34" s="66" t="s">
        <v>100</v>
      </c>
      <c r="I34" s="66" t="s">
        <v>866</v>
      </c>
      <c r="J34" s="43" t="s">
        <v>182</v>
      </c>
      <c r="K34" s="67" t="s">
        <v>659</v>
      </c>
      <c r="L34" s="43" t="s">
        <v>850</v>
      </c>
      <c r="M34" s="43" t="s">
        <v>1092</v>
      </c>
      <c r="N34" s="1" t="s">
        <v>1304</v>
      </c>
      <c r="O34" s="66" t="s">
        <v>104</v>
      </c>
      <c r="P34" s="1"/>
      <c r="Q34" s="1" t="s">
        <v>834</v>
      </c>
      <c r="R34" s="43" t="s">
        <v>841</v>
      </c>
      <c r="S34" s="1"/>
      <c r="T34" s="66" t="s">
        <v>46</v>
      </c>
      <c r="U34" s="72">
        <v>87540.921980652347</v>
      </c>
      <c r="V34" s="72"/>
      <c r="W34" s="72">
        <f t="shared" si="0"/>
        <v>87540.921980652347</v>
      </c>
    </row>
    <row r="35" spans="2:23" x14ac:dyDescent="0.35">
      <c r="B35" s="1" t="s">
        <v>97</v>
      </c>
      <c r="C35" s="1" t="s">
        <v>48</v>
      </c>
      <c r="D35" s="45" t="s">
        <v>1285</v>
      </c>
      <c r="E35" s="43" t="s">
        <v>665</v>
      </c>
      <c r="F35" s="43"/>
      <c r="G35" s="1" t="s">
        <v>863</v>
      </c>
      <c r="H35" s="66" t="s">
        <v>100</v>
      </c>
      <c r="I35" s="66" t="s">
        <v>866</v>
      </c>
      <c r="J35" s="43" t="s">
        <v>182</v>
      </c>
      <c r="K35" s="67" t="s">
        <v>659</v>
      </c>
      <c r="L35" s="43" t="s">
        <v>850</v>
      </c>
      <c r="M35" s="43" t="s">
        <v>1092</v>
      </c>
      <c r="N35" s="1" t="s">
        <v>1304</v>
      </c>
      <c r="O35" s="66" t="s">
        <v>104</v>
      </c>
      <c r="P35" s="1"/>
      <c r="Q35" s="1" t="s">
        <v>834</v>
      </c>
      <c r="R35" s="43" t="s">
        <v>841</v>
      </c>
      <c r="S35" s="1"/>
      <c r="T35" s="66" t="s">
        <v>46</v>
      </c>
      <c r="U35" s="72">
        <v>88273.702822768653</v>
      </c>
      <c r="V35" s="72"/>
      <c r="W35" s="72">
        <f t="shared" si="0"/>
        <v>88273.702822768653</v>
      </c>
    </row>
    <row r="36" spans="2:23" x14ac:dyDescent="0.35">
      <c r="B36" s="43" t="s">
        <v>1278</v>
      </c>
      <c r="C36" s="43" t="s">
        <v>48</v>
      </c>
      <c r="D36" s="1" t="s">
        <v>1185</v>
      </c>
      <c r="E36" s="43" t="s">
        <v>656</v>
      </c>
      <c r="F36" s="43"/>
      <c r="G36" s="43" t="s">
        <v>1108</v>
      </c>
      <c r="H36" s="1" t="s">
        <v>100</v>
      </c>
      <c r="I36" s="43" t="s">
        <v>139</v>
      </c>
      <c r="J36" s="43" t="s">
        <v>102</v>
      </c>
      <c r="K36" s="67" t="s">
        <v>659</v>
      </c>
      <c r="L36" s="1" t="s">
        <v>850</v>
      </c>
      <c r="M36" s="43" t="s">
        <v>1279</v>
      </c>
      <c r="N36" s="1" t="s">
        <v>844</v>
      </c>
      <c r="O36" s="43" t="s">
        <v>743</v>
      </c>
      <c r="P36" s="43" t="s">
        <v>836</v>
      </c>
      <c r="Q36" s="1" t="s">
        <v>834</v>
      </c>
      <c r="R36" s="43" t="s">
        <v>845</v>
      </c>
      <c r="S36" s="43"/>
      <c r="T36" s="1" t="s">
        <v>79</v>
      </c>
      <c r="U36" s="72">
        <v>57882.575771038275</v>
      </c>
      <c r="V36" s="72"/>
      <c r="W36" s="72">
        <f t="shared" si="0"/>
        <v>57882.575771038275</v>
      </c>
    </row>
    <row r="37" spans="2:23" x14ac:dyDescent="0.35">
      <c r="B37" s="43" t="s">
        <v>1278</v>
      </c>
      <c r="C37" s="43" t="s">
        <v>48</v>
      </c>
      <c r="D37" s="1" t="s">
        <v>1186</v>
      </c>
      <c r="E37" s="43" t="s">
        <v>656</v>
      </c>
      <c r="F37" s="43"/>
      <c r="G37" s="43" t="s">
        <v>1108</v>
      </c>
      <c r="H37" s="1" t="s">
        <v>100</v>
      </c>
      <c r="I37" s="43" t="s">
        <v>866</v>
      </c>
      <c r="J37" s="43" t="s">
        <v>102</v>
      </c>
      <c r="K37" s="67" t="s">
        <v>659</v>
      </c>
      <c r="L37" s="1" t="s">
        <v>850</v>
      </c>
      <c r="M37" s="43" t="s">
        <v>1279</v>
      </c>
      <c r="N37" s="1" t="s">
        <v>844</v>
      </c>
      <c r="O37" s="43" t="s">
        <v>743</v>
      </c>
      <c r="P37" s="43" t="s">
        <v>836</v>
      </c>
      <c r="Q37" s="1" t="s">
        <v>834</v>
      </c>
      <c r="R37" s="43" t="s">
        <v>845</v>
      </c>
      <c r="S37" s="43"/>
      <c r="T37" s="1" t="s">
        <v>79</v>
      </c>
      <c r="U37" s="72">
        <v>59807.162798181285</v>
      </c>
      <c r="V37" s="72"/>
      <c r="W37" s="72">
        <f t="shared" si="0"/>
        <v>59807.162798181285</v>
      </c>
    </row>
    <row r="38" spans="2:23" x14ac:dyDescent="0.35">
      <c r="B38" s="43" t="s">
        <v>1278</v>
      </c>
      <c r="C38" s="43" t="s">
        <v>48</v>
      </c>
      <c r="D38" s="1" t="s">
        <v>1187</v>
      </c>
      <c r="E38" s="43" t="s">
        <v>656</v>
      </c>
      <c r="F38" s="43"/>
      <c r="G38" s="43" t="s">
        <v>863</v>
      </c>
      <c r="H38" s="1" t="s">
        <v>100</v>
      </c>
      <c r="I38" s="43" t="s">
        <v>866</v>
      </c>
      <c r="J38" s="43" t="s">
        <v>359</v>
      </c>
      <c r="K38" s="67" t="s">
        <v>659</v>
      </c>
      <c r="L38" s="1" t="s">
        <v>850</v>
      </c>
      <c r="M38" s="43" t="s">
        <v>1279</v>
      </c>
      <c r="N38" s="1" t="s">
        <v>844</v>
      </c>
      <c r="O38" s="43" t="s">
        <v>743</v>
      </c>
      <c r="P38" s="43" t="s">
        <v>836</v>
      </c>
      <c r="Q38" s="1" t="s">
        <v>834</v>
      </c>
      <c r="R38" s="43" t="s">
        <v>845</v>
      </c>
      <c r="S38" s="43"/>
      <c r="T38" s="1" t="s">
        <v>79</v>
      </c>
      <c r="U38" s="72">
        <v>68539.405131076317</v>
      </c>
      <c r="V38" s="72">
        <v>1000.64</v>
      </c>
      <c r="W38" s="72">
        <f t="shared" si="0"/>
        <v>67538.765131076318</v>
      </c>
    </row>
    <row r="39" spans="2:23" x14ac:dyDescent="0.35">
      <c r="B39" s="43" t="s">
        <v>1278</v>
      </c>
      <c r="C39" s="43" t="s">
        <v>48</v>
      </c>
      <c r="D39" s="1" t="s">
        <v>1189</v>
      </c>
      <c r="E39" s="43" t="s">
        <v>656</v>
      </c>
      <c r="F39" s="43"/>
      <c r="G39" s="43" t="s">
        <v>1280</v>
      </c>
      <c r="H39" s="1" t="s">
        <v>100</v>
      </c>
      <c r="I39" s="43" t="s">
        <v>866</v>
      </c>
      <c r="J39" s="43" t="s">
        <v>102</v>
      </c>
      <c r="K39" s="67" t="s">
        <v>659</v>
      </c>
      <c r="L39" s="1" t="s">
        <v>850</v>
      </c>
      <c r="M39" s="43" t="s">
        <v>1279</v>
      </c>
      <c r="N39" s="1" t="s">
        <v>836</v>
      </c>
      <c r="O39" s="43" t="s">
        <v>743</v>
      </c>
      <c r="P39" s="43" t="s">
        <v>836</v>
      </c>
      <c r="Q39" s="1" t="s">
        <v>834</v>
      </c>
      <c r="R39" s="43" t="s">
        <v>845</v>
      </c>
      <c r="S39" s="43"/>
      <c r="T39" s="1" t="s">
        <v>79</v>
      </c>
      <c r="U39" s="72">
        <v>61523.205623237278</v>
      </c>
      <c r="V39" s="72"/>
      <c r="W39" s="72">
        <f t="shared" si="0"/>
        <v>61523.205623237278</v>
      </c>
    </row>
    <row r="40" spans="2:23" x14ac:dyDescent="0.35">
      <c r="B40" s="43" t="s">
        <v>1281</v>
      </c>
      <c r="C40" s="43" t="s">
        <v>48</v>
      </c>
      <c r="D40" s="1" t="s">
        <v>1205</v>
      </c>
      <c r="E40" s="43" t="s">
        <v>1282</v>
      </c>
      <c r="F40" s="43"/>
      <c r="G40" s="43" t="s">
        <v>863</v>
      </c>
      <c r="H40" s="1" t="s">
        <v>100</v>
      </c>
      <c r="I40" s="43" t="s">
        <v>866</v>
      </c>
      <c r="J40" s="43" t="s">
        <v>1275</v>
      </c>
      <c r="K40" s="67" t="s">
        <v>659</v>
      </c>
      <c r="L40" s="1" t="s">
        <v>850</v>
      </c>
      <c r="M40" s="43" t="s">
        <v>1279</v>
      </c>
      <c r="N40" s="1" t="s">
        <v>844</v>
      </c>
      <c r="O40" s="43" t="s">
        <v>743</v>
      </c>
      <c r="P40" s="43"/>
      <c r="Q40" s="1" t="s">
        <v>834</v>
      </c>
      <c r="R40" s="43" t="s">
        <v>845</v>
      </c>
      <c r="S40" s="43"/>
      <c r="T40" s="1" t="s">
        <v>46</v>
      </c>
      <c r="U40" s="72">
        <v>65617.924925307147</v>
      </c>
      <c r="V40" s="72">
        <v>999.45999999999992</v>
      </c>
      <c r="W40" s="72">
        <f t="shared" si="0"/>
        <v>64618.464925307147</v>
      </c>
    </row>
    <row r="41" spans="2:23" x14ac:dyDescent="0.35">
      <c r="B41" s="43" t="s">
        <v>1409</v>
      </c>
      <c r="C41" s="43" t="s">
        <v>81</v>
      </c>
      <c r="D41" s="45" t="s">
        <v>1190</v>
      </c>
      <c r="E41" s="43" t="s">
        <v>1270</v>
      </c>
      <c r="F41" s="43"/>
      <c r="G41" s="43" t="s">
        <v>876</v>
      </c>
      <c r="H41" s="43" t="s">
        <v>831</v>
      </c>
      <c r="I41" s="43" t="s">
        <v>308</v>
      </c>
      <c r="J41" s="43" t="s">
        <v>1132</v>
      </c>
      <c r="K41" s="67" t="s">
        <v>1133</v>
      </c>
      <c r="L41" s="43" t="s">
        <v>973</v>
      </c>
      <c r="M41" s="43" t="s">
        <v>1271</v>
      </c>
      <c r="N41" s="43" t="s">
        <v>873</v>
      </c>
      <c r="O41" s="43" t="s">
        <v>104</v>
      </c>
      <c r="P41" s="1" t="s">
        <v>836</v>
      </c>
      <c r="Q41" s="1" t="s">
        <v>836</v>
      </c>
      <c r="R41" s="43" t="s">
        <v>1119</v>
      </c>
      <c r="S41" s="43" t="s">
        <v>836</v>
      </c>
      <c r="T41" s="43" t="s">
        <v>253</v>
      </c>
      <c r="U41" s="72">
        <v>27495.981542005349</v>
      </c>
      <c r="V41" s="72"/>
      <c r="W41" s="72">
        <f t="shared" si="0"/>
        <v>27495.981542005349</v>
      </c>
    </row>
    <row r="42" spans="2:23" x14ac:dyDescent="0.35">
      <c r="B42" s="43" t="s">
        <v>1130</v>
      </c>
      <c r="C42" s="43" t="s">
        <v>81</v>
      </c>
      <c r="D42" s="45" t="s">
        <v>1184</v>
      </c>
      <c r="E42" s="43" t="s">
        <v>1131</v>
      </c>
      <c r="F42" s="43"/>
      <c r="G42" s="43" t="s">
        <v>1123</v>
      </c>
      <c r="H42" s="43" t="s">
        <v>831</v>
      </c>
      <c r="I42" s="43" t="s">
        <v>1017</v>
      </c>
      <c r="J42" s="43" t="s">
        <v>1101</v>
      </c>
      <c r="K42" s="67" t="s">
        <v>1124</v>
      </c>
      <c r="L42" s="43" t="s">
        <v>957</v>
      </c>
      <c r="M42" s="43" t="s">
        <v>1014</v>
      </c>
      <c r="N42" s="43" t="s">
        <v>873</v>
      </c>
      <c r="O42" s="43" t="s">
        <v>1127</v>
      </c>
      <c r="P42" s="1" t="s">
        <v>836</v>
      </c>
      <c r="Q42" s="1" t="s">
        <v>834</v>
      </c>
      <c r="R42" s="43" t="s">
        <v>1119</v>
      </c>
      <c r="S42" s="43" t="s">
        <v>836</v>
      </c>
      <c r="T42" s="43" t="s">
        <v>253</v>
      </c>
      <c r="U42" s="72">
        <v>35363.845831266983</v>
      </c>
      <c r="V42" s="72"/>
      <c r="W42" s="72">
        <f t="shared" si="0"/>
        <v>35363.845831266983</v>
      </c>
    </row>
    <row r="43" spans="2:23" x14ac:dyDescent="0.35">
      <c r="B43" s="43" t="s">
        <v>1130</v>
      </c>
      <c r="C43" s="43" t="s">
        <v>81</v>
      </c>
      <c r="D43" s="45" t="s">
        <v>1116</v>
      </c>
      <c r="E43" s="43" t="s">
        <v>1117</v>
      </c>
      <c r="F43" s="43"/>
      <c r="G43" s="43" t="s">
        <v>849</v>
      </c>
      <c r="H43" s="43" t="s">
        <v>831</v>
      </c>
      <c r="I43" s="43" t="s">
        <v>1017</v>
      </c>
      <c r="J43" s="43" t="s">
        <v>961</v>
      </c>
      <c r="K43" s="67" t="s">
        <v>1118</v>
      </c>
      <c r="L43" s="43" t="s">
        <v>957</v>
      </c>
      <c r="M43" s="43" t="s">
        <v>1024</v>
      </c>
      <c r="N43" s="43" t="s">
        <v>844</v>
      </c>
      <c r="O43" s="43" t="s">
        <v>104</v>
      </c>
      <c r="P43" s="1"/>
      <c r="Q43" s="1" t="s">
        <v>834</v>
      </c>
      <c r="R43" s="43" t="s">
        <v>933</v>
      </c>
      <c r="S43" s="43" t="s">
        <v>836</v>
      </c>
      <c r="T43" s="43" t="s">
        <v>79</v>
      </c>
      <c r="U43" s="72">
        <v>50667.873302688655</v>
      </c>
      <c r="V43" s="72"/>
      <c r="W43" s="72">
        <f t="shared" si="0"/>
        <v>50667.873302688655</v>
      </c>
    </row>
    <row r="44" spans="2:23" x14ac:dyDescent="0.35">
      <c r="B44" s="43" t="s">
        <v>1130</v>
      </c>
      <c r="C44" s="43" t="s">
        <v>81</v>
      </c>
      <c r="D44" s="45" t="s">
        <v>1213</v>
      </c>
      <c r="E44" s="43" t="s">
        <v>1117</v>
      </c>
      <c r="F44" s="43"/>
      <c r="G44" s="43" t="s">
        <v>849</v>
      </c>
      <c r="H44" s="43" t="s">
        <v>831</v>
      </c>
      <c r="I44" s="43" t="s">
        <v>1017</v>
      </c>
      <c r="J44" s="43" t="s">
        <v>961</v>
      </c>
      <c r="K44" s="67" t="s">
        <v>1118</v>
      </c>
      <c r="L44" s="43" t="s">
        <v>957</v>
      </c>
      <c r="M44" s="43" t="s">
        <v>1024</v>
      </c>
      <c r="N44" s="43" t="s">
        <v>844</v>
      </c>
      <c r="O44" s="43" t="s">
        <v>104</v>
      </c>
      <c r="P44" s="1"/>
      <c r="Q44" s="1" t="s">
        <v>834</v>
      </c>
      <c r="R44" s="43" t="s">
        <v>933</v>
      </c>
      <c r="S44" s="43" t="s">
        <v>836</v>
      </c>
      <c r="T44" s="43" t="s">
        <v>79</v>
      </c>
      <c r="U44" s="72">
        <v>50667.873302688655</v>
      </c>
      <c r="V44" s="72"/>
      <c r="W44" s="72">
        <f t="shared" si="0"/>
        <v>50667.873302688655</v>
      </c>
    </row>
    <row r="45" spans="2:23" x14ac:dyDescent="0.35">
      <c r="B45" s="43" t="s">
        <v>1130</v>
      </c>
      <c r="C45" s="43" t="s">
        <v>81</v>
      </c>
      <c r="D45" s="45" t="s">
        <v>1120</v>
      </c>
      <c r="E45" s="43" t="s">
        <v>1121</v>
      </c>
      <c r="F45" s="43"/>
      <c r="G45" s="43" t="s">
        <v>849</v>
      </c>
      <c r="H45" s="43" t="s">
        <v>831</v>
      </c>
      <c r="I45" s="43" t="s">
        <v>1017</v>
      </c>
      <c r="J45" s="43" t="s">
        <v>1101</v>
      </c>
      <c r="K45" s="67" t="s">
        <v>1118</v>
      </c>
      <c r="L45" s="43" t="s">
        <v>957</v>
      </c>
      <c r="M45" s="43" t="s">
        <v>1024</v>
      </c>
      <c r="N45" s="43" t="s">
        <v>844</v>
      </c>
      <c r="O45" s="43" t="s">
        <v>104</v>
      </c>
      <c r="P45" s="1" t="s">
        <v>836</v>
      </c>
      <c r="Q45" s="1" t="s">
        <v>834</v>
      </c>
      <c r="R45" s="43" t="s">
        <v>933</v>
      </c>
      <c r="S45" s="43" t="s">
        <v>836</v>
      </c>
      <c r="T45" s="43" t="s">
        <v>253</v>
      </c>
      <c r="U45" s="72">
        <v>43548.965473434429</v>
      </c>
      <c r="V45" s="72">
        <v>1972.9599999999998</v>
      </c>
      <c r="W45" s="72">
        <f t="shared" si="0"/>
        <v>41576.00547343443</v>
      </c>
    </row>
    <row r="46" spans="2:23" x14ac:dyDescent="0.35">
      <c r="B46" s="43" t="s">
        <v>1130</v>
      </c>
      <c r="C46" s="43" t="s">
        <v>81</v>
      </c>
      <c r="D46" s="45" t="s">
        <v>1212</v>
      </c>
      <c r="E46" s="43" t="s">
        <v>1121</v>
      </c>
      <c r="F46" s="43"/>
      <c r="G46" s="43" t="s">
        <v>849</v>
      </c>
      <c r="H46" s="43" t="s">
        <v>831</v>
      </c>
      <c r="I46" s="43" t="s">
        <v>1017</v>
      </c>
      <c r="J46" s="43" t="s">
        <v>1101</v>
      </c>
      <c r="K46" s="67" t="s">
        <v>1118</v>
      </c>
      <c r="L46" s="43" t="s">
        <v>957</v>
      </c>
      <c r="M46" s="43" t="s">
        <v>1024</v>
      </c>
      <c r="N46" s="43" t="s">
        <v>844</v>
      </c>
      <c r="O46" s="43" t="s">
        <v>104</v>
      </c>
      <c r="P46" s="1" t="s">
        <v>836</v>
      </c>
      <c r="Q46" s="1" t="s">
        <v>834</v>
      </c>
      <c r="R46" s="43" t="s">
        <v>933</v>
      </c>
      <c r="S46" s="43" t="s">
        <v>836</v>
      </c>
      <c r="T46" s="43" t="s">
        <v>253</v>
      </c>
      <c r="U46" s="72">
        <v>43548.965473434429</v>
      </c>
      <c r="V46" s="72">
        <v>1972.9599999999998</v>
      </c>
      <c r="W46" s="72">
        <f t="shared" si="0"/>
        <v>41576.00547343443</v>
      </c>
    </row>
    <row r="47" spans="2:23" x14ac:dyDescent="0.35">
      <c r="B47" s="43" t="s">
        <v>1130</v>
      </c>
      <c r="C47" s="43" t="s">
        <v>81</v>
      </c>
      <c r="D47" s="45" t="s">
        <v>1195</v>
      </c>
      <c r="E47" s="43" t="s">
        <v>960</v>
      </c>
      <c r="F47" s="43"/>
      <c r="G47" s="43" t="s">
        <v>1123</v>
      </c>
      <c r="H47" s="43" t="s">
        <v>831</v>
      </c>
      <c r="I47" s="43" t="s">
        <v>1017</v>
      </c>
      <c r="J47" s="43" t="s">
        <v>944</v>
      </c>
      <c r="K47" s="67" t="s">
        <v>1126</v>
      </c>
      <c r="L47" s="43" t="s">
        <v>957</v>
      </c>
      <c r="M47" s="43" t="s">
        <v>1024</v>
      </c>
      <c r="N47" s="43" t="s">
        <v>873</v>
      </c>
      <c r="O47" s="43" t="s">
        <v>1127</v>
      </c>
      <c r="P47" s="1" t="s">
        <v>836</v>
      </c>
      <c r="Q47" s="1" t="s">
        <v>834</v>
      </c>
      <c r="R47" s="43" t="s">
        <v>1119</v>
      </c>
      <c r="S47" s="43" t="s">
        <v>836</v>
      </c>
      <c r="T47" s="43" t="s">
        <v>253</v>
      </c>
      <c r="U47" s="72">
        <v>41652.909185536177</v>
      </c>
      <c r="V47" s="72"/>
      <c r="W47" s="72">
        <f t="shared" si="0"/>
        <v>41652.909185536177</v>
      </c>
    </row>
    <row r="48" spans="2:23" x14ac:dyDescent="0.35">
      <c r="B48" s="43" t="s">
        <v>1130</v>
      </c>
      <c r="C48" s="43" t="s">
        <v>81</v>
      </c>
      <c r="D48" s="45" t="s">
        <v>1198</v>
      </c>
      <c r="E48" s="43" t="s">
        <v>960</v>
      </c>
      <c r="F48" s="43"/>
      <c r="G48" s="43" t="s">
        <v>1123</v>
      </c>
      <c r="H48" s="43" t="s">
        <v>831</v>
      </c>
      <c r="I48" s="43" t="s">
        <v>1017</v>
      </c>
      <c r="J48" s="43" t="s">
        <v>944</v>
      </c>
      <c r="K48" s="67" t="s">
        <v>1126</v>
      </c>
      <c r="L48" s="43" t="s">
        <v>957</v>
      </c>
      <c r="M48" s="43" t="s">
        <v>1024</v>
      </c>
      <c r="N48" s="43" t="s">
        <v>873</v>
      </c>
      <c r="O48" s="43" t="s">
        <v>1127</v>
      </c>
      <c r="P48" s="1" t="s">
        <v>836</v>
      </c>
      <c r="Q48" s="1" t="s">
        <v>834</v>
      </c>
      <c r="R48" s="43" t="s">
        <v>1119</v>
      </c>
      <c r="S48" s="43" t="s">
        <v>836</v>
      </c>
      <c r="T48" s="43" t="s">
        <v>253</v>
      </c>
      <c r="U48" s="72">
        <v>40961.865403334938</v>
      </c>
      <c r="V48" s="72"/>
      <c r="W48" s="72">
        <f t="shared" si="0"/>
        <v>40961.865403334938</v>
      </c>
    </row>
    <row r="49" spans="2:23" x14ac:dyDescent="0.35">
      <c r="B49" s="43" t="s">
        <v>1130</v>
      </c>
      <c r="C49" s="43" t="s">
        <v>81</v>
      </c>
      <c r="D49" s="45" t="s">
        <v>1194</v>
      </c>
      <c r="E49" s="43" t="s">
        <v>960</v>
      </c>
      <c r="F49" s="43"/>
      <c r="G49" s="43" t="s">
        <v>1123</v>
      </c>
      <c r="H49" s="43" t="s">
        <v>831</v>
      </c>
      <c r="I49" s="43" t="s">
        <v>1017</v>
      </c>
      <c r="J49" s="43" t="s">
        <v>944</v>
      </c>
      <c r="K49" s="67" t="s">
        <v>1272</v>
      </c>
      <c r="L49" s="43" t="s">
        <v>957</v>
      </c>
      <c r="M49" s="43" t="s">
        <v>1024</v>
      </c>
      <c r="N49" s="43" t="s">
        <v>873</v>
      </c>
      <c r="O49" s="43" t="s">
        <v>1127</v>
      </c>
      <c r="P49" s="1" t="s">
        <v>836</v>
      </c>
      <c r="Q49" s="1" t="s">
        <v>834</v>
      </c>
      <c r="R49" s="43" t="s">
        <v>1119</v>
      </c>
      <c r="S49" s="43" t="s">
        <v>836</v>
      </c>
      <c r="T49" s="43" t="s">
        <v>253</v>
      </c>
      <c r="U49" s="72">
        <v>40519.459803334888</v>
      </c>
      <c r="V49" s="72"/>
      <c r="W49" s="72">
        <f t="shared" si="0"/>
        <v>40519.459803334888</v>
      </c>
    </row>
    <row r="50" spans="2:23" x14ac:dyDescent="0.35">
      <c r="B50" s="43" t="s">
        <v>1130</v>
      </c>
      <c r="C50" s="43" t="s">
        <v>81</v>
      </c>
      <c r="D50" s="45" t="s">
        <v>1056</v>
      </c>
      <c r="E50" s="43" t="s">
        <v>213</v>
      </c>
      <c r="F50" s="43"/>
      <c r="G50" s="43" t="s">
        <v>1123</v>
      </c>
      <c r="H50" s="43" t="s">
        <v>831</v>
      </c>
      <c r="I50" s="43" t="s">
        <v>1017</v>
      </c>
      <c r="J50" s="43" t="s">
        <v>944</v>
      </c>
      <c r="K50" s="67" t="s">
        <v>1124</v>
      </c>
      <c r="L50" s="43" t="s">
        <v>957</v>
      </c>
      <c r="M50" s="43" t="s">
        <v>1125</v>
      </c>
      <c r="N50" s="43" t="s">
        <v>873</v>
      </c>
      <c r="O50" s="43" t="s">
        <v>104</v>
      </c>
      <c r="P50" s="1" t="s">
        <v>836</v>
      </c>
      <c r="Q50" s="1" t="s">
        <v>834</v>
      </c>
      <c r="R50" s="43" t="s">
        <v>1119</v>
      </c>
      <c r="S50" s="43" t="s">
        <v>836</v>
      </c>
      <c r="T50" s="43" t="s">
        <v>253</v>
      </c>
      <c r="U50" s="72">
        <v>40561.961287544094</v>
      </c>
      <c r="V50" s="72"/>
      <c r="W50" s="72">
        <f t="shared" si="0"/>
        <v>40561.961287544094</v>
      </c>
    </row>
    <row r="51" spans="2:23" x14ac:dyDescent="0.35">
      <c r="B51" s="43" t="s">
        <v>1130</v>
      </c>
      <c r="C51" s="43" t="s">
        <v>81</v>
      </c>
      <c r="D51" s="45" t="s">
        <v>1071</v>
      </c>
      <c r="E51" s="43" t="s">
        <v>213</v>
      </c>
      <c r="F51" s="43"/>
      <c r="G51" s="43" t="s">
        <v>1123</v>
      </c>
      <c r="H51" s="43" t="s">
        <v>831</v>
      </c>
      <c r="I51" s="43" t="s">
        <v>1017</v>
      </c>
      <c r="J51" s="43" t="s">
        <v>944</v>
      </c>
      <c r="K51" s="67" t="s">
        <v>1128</v>
      </c>
      <c r="L51" s="43" t="s">
        <v>957</v>
      </c>
      <c r="M51" s="43" t="s">
        <v>1129</v>
      </c>
      <c r="N51" s="43" t="s">
        <v>873</v>
      </c>
      <c r="O51" s="43" t="s">
        <v>104</v>
      </c>
      <c r="P51" s="1" t="s">
        <v>836</v>
      </c>
      <c r="Q51" s="1" t="s">
        <v>834</v>
      </c>
      <c r="R51" s="43" t="s">
        <v>1119</v>
      </c>
      <c r="S51" s="43" t="s">
        <v>836</v>
      </c>
      <c r="T51" s="43" t="s">
        <v>253</v>
      </c>
      <c r="U51" s="72">
        <v>40560.931287544096</v>
      </c>
      <c r="V51" s="72"/>
      <c r="W51" s="72">
        <f t="shared" si="0"/>
        <v>40560.931287544096</v>
      </c>
    </row>
    <row r="52" spans="2:23" x14ac:dyDescent="0.35">
      <c r="B52" s="43" t="s">
        <v>1130</v>
      </c>
      <c r="C52" s="43" t="s">
        <v>81</v>
      </c>
      <c r="D52" s="45" t="s">
        <v>1183</v>
      </c>
      <c r="E52" s="43" t="s">
        <v>155</v>
      </c>
      <c r="F52" s="43"/>
      <c r="G52" s="43" t="s">
        <v>849</v>
      </c>
      <c r="H52" s="43" t="s">
        <v>831</v>
      </c>
      <c r="I52" s="43" t="s">
        <v>1017</v>
      </c>
      <c r="J52" s="43" t="s">
        <v>961</v>
      </c>
      <c r="K52" s="67" t="s">
        <v>1018</v>
      </c>
      <c r="L52" s="43" t="s">
        <v>1273</v>
      </c>
      <c r="M52" s="43" t="s">
        <v>1027</v>
      </c>
      <c r="N52" s="43" t="s">
        <v>844</v>
      </c>
      <c r="O52" s="43" t="s">
        <v>104</v>
      </c>
      <c r="P52" s="1"/>
      <c r="Q52" s="1" t="s">
        <v>834</v>
      </c>
      <c r="R52" s="43" t="s">
        <v>933</v>
      </c>
      <c r="S52" s="43" t="s">
        <v>836</v>
      </c>
      <c r="T52" s="43" t="s">
        <v>46</v>
      </c>
      <c r="U52" s="72">
        <v>72609.656589018909</v>
      </c>
      <c r="V52" s="72">
        <v>4448.5999999999995</v>
      </c>
      <c r="W52" s="72">
        <f t="shared" si="0"/>
        <v>68161.056589018903</v>
      </c>
    </row>
    <row r="53" spans="2:23" x14ac:dyDescent="0.35">
      <c r="B53" s="45" t="s">
        <v>1315</v>
      </c>
      <c r="C53" s="45" t="s">
        <v>48</v>
      </c>
      <c r="D53" s="45" t="s">
        <v>1327</v>
      </c>
      <c r="E53" s="45" t="s">
        <v>1328</v>
      </c>
      <c r="F53" s="45"/>
      <c r="G53" s="45" t="s">
        <v>1171</v>
      </c>
      <c r="H53" s="45" t="s">
        <v>100</v>
      </c>
      <c r="I53" s="45" t="s">
        <v>866</v>
      </c>
      <c r="J53" s="45" t="s">
        <v>1321</v>
      </c>
      <c r="K53" s="63" t="s">
        <v>659</v>
      </c>
      <c r="L53" s="63" t="s">
        <v>850</v>
      </c>
      <c r="M53" s="45" t="s">
        <v>857</v>
      </c>
      <c r="N53" s="71" t="s">
        <v>1304</v>
      </c>
      <c r="O53" s="45" t="s">
        <v>743</v>
      </c>
      <c r="P53" s="63"/>
      <c r="Q53" s="45" t="s">
        <v>834</v>
      </c>
      <c r="R53" s="45" t="s">
        <v>1318</v>
      </c>
      <c r="S53" s="45"/>
      <c r="T53" s="53" t="s">
        <v>46</v>
      </c>
      <c r="U53" s="72">
        <v>112341.64220092371</v>
      </c>
      <c r="V53" s="72"/>
      <c r="W53" s="72">
        <f t="shared" si="0"/>
        <v>112341.64220092371</v>
      </c>
    </row>
    <row r="54" spans="2:23" x14ac:dyDescent="0.35">
      <c r="B54" s="45" t="s">
        <v>1315</v>
      </c>
      <c r="C54" s="45" t="s">
        <v>48</v>
      </c>
      <c r="D54" s="45" t="s">
        <v>1329</v>
      </c>
      <c r="E54" s="45" t="s">
        <v>1328</v>
      </c>
      <c r="F54" s="45"/>
      <c r="G54" s="45" t="s">
        <v>1171</v>
      </c>
      <c r="H54" s="45" t="s">
        <v>100</v>
      </c>
      <c r="I54" s="45" t="s">
        <v>866</v>
      </c>
      <c r="J54" s="45" t="s">
        <v>1317</v>
      </c>
      <c r="K54" s="63" t="s">
        <v>659</v>
      </c>
      <c r="L54" s="63" t="s">
        <v>850</v>
      </c>
      <c r="M54" s="45" t="s">
        <v>857</v>
      </c>
      <c r="N54" s="71" t="s">
        <v>1304</v>
      </c>
      <c r="O54" s="45" t="s">
        <v>743</v>
      </c>
      <c r="P54" s="63"/>
      <c r="Q54" s="45" t="s">
        <v>834</v>
      </c>
      <c r="R54" s="45" t="s">
        <v>1318</v>
      </c>
      <c r="S54" s="45"/>
      <c r="T54" s="53" t="s">
        <v>46</v>
      </c>
      <c r="U54" s="72">
        <v>121968.57487218575</v>
      </c>
      <c r="V54" s="72"/>
      <c r="W54" s="72">
        <f t="shared" si="0"/>
        <v>121968.57487218575</v>
      </c>
    </row>
    <row r="55" spans="2:23" x14ac:dyDescent="0.35">
      <c r="B55" s="45" t="s">
        <v>1281</v>
      </c>
      <c r="C55" s="45" t="s">
        <v>48</v>
      </c>
      <c r="D55" s="45" t="s">
        <v>1410</v>
      </c>
      <c r="E55" s="45" t="s">
        <v>1411</v>
      </c>
      <c r="F55" s="45"/>
      <c r="G55" s="45" t="s">
        <v>863</v>
      </c>
      <c r="H55" s="45" t="s">
        <v>100</v>
      </c>
      <c r="I55" s="45" t="s">
        <v>866</v>
      </c>
      <c r="J55" s="45" t="s">
        <v>182</v>
      </c>
      <c r="K55" s="63" t="s">
        <v>659</v>
      </c>
      <c r="L55" s="63" t="s">
        <v>850</v>
      </c>
      <c r="M55" s="45" t="s">
        <v>1279</v>
      </c>
      <c r="N55" s="71" t="s">
        <v>844</v>
      </c>
      <c r="O55" s="45" t="s">
        <v>743</v>
      </c>
      <c r="P55" s="63"/>
      <c r="Q55" s="45" t="s">
        <v>834</v>
      </c>
      <c r="R55" s="45" t="s">
        <v>845</v>
      </c>
      <c r="S55" s="45"/>
      <c r="T55" s="53" t="s">
        <v>46</v>
      </c>
      <c r="U55" s="72">
        <v>77676.968843441355</v>
      </c>
      <c r="V55" s="72"/>
      <c r="W55" s="72">
        <f t="shared" si="0"/>
        <v>77676.968843441355</v>
      </c>
    </row>
    <row r="56" spans="2:23" x14ac:dyDescent="0.35">
      <c r="B56" s="45" t="s">
        <v>1412</v>
      </c>
      <c r="C56" s="45" t="s">
        <v>81</v>
      </c>
      <c r="D56" s="45" t="s">
        <v>1191</v>
      </c>
      <c r="E56" s="45" t="s">
        <v>1336</v>
      </c>
      <c r="F56" s="45"/>
      <c r="G56" s="45" t="s">
        <v>1377</v>
      </c>
      <c r="H56" s="45" t="s">
        <v>100</v>
      </c>
      <c r="I56" s="45" t="s">
        <v>1240</v>
      </c>
      <c r="J56" s="45" t="s">
        <v>961</v>
      </c>
      <c r="K56" s="63" t="s">
        <v>88</v>
      </c>
      <c r="L56" s="63" t="s">
        <v>979</v>
      </c>
      <c r="M56" s="45" t="s">
        <v>1376</v>
      </c>
      <c r="N56" s="71" t="s">
        <v>844</v>
      </c>
      <c r="O56" s="45" t="s">
        <v>743</v>
      </c>
      <c r="P56" s="63"/>
      <c r="Q56" s="45" t="s">
        <v>834</v>
      </c>
      <c r="R56" s="45" t="s">
        <v>1413</v>
      </c>
      <c r="S56" s="45"/>
      <c r="T56" s="53" t="s">
        <v>253</v>
      </c>
      <c r="U56" s="72">
        <v>40705.478685519403</v>
      </c>
      <c r="V56" s="72"/>
      <c r="W56" s="72">
        <f t="shared" si="0"/>
        <v>40705.478685519403</v>
      </c>
    </row>
    <row r="57" spans="2:23" x14ac:dyDescent="0.35">
      <c r="B57" s="45" t="s">
        <v>1371</v>
      </c>
      <c r="C57" s="45" t="s">
        <v>81</v>
      </c>
      <c r="D57" s="45" t="s">
        <v>1337</v>
      </c>
      <c r="E57" s="45" t="s">
        <v>1414</v>
      </c>
      <c r="F57" s="45"/>
      <c r="G57" s="45" t="s">
        <v>1373</v>
      </c>
      <c r="H57" s="45" t="s">
        <v>100</v>
      </c>
      <c r="I57" s="45" t="s">
        <v>1240</v>
      </c>
      <c r="J57" s="45" t="s">
        <v>961</v>
      </c>
      <c r="K57" s="63" t="s">
        <v>1415</v>
      </c>
      <c r="L57" s="63" t="s">
        <v>850</v>
      </c>
      <c r="M57" s="45" t="s">
        <v>1376</v>
      </c>
      <c r="N57" s="71" t="s">
        <v>844</v>
      </c>
      <c r="O57" s="45" t="s">
        <v>743</v>
      </c>
      <c r="P57" s="63"/>
      <c r="Q57" s="45" t="s">
        <v>834</v>
      </c>
      <c r="R57" s="45" t="s">
        <v>933</v>
      </c>
      <c r="S57" s="45"/>
      <c r="T57" s="53" t="s">
        <v>79</v>
      </c>
      <c r="U57" s="72">
        <v>65353.138790800687</v>
      </c>
      <c r="V57" s="72"/>
      <c r="W57" s="72">
        <f t="shared" si="0"/>
        <v>65353.138790800687</v>
      </c>
    </row>
    <row r="58" spans="2:23" x14ac:dyDescent="0.35">
      <c r="B58" s="45" t="s">
        <v>1371</v>
      </c>
      <c r="C58" s="45" t="s">
        <v>81</v>
      </c>
      <c r="D58" s="45" t="s">
        <v>1416</v>
      </c>
      <c r="E58" s="45" t="s">
        <v>1335</v>
      </c>
      <c r="F58" s="45"/>
      <c r="G58" s="45" t="s">
        <v>1373</v>
      </c>
      <c r="H58" s="45" t="s">
        <v>100</v>
      </c>
      <c r="I58" s="45" t="s">
        <v>1374</v>
      </c>
      <c r="J58" s="45" t="s">
        <v>961</v>
      </c>
      <c r="K58" s="63" t="s">
        <v>88</v>
      </c>
      <c r="L58" s="63" t="s">
        <v>993</v>
      </c>
      <c r="M58" s="45" t="s">
        <v>1376</v>
      </c>
      <c r="N58" s="71" t="s">
        <v>844</v>
      </c>
      <c r="O58" s="45" t="s">
        <v>743</v>
      </c>
      <c r="P58" s="63"/>
      <c r="Q58" s="45" t="s">
        <v>834</v>
      </c>
      <c r="R58" s="45" t="s">
        <v>933</v>
      </c>
      <c r="S58" s="45"/>
      <c r="T58" s="53" t="s">
        <v>79</v>
      </c>
      <c r="U58" s="72">
        <v>45443.08845341696</v>
      </c>
      <c r="V58" s="72"/>
      <c r="W58" s="72">
        <f t="shared" si="0"/>
        <v>45443.08845341696</v>
      </c>
    </row>
    <row r="59" spans="2:23" x14ac:dyDescent="0.35">
      <c r="B59" s="45" t="s">
        <v>1371</v>
      </c>
      <c r="C59" s="45" t="s">
        <v>81</v>
      </c>
      <c r="D59" s="45" t="s">
        <v>1417</v>
      </c>
      <c r="E59" s="45" t="s">
        <v>1418</v>
      </c>
      <c r="F59" s="45"/>
      <c r="G59" s="45" t="s">
        <v>1377</v>
      </c>
      <c r="H59" s="45" t="s">
        <v>100</v>
      </c>
      <c r="I59" s="45" t="s">
        <v>766</v>
      </c>
      <c r="J59" s="45" t="s">
        <v>961</v>
      </c>
      <c r="K59" s="63" t="s">
        <v>88</v>
      </c>
      <c r="L59" s="63" t="s">
        <v>993</v>
      </c>
      <c r="M59" s="45" t="s">
        <v>1376</v>
      </c>
      <c r="N59" s="71" t="s">
        <v>844</v>
      </c>
      <c r="O59" s="45" t="s">
        <v>743</v>
      </c>
      <c r="P59" s="63"/>
      <c r="Q59" s="45" t="s">
        <v>834</v>
      </c>
      <c r="R59" s="45" t="s">
        <v>1413</v>
      </c>
      <c r="S59" s="45"/>
      <c r="T59" s="53" t="s">
        <v>253</v>
      </c>
      <c r="U59" s="72">
        <v>27433.373187992096</v>
      </c>
      <c r="V59" s="72"/>
      <c r="W59" s="72">
        <f t="shared" si="0"/>
        <v>27433.373187992096</v>
      </c>
    </row>
    <row r="60" spans="2:23" x14ac:dyDescent="0.35">
      <c r="B60" s="45" t="s">
        <v>1371</v>
      </c>
      <c r="C60" s="45" t="s">
        <v>81</v>
      </c>
      <c r="D60" s="45" t="s">
        <v>1419</v>
      </c>
      <c r="E60" s="45" t="s">
        <v>1331</v>
      </c>
      <c r="F60" s="45"/>
      <c r="G60" s="45" t="s">
        <v>1373</v>
      </c>
      <c r="H60" s="45" t="s">
        <v>100</v>
      </c>
      <c r="I60" s="45" t="s">
        <v>1240</v>
      </c>
      <c r="J60" s="45" t="s">
        <v>961</v>
      </c>
      <c r="K60" s="63" t="s">
        <v>1375</v>
      </c>
      <c r="L60" s="63" t="s">
        <v>850</v>
      </c>
      <c r="M60" s="45" t="s">
        <v>1376</v>
      </c>
      <c r="N60" s="71" t="s">
        <v>844</v>
      </c>
      <c r="O60" s="45" t="s">
        <v>743</v>
      </c>
      <c r="P60" s="63"/>
      <c r="Q60" s="45" t="s">
        <v>834</v>
      </c>
      <c r="R60" s="45" t="s">
        <v>933</v>
      </c>
      <c r="S60" s="45"/>
      <c r="T60" s="53" t="s">
        <v>46</v>
      </c>
      <c r="U60" s="72">
        <v>75780.994989188956</v>
      </c>
      <c r="V60" s="72"/>
      <c r="W60" s="72">
        <f t="shared" si="0"/>
        <v>75780.994989188956</v>
      </c>
    </row>
    <row r="61" spans="2:23" x14ac:dyDescent="0.35">
      <c r="B61" s="45" t="s">
        <v>1371</v>
      </c>
      <c r="C61" s="45" t="s">
        <v>81</v>
      </c>
      <c r="D61" s="45" t="s">
        <v>1420</v>
      </c>
      <c r="E61" s="45" t="s">
        <v>437</v>
      </c>
      <c r="F61" s="45"/>
      <c r="G61" s="45" t="s">
        <v>1377</v>
      </c>
      <c r="H61" s="45" t="s">
        <v>100</v>
      </c>
      <c r="I61" s="45" t="s">
        <v>1240</v>
      </c>
      <c r="J61" s="45" t="s">
        <v>961</v>
      </c>
      <c r="K61" s="63" t="s">
        <v>1375</v>
      </c>
      <c r="L61" s="63" t="s">
        <v>850</v>
      </c>
      <c r="M61" s="45" t="s">
        <v>1376</v>
      </c>
      <c r="N61" s="71" t="s">
        <v>844</v>
      </c>
      <c r="O61" s="45" t="s">
        <v>743</v>
      </c>
      <c r="P61" s="63"/>
      <c r="Q61" s="45" t="s">
        <v>834</v>
      </c>
      <c r="R61" s="45" t="s">
        <v>933</v>
      </c>
      <c r="S61" s="45"/>
      <c r="T61" s="53" t="s">
        <v>79</v>
      </c>
      <c r="U61" s="72">
        <v>54123.04337379105</v>
      </c>
      <c r="V61" s="72"/>
      <c r="W61" s="72">
        <f t="shared" si="0"/>
        <v>54123.04337379105</v>
      </c>
    </row>
    <row r="62" spans="2:23" x14ac:dyDescent="0.35">
      <c r="B62" s="45" t="s">
        <v>97</v>
      </c>
      <c r="C62" s="45" t="s">
        <v>81</v>
      </c>
      <c r="D62" s="45" t="s">
        <v>1362</v>
      </c>
      <c r="E62" s="45" t="s">
        <v>1106</v>
      </c>
      <c r="F62" s="45"/>
      <c r="G62" s="45" t="s">
        <v>849</v>
      </c>
      <c r="H62" s="45" t="s">
        <v>100</v>
      </c>
      <c r="I62" s="45" t="s">
        <v>1240</v>
      </c>
      <c r="J62" s="45" t="s">
        <v>961</v>
      </c>
      <c r="K62" s="63" t="s">
        <v>659</v>
      </c>
      <c r="L62" s="63" t="s">
        <v>850</v>
      </c>
      <c r="M62" s="45" t="s">
        <v>1092</v>
      </c>
      <c r="N62" s="71" t="s">
        <v>1304</v>
      </c>
      <c r="O62" s="45" t="s">
        <v>104</v>
      </c>
      <c r="P62" s="63" t="s">
        <v>836</v>
      </c>
      <c r="Q62" s="45" t="s">
        <v>834</v>
      </c>
      <c r="R62" s="45" t="s">
        <v>845</v>
      </c>
      <c r="S62" s="45" t="s">
        <v>836</v>
      </c>
      <c r="T62" s="53" t="s">
        <v>46</v>
      </c>
      <c r="U62" s="72">
        <v>72764.484880244519</v>
      </c>
      <c r="V62" s="72">
        <v>2634.94</v>
      </c>
      <c r="W62" s="72">
        <f t="shared" si="0"/>
        <v>70129.544880244517</v>
      </c>
    </row>
    <row r="63" spans="2:23" x14ac:dyDescent="0.35">
      <c r="B63" s="45" t="s">
        <v>97</v>
      </c>
      <c r="C63" s="45" t="s">
        <v>81</v>
      </c>
      <c r="D63" s="45" t="s">
        <v>1363</v>
      </c>
      <c r="E63" s="45" t="s">
        <v>1106</v>
      </c>
      <c r="F63" s="45"/>
      <c r="G63" s="45" t="s">
        <v>849</v>
      </c>
      <c r="H63" s="45" t="s">
        <v>100</v>
      </c>
      <c r="I63" s="45" t="s">
        <v>1240</v>
      </c>
      <c r="J63" s="45" t="s">
        <v>961</v>
      </c>
      <c r="K63" s="63" t="s">
        <v>659</v>
      </c>
      <c r="L63" s="63" t="s">
        <v>850</v>
      </c>
      <c r="M63" s="45" t="s">
        <v>1092</v>
      </c>
      <c r="N63" s="71" t="s">
        <v>1304</v>
      </c>
      <c r="O63" s="45" t="s">
        <v>104</v>
      </c>
      <c r="P63" s="63" t="s">
        <v>836</v>
      </c>
      <c r="Q63" s="45" t="s">
        <v>834</v>
      </c>
      <c r="R63" s="45" t="s">
        <v>845</v>
      </c>
      <c r="S63" s="45" t="s">
        <v>836</v>
      </c>
      <c r="T63" s="53" t="s">
        <v>79</v>
      </c>
      <c r="U63" s="72">
        <v>70868.511025992106</v>
      </c>
      <c r="V63" s="72">
        <v>6664.6399999999994</v>
      </c>
      <c r="W63" s="72">
        <f t="shared" si="0"/>
        <v>64203.871025992106</v>
      </c>
    </row>
  </sheetData>
  <autoFilter ref="A5:W63" xr:uid="{E9590541-40D6-4076-9186-0350C86AF3F0}"/>
  <conditionalFormatting sqref="D4:D5">
    <cfRule type="duplicateValues" dxfId="234" priority="1632"/>
  </conditionalFormatting>
  <conditionalFormatting sqref="D10">
    <cfRule type="duplicateValues" dxfId="233" priority="132"/>
    <cfRule type="duplicateValues" dxfId="232" priority="134"/>
    <cfRule type="duplicateValues" dxfId="231" priority="133"/>
    <cfRule type="duplicateValues" dxfId="230" priority="131"/>
    <cfRule type="duplicateValues" dxfId="229" priority="130"/>
    <cfRule type="duplicateValues" dxfId="228" priority="129"/>
    <cfRule type="duplicateValues" dxfId="227" priority="128"/>
    <cfRule type="duplicateValues" dxfId="226" priority="127"/>
    <cfRule type="duplicateValues" dxfId="225" priority="126"/>
  </conditionalFormatting>
  <conditionalFormatting sqref="D11:D12">
    <cfRule type="duplicateValues" dxfId="224" priority="193"/>
    <cfRule type="duplicateValues" dxfId="223" priority="192"/>
    <cfRule type="duplicateValues" dxfId="222" priority="204"/>
    <cfRule type="duplicateValues" dxfId="221" priority="203"/>
    <cfRule type="duplicateValues" dxfId="220" priority="202"/>
    <cfRule type="duplicateValues" dxfId="219" priority="201"/>
    <cfRule type="duplicateValues" dxfId="218" priority="200"/>
    <cfRule type="duplicateValues" dxfId="217" priority="199"/>
    <cfRule type="duplicateValues" dxfId="216" priority="198"/>
    <cfRule type="duplicateValues" dxfId="215" priority="197"/>
    <cfRule type="duplicateValues" dxfId="214" priority="196"/>
    <cfRule type="duplicateValues" dxfId="213" priority="195"/>
    <cfRule type="duplicateValues" dxfId="212" priority="194"/>
  </conditionalFormatting>
  <conditionalFormatting sqref="D13">
    <cfRule type="duplicateValues" dxfId="211" priority="116"/>
    <cfRule type="duplicateValues" dxfId="210" priority="115"/>
    <cfRule type="duplicateValues" dxfId="209" priority="114"/>
    <cfRule type="duplicateValues" dxfId="208" priority="113"/>
    <cfRule type="duplicateValues" dxfId="207" priority="122"/>
    <cfRule type="duplicateValues" dxfId="206" priority="112"/>
    <cfRule type="duplicateValues" dxfId="205" priority="125"/>
    <cfRule type="duplicateValues" dxfId="204" priority="124"/>
    <cfRule type="duplicateValues" dxfId="203" priority="123"/>
    <cfRule type="duplicateValues" dxfId="202" priority="121"/>
    <cfRule type="duplicateValues" dxfId="201" priority="120"/>
    <cfRule type="duplicateValues" dxfId="200" priority="119"/>
    <cfRule type="duplicateValues" dxfId="199" priority="118"/>
    <cfRule type="duplicateValues" dxfId="198" priority="117"/>
  </conditionalFormatting>
  <conditionalFormatting sqref="D14">
    <cfRule type="duplicateValues" dxfId="197" priority="136"/>
  </conditionalFormatting>
  <conditionalFormatting sqref="D16">
    <cfRule type="duplicateValues" dxfId="196" priority="191"/>
  </conditionalFormatting>
  <conditionalFormatting sqref="D17">
    <cfRule type="duplicateValues" dxfId="195" priority="135"/>
  </conditionalFormatting>
  <conditionalFormatting sqref="D20">
    <cfRule type="duplicateValues" dxfId="194" priority="137"/>
  </conditionalFormatting>
  <conditionalFormatting sqref="D22">
    <cfRule type="duplicateValues" dxfId="193" priority="111"/>
  </conditionalFormatting>
  <conditionalFormatting sqref="D23">
    <cfRule type="duplicateValues" dxfId="192" priority="108"/>
    <cfRule type="duplicateValues" dxfId="191" priority="107"/>
    <cfRule type="duplicateValues" dxfId="190" priority="110"/>
    <cfRule type="duplicateValues" dxfId="189" priority="109"/>
  </conditionalFormatting>
  <conditionalFormatting sqref="D24:D26">
    <cfRule type="duplicateValues" dxfId="188" priority="101"/>
    <cfRule type="duplicateValues" dxfId="187" priority="102"/>
    <cfRule type="duplicateValues" dxfId="186" priority="103"/>
    <cfRule type="duplicateValues" dxfId="185" priority="104"/>
    <cfRule type="duplicateValues" dxfId="184" priority="100"/>
    <cfRule type="duplicateValues" dxfId="183" priority="79"/>
    <cfRule type="duplicateValues" dxfId="182" priority="106"/>
    <cfRule type="duplicateValues" dxfId="181" priority="54"/>
    <cfRule type="duplicateValues" dxfId="180" priority="55"/>
    <cfRule type="duplicateValues" dxfId="179" priority="56"/>
    <cfRule type="duplicateValues" dxfId="178" priority="57"/>
    <cfRule type="duplicateValues" dxfId="177" priority="58"/>
    <cfRule type="duplicateValues" dxfId="176" priority="59"/>
    <cfRule type="duplicateValues" dxfId="175" priority="60"/>
    <cfRule type="duplicateValues" dxfId="174" priority="61"/>
    <cfRule type="duplicateValues" dxfId="173" priority="62"/>
    <cfRule type="duplicateValues" dxfId="172" priority="63"/>
    <cfRule type="duplicateValues" dxfId="171" priority="64"/>
    <cfRule type="duplicateValues" dxfId="170" priority="65"/>
    <cfRule type="duplicateValues" dxfId="169" priority="66"/>
    <cfRule type="duplicateValues" dxfId="168" priority="67"/>
    <cfRule type="duplicateValues" dxfId="167" priority="68"/>
    <cfRule type="duplicateValues" dxfId="166" priority="69"/>
    <cfRule type="duplicateValues" dxfId="165" priority="70"/>
    <cfRule type="duplicateValues" dxfId="164" priority="71"/>
    <cfRule type="duplicateValues" dxfId="163" priority="72"/>
    <cfRule type="duplicateValues" dxfId="162" priority="73"/>
    <cfRule type="duplicateValues" dxfId="161" priority="74"/>
    <cfRule type="duplicateValues" dxfId="160" priority="75"/>
    <cfRule type="duplicateValues" dxfId="159" priority="76"/>
    <cfRule type="duplicateValues" dxfId="158" priority="77"/>
    <cfRule type="duplicateValues" dxfId="157" priority="78"/>
    <cfRule type="duplicateValues" dxfId="156" priority="105"/>
    <cfRule type="duplicateValues" dxfId="155" priority="80"/>
    <cfRule type="duplicateValues" dxfId="154" priority="81"/>
    <cfRule type="duplicateValues" dxfId="153" priority="82"/>
    <cfRule type="duplicateValues" dxfId="152" priority="83"/>
    <cfRule type="duplicateValues" dxfId="151" priority="84"/>
    <cfRule type="duplicateValues" dxfId="150" priority="85"/>
    <cfRule type="duplicateValues" dxfId="149" priority="86"/>
    <cfRule type="duplicateValues" dxfId="148" priority="87"/>
    <cfRule type="duplicateValues" dxfId="147" priority="88"/>
    <cfRule type="duplicateValues" dxfId="146" priority="89"/>
    <cfRule type="duplicateValues" dxfId="145" priority="90"/>
    <cfRule type="duplicateValues" dxfId="144" priority="91"/>
    <cfRule type="duplicateValues" dxfId="143" priority="92"/>
    <cfRule type="duplicateValues" dxfId="142" priority="93"/>
    <cfRule type="duplicateValues" dxfId="141" priority="94"/>
    <cfRule type="duplicateValues" dxfId="140" priority="95"/>
    <cfRule type="duplicateValues" dxfId="139" priority="96"/>
    <cfRule type="duplicateValues" dxfId="138" priority="97"/>
    <cfRule type="duplicateValues" dxfId="137" priority="98"/>
    <cfRule type="duplicateValues" dxfId="136" priority="99"/>
  </conditionalFormatting>
  <conditionalFormatting sqref="D27:D30">
    <cfRule type="duplicateValues" dxfId="135" priority="186"/>
    <cfRule type="duplicateValues" dxfId="134" priority="187"/>
    <cfRule type="duplicateValues" dxfId="133" priority="188"/>
    <cfRule type="duplicateValues" dxfId="132" priority="189"/>
    <cfRule type="duplicateValues" dxfId="131" priority="190"/>
    <cfRule type="duplicateValues" dxfId="130" priority="182"/>
    <cfRule type="duplicateValues" dxfId="129" priority="138"/>
    <cfRule type="duplicateValues" dxfId="128" priority="139"/>
    <cfRule type="duplicateValues" dxfId="127" priority="140"/>
    <cfRule type="duplicateValues" dxfId="126" priority="141"/>
    <cfRule type="duplicateValues" dxfId="125" priority="142"/>
    <cfRule type="duplicateValues" dxfId="124" priority="143"/>
    <cfRule type="duplicateValues" dxfId="123" priority="144"/>
    <cfRule type="duplicateValues" dxfId="122" priority="145"/>
    <cfRule type="duplicateValues" dxfId="121" priority="146"/>
    <cfRule type="duplicateValues" dxfId="120" priority="147"/>
    <cfRule type="duplicateValues" dxfId="119" priority="148"/>
    <cfRule type="duplicateValues" dxfId="118" priority="149"/>
    <cfRule type="duplicateValues" dxfId="117" priority="150"/>
    <cfRule type="duplicateValues" dxfId="116" priority="151"/>
    <cfRule type="duplicateValues" dxfId="115" priority="152"/>
    <cfRule type="duplicateValues" dxfId="114" priority="153"/>
    <cfRule type="duplicateValues" dxfId="113" priority="154"/>
    <cfRule type="duplicateValues" dxfId="112" priority="155"/>
    <cfRule type="duplicateValues" dxfId="111" priority="156"/>
    <cfRule type="duplicateValues" dxfId="110" priority="157"/>
    <cfRule type="duplicateValues" dxfId="109" priority="158"/>
    <cfRule type="duplicateValues" dxfId="108" priority="159"/>
    <cfRule type="duplicateValues" dxfId="107" priority="160"/>
    <cfRule type="duplicateValues" dxfId="106" priority="161"/>
    <cfRule type="duplicateValues" dxfId="105" priority="162"/>
    <cfRule type="duplicateValues" dxfId="104" priority="163"/>
    <cfRule type="duplicateValues" dxfId="103" priority="164"/>
    <cfRule type="duplicateValues" dxfId="102" priority="165"/>
    <cfRule type="duplicateValues" dxfId="101" priority="166"/>
    <cfRule type="duplicateValues" dxfId="100" priority="167"/>
    <cfRule type="duplicateValues" dxfId="99" priority="168"/>
    <cfRule type="duplicateValues" dxfId="98" priority="169"/>
    <cfRule type="duplicateValues" dxfId="97" priority="170"/>
    <cfRule type="duplicateValues" dxfId="96" priority="171"/>
    <cfRule type="duplicateValues" dxfId="95" priority="172"/>
    <cfRule type="duplicateValues" dxfId="94" priority="173"/>
    <cfRule type="duplicateValues" dxfId="93" priority="174"/>
    <cfRule type="duplicateValues" dxfId="92" priority="175"/>
    <cfRule type="duplicateValues" dxfId="91" priority="176"/>
    <cfRule type="duplicateValues" dxfId="90" priority="177"/>
    <cfRule type="duplicateValues" dxfId="89" priority="178"/>
    <cfRule type="duplicateValues" dxfId="88" priority="179"/>
    <cfRule type="duplicateValues" dxfId="87" priority="180"/>
    <cfRule type="duplicateValues" dxfId="86" priority="181"/>
    <cfRule type="duplicateValues" dxfId="85" priority="183"/>
    <cfRule type="duplicateValues" dxfId="84" priority="184"/>
    <cfRule type="duplicateValues" dxfId="83" priority="185"/>
  </conditionalFormatting>
  <conditionalFormatting sqref="D36:D37 D32">
    <cfRule type="duplicateValues" dxfId="82" priority="1"/>
    <cfRule type="duplicateValues" dxfId="81" priority="2"/>
    <cfRule type="duplicateValues" dxfId="80" priority="3"/>
    <cfRule type="duplicateValues" dxfId="79" priority="4"/>
    <cfRule type="duplicateValues" dxfId="78" priority="5"/>
    <cfRule type="duplicateValues" dxfId="77" priority="33"/>
    <cfRule type="duplicateValues" dxfId="76" priority="32"/>
    <cfRule type="duplicateValues" dxfId="75" priority="31"/>
    <cfRule type="duplicateValues" dxfId="74" priority="30"/>
    <cfRule type="duplicateValues" dxfId="73" priority="29"/>
    <cfRule type="duplicateValues" dxfId="72" priority="28"/>
    <cfRule type="duplicateValues" dxfId="71" priority="26"/>
    <cfRule type="duplicateValues" dxfId="70" priority="25"/>
    <cfRule type="duplicateValues" dxfId="69" priority="24"/>
    <cfRule type="duplicateValues" dxfId="68" priority="23"/>
    <cfRule type="duplicateValues" dxfId="67" priority="22"/>
    <cfRule type="duplicateValues" dxfId="66" priority="21"/>
    <cfRule type="duplicateValues" dxfId="65" priority="53"/>
    <cfRule type="duplicateValues" dxfId="64" priority="52"/>
    <cfRule type="duplicateValues" dxfId="63" priority="51"/>
    <cfRule type="duplicateValues" dxfId="62" priority="50"/>
    <cfRule type="duplicateValues" dxfId="61" priority="49"/>
    <cfRule type="duplicateValues" dxfId="60" priority="48"/>
    <cfRule type="duplicateValues" dxfId="59" priority="47"/>
    <cfRule type="duplicateValues" dxfId="58" priority="46"/>
    <cfRule type="duplicateValues" dxfId="57" priority="45"/>
    <cfRule type="duplicateValues" dxfId="56" priority="44"/>
    <cfRule type="duplicateValues" dxfId="55" priority="43"/>
    <cfRule type="duplicateValues" dxfId="54" priority="42"/>
    <cfRule type="duplicateValues" dxfId="53" priority="27"/>
    <cfRule type="duplicateValues" dxfId="52" priority="41"/>
    <cfRule type="duplicateValues" dxfId="51" priority="40"/>
    <cfRule type="duplicateValues" dxfId="50" priority="39"/>
    <cfRule type="duplicateValues" dxfId="49" priority="38"/>
    <cfRule type="duplicateValues" dxfId="48" priority="37"/>
    <cfRule type="duplicateValues" dxfId="47" priority="36"/>
    <cfRule type="duplicateValues" dxfId="46" priority="35"/>
    <cfRule type="duplicateValues" dxfId="45" priority="34"/>
    <cfRule type="duplicateValues" dxfId="44" priority="20"/>
    <cfRule type="duplicateValues" dxfId="43" priority="19"/>
    <cfRule type="duplicateValues" dxfId="42" priority="18"/>
    <cfRule type="duplicateValues" dxfId="41" priority="17"/>
    <cfRule type="duplicateValues" dxfId="40" priority="16"/>
    <cfRule type="duplicateValues" dxfId="39" priority="15"/>
    <cfRule type="duplicateValues" dxfId="38" priority="14"/>
    <cfRule type="duplicateValues" dxfId="37" priority="13"/>
    <cfRule type="duplicateValues" dxfId="36" priority="12"/>
    <cfRule type="duplicateValues" dxfId="35" priority="11"/>
    <cfRule type="duplicateValues" dxfId="34" priority="10"/>
    <cfRule type="duplicateValues" dxfId="33" priority="9"/>
    <cfRule type="duplicateValues" dxfId="32" priority="8"/>
    <cfRule type="duplicateValues" dxfId="31" priority="7"/>
    <cfRule type="duplicateValues" dxfId="30" priority="6"/>
  </conditionalFormatting>
  <conditionalFormatting sqref="D38:D52 D33:D35 D31 D6:D23">
    <cfRule type="duplicateValues" dxfId="29" priority="205"/>
  </conditionalFormatting>
  <conditionalFormatting sqref="D53:D63">
    <cfRule type="duplicateValues" dxfId="28" priority="206"/>
  </conditionalFormatting>
  <conditionalFormatting sqref="D64:D1048576 D1:D3">
    <cfRule type="duplicateValues" dxfId="27" priority="201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A3AF-8E57-4309-AC44-0DD12726C3D8}">
  <dimension ref="A2:R216"/>
  <sheetViews>
    <sheetView workbookViewId="0">
      <selection activeCell="E1" sqref="E1"/>
    </sheetView>
  </sheetViews>
  <sheetFormatPr defaultRowHeight="14.5" x14ac:dyDescent="0.35"/>
  <cols>
    <col min="6" max="6" width="8.7265625" customWidth="1"/>
  </cols>
  <sheetData>
    <row r="2" spans="1:18" ht="36" x14ac:dyDescent="0.35">
      <c r="A2" s="54" t="s">
        <v>1039</v>
      </c>
      <c r="B2" s="54" t="s">
        <v>0</v>
      </c>
      <c r="C2" s="54" t="s">
        <v>1040</v>
      </c>
      <c r="D2" s="54" t="s">
        <v>1041</v>
      </c>
      <c r="E2" s="54" t="s">
        <v>1042</v>
      </c>
      <c r="F2" s="54" t="s">
        <v>1043</v>
      </c>
      <c r="G2" s="54" t="s">
        <v>1341</v>
      </c>
      <c r="H2" s="54" t="s">
        <v>1342</v>
      </c>
      <c r="I2" s="54" t="s">
        <v>1044</v>
      </c>
      <c r="J2" s="54" t="s">
        <v>1045</v>
      </c>
      <c r="K2" s="54" t="s">
        <v>1046</v>
      </c>
      <c r="L2" s="54" t="s">
        <v>1047</v>
      </c>
      <c r="M2" s="54" t="s">
        <v>1048</v>
      </c>
      <c r="N2" s="54" t="s">
        <v>1049</v>
      </c>
      <c r="O2" s="54" t="s">
        <v>1050</v>
      </c>
      <c r="P2" s="55" t="s">
        <v>1051</v>
      </c>
      <c r="Q2" s="55" t="s">
        <v>1052</v>
      </c>
      <c r="R2" s="54" t="s">
        <v>1134</v>
      </c>
    </row>
    <row r="3" spans="1:18" x14ac:dyDescent="0.35">
      <c r="A3" s="57"/>
      <c r="B3" s="52" t="s">
        <v>995</v>
      </c>
      <c r="C3" s="52" t="s">
        <v>1135</v>
      </c>
      <c r="D3" s="52" t="s">
        <v>1136</v>
      </c>
      <c r="E3" s="52" t="s">
        <v>1053</v>
      </c>
      <c r="F3" s="52"/>
      <c r="G3" s="52" t="s">
        <v>1343</v>
      </c>
      <c r="H3" s="52" t="s">
        <v>1344</v>
      </c>
      <c r="I3" s="56" t="s">
        <v>1350</v>
      </c>
      <c r="J3" s="56" t="s">
        <v>1351</v>
      </c>
      <c r="K3" s="52" t="s">
        <v>1054</v>
      </c>
      <c r="L3" s="52" t="s">
        <v>1054</v>
      </c>
      <c r="M3" s="52" t="s">
        <v>1054</v>
      </c>
      <c r="N3" s="52">
        <v>1</v>
      </c>
      <c r="O3" s="52">
        <v>0</v>
      </c>
      <c r="P3" s="58">
        <v>6780</v>
      </c>
      <c r="Q3" s="58">
        <f t="shared" ref="Q3:Q66" si="0">P3*1.18</f>
        <v>8000.4</v>
      </c>
      <c r="R3" s="58" t="s">
        <v>1345</v>
      </c>
    </row>
    <row r="4" spans="1:18" x14ac:dyDescent="0.35">
      <c r="A4" s="57"/>
      <c r="B4" s="52" t="s">
        <v>685</v>
      </c>
      <c r="C4" s="52" t="s">
        <v>1135</v>
      </c>
      <c r="D4" s="52" t="s">
        <v>1136</v>
      </c>
      <c r="E4" s="52" t="s">
        <v>1053</v>
      </c>
      <c r="F4" s="52"/>
      <c r="G4" s="52" t="s">
        <v>1343</v>
      </c>
      <c r="H4" s="52" t="s">
        <v>1344</v>
      </c>
      <c r="I4" s="56" t="s">
        <v>1350</v>
      </c>
      <c r="J4" s="56" t="s">
        <v>1351</v>
      </c>
      <c r="K4" s="52" t="s">
        <v>1054</v>
      </c>
      <c r="L4" s="52" t="s">
        <v>1054</v>
      </c>
      <c r="M4" s="52" t="s">
        <v>1054</v>
      </c>
      <c r="N4" s="52">
        <v>1</v>
      </c>
      <c r="O4" s="52">
        <v>0</v>
      </c>
      <c r="P4" s="58">
        <v>6780</v>
      </c>
      <c r="Q4" s="58">
        <f t="shared" si="0"/>
        <v>8000.4</v>
      </c>
      <c r="R4" s="58" t="s">
        <v>1345</v>
      </c>
    </row>
    <row r="5" spans="1:18" x14ac:dyDescent="0.35">
      <c r="A5" s="57"/>
      <c r="B5" s="52" t="s">
        <v>800</v>
      </c>
      <c r="C5" s="52" t="s">
        <v>1135</v>
      </c>
      <c r="D5" s="52" t="s">
        <v>1136</v>
      </c>
      <c r="E5" s="52" t="s">
        <v>1053</v>
      </c>
      <c r="F5" s="52"/>
      <c r="G5" s="52" t="s">
        <v>1343</v>
      </c>
      <c r="H5" s="52" t="s">
        <v>1344</v>
      </c>
      <c r="I5" s="56" t="s">
        <v>1350</v>
      </c>
      <c r="J5" s="56" t="s">
        <v>1351</v>
      </c>
      <c r="K5" s="52" t="s">
        <v>1054</v>
      </c>
      <c r="L5" s="52" t="s">
        <v>1054</v>
      </c>
      <c r="M5" s="52" t="s">
        <v>1054</v>
      </c>
      <c r="N5" s="52">
        <v>1</v>
      </c>
      <c r="O5" s="52">
        <v>0</v>
      </c>
      <c r="P5" s="58">
        <v>1695</v>
      </c>
      <c r="Q5" s="58">
        <f t="shared" si="0"/>
        <v>2000.1</v>
      </c>
      <c r="R5" s="58" t="s">
        <v>1345</v>
      </c>
    </row>
    <row r="6" spans="1:18" x14ac:dyDescent="0.35">
      <c r="A6" s="57"/>
      <c r="B6" s="52" t="s">
        <v>1308</v>
      </c>
      <c r="C6" s="52" t="s">
        <v>1135</v>
      </c>
      <c r="D6" s="52" t="s">
        <v>1136</v>
      </c>
      <c r="E6" s="52" t="s">
        <v>1053</v>
      </c>
      <c r="F6" s="52"/>
      <c r="G6" s="52" t="s">
        <v>1343</v>
      </c>
      <c r="H6" s="52" t="s">
        <v>1344</v>
      </c>
      <c r="I6" s="56" t="s">
        <v>1350</v>
      </c>
      <c r="J6" s="56" t="s">
        <v>1351</v>
      </c>
      <c r="K6" s="52" t="s">
        <v>1054</v>
      </c>
      <c r="L6" s="52" t="s">
        <v>1054</v>
      </c>
      <c r="M6" s="52" t="s">
        <v>1054</v>
      </c>
      <c r="N6" s="52">
        <v>1</v>
      </c>
      <c r="O6" s="52">
        <v>0</v>
      </c>
      <c r="P6" s="58">
        <v>3390</v>
      </c>
      <c r="Q6" s="58">
        <f t="shared" si="0"/>
        <v>4000.2</v>
      </c>
      <c r="R6" s="58" t="s">
        <v>1345</v>
      </c>
    </row>
    <row r="7" spans="1:18" x14ac:dyDescent="0.35">
      <c r="A7" s="57"/>
      <c r="B7" s="52" t="s">
        <v>1113</v>
      </c>
      <c r="C7" s="52" t="s">
        <v>1135</v>
      </c>
      <c r="D7" s="52" t="s">
        <v>1136</v>
      </c>
      <c r="E7" s="52" t="s">
        <v>1053</v>
      </c>
      <c r="F7" s="52"/>
      <c r="G7" s="52" t="s">
        <v>1343</v>
      </c>
      <c r="H7" s="52" t="s">
        <v>1344</v>
      </c>
      <c r="I7" s="56" t="s">
        <v>1350</v>
      </c>
      <c r="J7" s="56" t="s">
        <v>1351</v>
      </c>
      <c r="K7" s="52" t="s">
        <v>1054</v>
      </c>
      <c r="L7" s="52" t="s">
        <v>1054</v>
      </c>
      <c r="M7" s="52" t="s">
        <v>1054</v>
      </c>
      <c r="N7" s="52">
        <v>1</v>
      </c>
      <c r="O7" s="52">
        <v>0</v>
      </c>
      <c r="P7" s="58">
        <v>4237</v>
      </c>
      <c r="Q7" s="58">
        <f t="shared" si="0"/>
        <v>4999.66</v>
      </c>
      <c r="R7" s="58" t="s">
        <v>1345</v>
      </c>
    </row>
    <row r="8" spans="1:18" x14ac:dyDescent="0.35">
      <c r="A8" s="57"/>
      <c r="B8" s="52" t="s">
        <v>1352</v>
      </c>
      <c r="C8" s="52" t="s">
        <v>1135</v>
      </c>
      <c r="D8" s="52" t="s">
        <v>1136</v>
      </c>
      <c r="E8" s="52" t="s">
        <v>1053</v>
      </c>
      <c r="F8" s="52"/>
      <c r="G8" s="52" t="s">
        <v>1343</v>
      </c>
      <c r="H8" s="52" t="s">
        <v>1344</v>
      </c>
      <c r="I8" s="56" t="s">
        <v>1350</v>
      </c>
      <c r="J8" s="56" t="s">
        <v>1351</v>
      </c>
      <c r="K8" s="52" t="s">
        <v>1054</v>
      </c>
      <c r="L8" s="52" t="s">
        <v>1054</v>
      </c>
      <c r="M8" s="52" t="s">
        <v>1054</v>
      </c>
      <c r="N8" s="52">
        <v>1</v>
      </c>
      <c r="O8" s="52">
        <v>0</v>
      </c>
      <c r="P8" s="58">
        <v>4976</v>
      </c>
      <c r="Q8" s="58">
        <f t="shared" si="0"/>
        <v>5871.6799999999994</v>
      </c>
      <c r="R8" s="58" t="s">
        <v>1345</v>
      </c>
    </row>
    <row r="9" spans="1:18" x14ac:dyDescent="0.35">
      <c r="A9" s="57"/>
      <c r="B9" s="52" t="s">
        <v>1303</v>
      </c>
      <c r="C9" s="52" t="s">
        <v>1135</v>
      </c>
      <c r="D9" s="52" t="s">
        <v>1136</v>
      </c>
      <c r="E9" s="52" t="s">
        <v>1053</v>
      </c>
      <c r="F9" s="52"/>
      <c r="G9" s="52" t="s">
        <v>1343</v>
      </c>
      <c r="H9" s="52" t="s">
        <v>1344</v>
      </c>
      <c r="I9" s="56" t="s">
        <v>1350</v>
      </c>
      <c r="J9" s="56" t="s">
        <v>1351</v>
      </c>
      <c r="K9" s="52" t="s">
        <v>1054</v>
      </c>
      <c r="L9" s="52" t="s">
        <v>1054</v>
      </c>
      <c r="M9" s="52" t="s">
        <v>1054</v>
      </c>
      <c r="N9" s="52">
        <v>1</v>
      </c>
      <c r="O9" s="52">
        <v>0</v>
      </c>
      <c r="P9" s="58">
        <v>1154</v>
      </c>
      <c r="Q9" s="58">
        <f t="shared" si="0"/>
        <v>1361.72</v>
      </c>
      <c r="R9" s="58" t="s">
        <v>1345</v>
      </c>
    </row>
    <row r="10" spans="1:18" x14ac:dyDescent="0.35">
      <c r="A10" s="57"/>
      <c r="B10" s="52" t="s">
        <v>1169</v>
      </c>
      <c r="C10" s="52" t="s">
        <v>1135</v>
      </c>
      <c r="D10" s="52" t="s">
        <v>1136</v>
      </c>
      <c r="E10" s="52" t="s">
        <v>1053</v>
      </c>
      <c r="F10" s="52"/>
      <c r="G10" s="52" t="s">
        <v>1343</v>
      </c>
      <c r="H10" s="52" t="s">
        <v>1344</v>
      </c>
      <c r="I10" s="56" t="s">
        <v>1350</v>
      </c>
      <c r="J10" s="56" t="s">
        <v>1351</v>
      </c>
      <c r="K10" s="52" t="s">
        <v>1054</v>
      </c>
      <c r="L10" s="52" t="s">
        <v>1054</v>
      </c>
      <c r="M10" s="52" t="s">
        <v>1054</v>
      </c>
      <c r="N10" s="52">
        <v>1</v>
      </c>
      <c r="O10" s="52">
        <v>0</v>
      </c>
      <c r="P10" s="58">
        <v>3390</v>
      </c>
      <c r="Q10" s="58">
        <f t="shared" si="0"/>
        <v>4000.2</v>
      </c>
      <c r="R10" s="58" t="s">
        <v>1345</v>
      </c>
    </row>
    <row r="11" spans="1:18" x14ac:dyDescent="0.35">
      <c r="A11" s="57"/>
      <c r="B11" s="52" t="s">
        <v>449</v>
      </c>
      <c r="C11" s="52" t="s">
        <v>1135</v>
      </c>
      <c r="D11" s="52" t="s">
        <v>1136</v>
      </c>
      <c r="E11" s="52" t="s">
        <v>1053</v>
      </c>
      <c r="F11" s="52"/>
      <c r="G11" s="52" t="s">
        <v>1343</v>
      </c>
      <c r="H11" s="52" t="s">
        <v>1344</v>
      </c>
      <c r="I11" s="56" t="s">
        <v>1350</v>
      </c>
      <c r="J11" s="56" t="s">
        <v>1351</v>
      </c>
      <c r="K11" s="52" t="s">
        <v>1054</v>
      </c>
      <c r="L11" s="52" t="s">
        <v>1054</v>
      </c>
      <c r="M11" s="52" t="s">
        <v>1054</v>
      </c>
      <c r="N11" s="52">
        <v>1</v>
      </c>
      <c r="O11" s="52">
        <v>0</v>
      </c>
      <c r="P11" s="58">
        <v>2403</v>
      </c>
      <c r="Q11" s="58">
        <f t="shared" si="0"/>
        <v>2835.54</v>
      </c>
      <c r="R11" s="58" t="s">
        <v>1345</v>
      </c>
    </row>
    <row r="12" spans="1:18" x14ac:dyDescent="0.35">
      <c r="A12" s="57"/>
      <c r="B12" s="52" t="s">
        <v>1333</v>
      </c>
      <c r="C12" s="52" t="s">
        <v>1135</v>
      </c>
      <c r="D12" s="52" t="s">
        <v>1136</v>
      </c>
      <c r="E12" s="52" t="s">
        <v>1053</v>
      </c>
      <c r="F12" s="52"/>
      <c r="G12" s="52" t="s">
        <v>1343</v>
      </c>
      <c r="H12" s="52" t="s">
        <v>1344</v>
      </c>
      <c r="I12" s="56" t="s">
        <v>1350</v>
      </c>
      <c r="J12" s="56" t="s">
        <v>1351</v>
      </c>
      <c r="K12" s="52" t="s">
        <v>1054</v>
      </c>
      <c r="L12" s="52" t="s">
        <v>1054</v>
      </c>
      <c r="M12" s="52" t="s">
        <v>1054</v>
      </c>
      <c r="N12" s="52">
        <v>1</v>
      </c>
      <c r="O12" s="52">
        <v>0</v>
      </c>
      <c r="P12" s="58">
        <v>5090</v>
      </c>
      <c r="Q12" s="58">
        <f t="shared" si="0"/>
        <v>6006.2</v>
      </c>
      <c r="R12" s="58" t="s">
        <v>1345</v>
      </c>
    </row>
    <row r="13" spans="1:18" x14ac:dyDescent="0.35">
      <c r="A13" s="57"/>
      <c r="B13" s="52" t="s">
        <v>990</v>
      </c>
      <c r="C13" s="52" t="s">
        <v>1135</v>
      </c>
      <c r="D13" s="52" t="s">
        <v>1136</v>
      </c>
      <c r="E13" s="52" t="s">
        <v>1053</v>
      </c>
      <c r="F13" s="52"/>
      <c r="G13" s="52" t="s">
        <v>1343</v>
      </c>
      <c r="H13" s="52" t="s">
        <v>1344</v>
      </c>
      <c r="I13" s="56" t="s">
        <v>1350</v>
      </c>
      <c r="J13" s="56" t="s">
        <v>1351</v>
      </c>
      <c r="K13" s="52" t="s">
        <v>1054</v>
      </c>
      <c r="L13" s="52" t="s">
        <v>1054</v>
      </c>
      <c r="M13" s="52" t="s">
        <v>1054</v>
      </c>
      <c r="N13" s="52">
        <v>1</v>
      </c>
      <c r="O13" s="52">
        <v>0</v>
      </c>
      <c r="P13" s="58">
        <v>455</v>
      </c>
      <c r="Q13" s="58">
        <f t="shared" si="0"/>
        <v>536.9</v>
      </c>
      <c r="R13" s="58" t="s">
        <v>1345</v>
      </c>
    </row>
    <row r="14" spans="1:18" x14ac:dyDescent="0.35">
      <c r="A14" s="57"/>
      <c r="B14" s="52" t="s">
        <v>1324</v>
      </c>
      <c r="C14" s="52" t="s">
        <v>1135</v>
      </c>
      <c r="D14" s="52" t="s">
        <v>1136</v>
      </c>
      <c r="E14" s="52" t="s">
        <v>1053</v>
      </c>
      <c r="F14" s="52"/>
      <c r="G14" s="52" t="s">
        <v>1343</v>
      </c>
      <c r="H14" s="52" t="s">
        <v>1344</v>
      </c>
      <c r="I14" s="56" t="s">
        <v>1350</v>
      </c>
      <c r="J14" s="56" t="s">
        <v>1351</v>
      </c>
      <c r="K14" s="52" t="s">
        <v>1054</v>
      </c>
      <c r="L14" s="52" t="s">
        <v>1054</v>
      </c>
      <c r="M14" s="52" t="s">
        <v>1054</v>
      </c>
      <c r="N14" s="52">
        <v>1</v>
      </c>
      <c r="O14" s="52">
        <v>0</v>
      </c>
      <c r="P14" s="58">
        <v>2403</v>
      </c>
      <c r="Q14" s="58">
        <f t="shared" si="0"/>
        <v>2835.54</v>
      </c>
      <c r="R14" s="58" t="s">
        <v>1345</v>
      </c>
    </row>
    <row r="15" spans="1:18" x14ac:dyDescent="0.35">
      <c r="A15" s="57"/>
      <c r="B15" s="52" t="s">
        <v>1353</v>
      </c>
      <c r="C15" s="52" t="s">
        <v>1135</v>
      </c>
      <c r="D15" s="52" t="s">
        <v>1136</v>
      </c>
      <c r="E15" s="52" t="s">
        <v>1053</v>
      </c>
      <c r="F15" s="52"/>
      <c r="G15" s="52" t="s">
        <v>1343</v>
      </c>
      <c r="H15" s="52" t="s">
        <v>1344</v>
      </c>
      <c r="I15" s="56" t="s">
        <v>1350</v>
      </c>
      <c r="J15" s="56" t="s">
        <v>1351</v>
      </c>
      <c r="K15" s="52" t="s">
        <v>1054</v>
      </c>
      <c r="L15" s="52" t="s">
        <v>1054</v>
      </c>
      <c r="M15" s="52" t="s">
        <v>1054</v>
      </c>
      <c r="N15" s="52">
        <v>1</v>
      </c>
      <c r="O15" s="52">
        <v>0</v>
      </c>
      <c r="P15" s="58">
        <v>3390</v>
      </c>
      <c r="Q15" s="58">
        <f t="shared" si="0"/>
        <v>4000.2</v>
      </c>
      <c r="R15" s="58" t="s">
        <v>1345</v>
      </c>
    </row>
    <row r="16" spans="1:18" x14ac:dyDescent="0.35">
      <c r="A16" s="57"/>
      <c r="B16" s="52" t="s">
        <v>1065</v>
      </c>
      <c r="C16" s="52" t="s">
        <v>1135</v>
      </c>
      <c r="D16" s="52" t="s">
        <v>1136</v>
      </c>
      <c r="E16" s="52" t="s">
        <v>1053</v>
      </c>
      <c r="F16" s="52"/>
      <c r="G16" s="52" t="s">
        <v>1343</v>
      </c>
      <c r="H16" s="52" t="s">
        <v>1344</v>
      </c>
      <c r="I16" s="56" t="s">
        <v>1350</v>
      </c>
      <c r="J16" s="56" t="s">
        <v>1351</v>
      </c>
      <c r="K16" s="52" t="s">
        <v>1054</v>
      </c>
      <c r="L16" s="52" t="s">
        <v>1054</v>
      </c>
      <c r="M16" s="52" t="s">
        <v>1054</v>
      </c>
      <c r="N16" s="52">
        <v>1</v>
      </c>
      <c r="O16" s="52">
        <v>0</v>
      </c>
      <c r="P16" s="58">
        <v>1695</v>
      </c>
      <c r="Q16" s="58">
        <f t="shared" si="0"/>
        <v>2000.1</v>
      </c>
      <c r="R16" s="58" t="s">
        <v>1345</v>
      </c>
    </row>
    <row r="17" spans="1:18" x14ac:dyDescent="0.35">
      <c r="A17" s="57"/>
      <c r="B17" s="52" t="s">
        <v>453</v>
      </c>
      <c r="C17" s="52" t="s">
        <v>1135</v>
      </c>
      <c r="D17" s="52" t="s">
        <v>1136</v>
      </c>
      <c r="E17" s="52" t="s">
        <v>1053</v>
      </c>
      <c r="F17" s="52"/>
      <c r="G17" s="52" t="s">
        <v>1343</v>
      </c>
      <c r="H17" s="52" t="s">
        <v>1344</v>
      </c>
      <c r="I17" s="56" t="s">
        <v>1350</v>
      </c>
      <c r="J17" s="56" t="s">
        <v>1351</v>
      </c>
      <c r="K17" s="52" t="s">
        <v>1054</v>
      </c>
      <c r="L17" s="52" t="s">
        <v>1054</v>
      </c>
      <c r="M17" s="52" t="s">
        <v>1054</v>
      </c>
      <c r="N17" s="52">
        <v>1</v>
      </c>
      <c r="O17" s="52">
        <v>0</v>
      </c>
      <c r="P17" s="58">
        <v>5556</v>
      </c>
      <c r="Q17" s="58">
        <f t="shared" si="0"/>
        <v>6556.08</v>
      </c>
      <c r="R17" s="58" t="s">
        <v>1345</v>
      </c>
    </row>
    <row r="18" spans="1:18" x14ac:dyDescent="0.35">
      <c r="A18" s="57"/>
      <c r="B18" s="52" t="s">
        <v>236</v>
      </c>
      <c r="C18" s="52" t="s">
        <v>1135</v>
      </c>
      <c r="D18" s="52" t="s">
        <v>1136</v>
      </c>
      <c r="E18" s="52" t="s">
        <v>1053</v>
      </c>
      <c r="F18" s="52"/>
      <c r="G18" s="52" t="s">
        <v>1343</v>
      </c>
      <c r="H18" s="52" t="s">
        <v>1344</v>
      </c>
      <c r="I18" s="56" t="s">
        <v>1350</v>
      </c>
      <c r="J18" s="56" t="s">
        <v>1351</v>
      </c>
      <c r="K18" s="52" t="s">
        <v>1054</v>
      </c>
      <c r="L18" s="52" t="s">
        <v>1054</v>
      </c>
      <c r="M18" s="52" t="s">
        <v>1054</v>
      </c>
      <c r="N18" s="52">
        <v>1</v>
      </c>
      <c r="O18" s="52">
        <v>0</v>
      </c>
      <c r="P18" s="58">
        <v>1695</v>
      </c>
      <c r="Q18" s="58">
        <f t="shared" si="0"/>
        <v>2000.1</v>
      </c>
      <c r="R18" s="58" t="s">
        <v>1345</v>
      </c>
    </row>
    <row r="19" spans="1:18" x14ac:dyDescent="0.35">
      <c r="A19" s="57"/>
      <c r="B19" s="52" t="s">
        <v>1332</v>
      </c>
      <c r="C19" s="52" t="s">
        <v>1135</v>
      </c>
      <c r="D19" s="52" t="s">
        <v>1136</v>
      </c>
      <c r="E19" s="52" t="s">
        <v>1053</v>
      </c>
      <c r="F19" s="52"/>
      <c r="G19" s="52" t="s">
        <v>1343</v>
      </c>
      <c r="H19" s="52" t="s">
        <v>1344</v>
      </c>
      <c r="I19" s="56" t="s">
        <v>1350</v>
      </c>
      <c r="J19" s="56" t="s">
        <v>1351</v>
      </c>
      <c r="K19" s="52" t="s">
        <v>1054</v>
      </c>
      <c r="L19" s="52" t="s">
        <v>1054</v>
      </c>
      <c r="M19" s="52" t="s">
        <v>1054</v>
      </c>
      <c r="N19" s="52">
        <v>1</v>
      </c>
      <c r="O19" s="52">
        <v>0</v>
      </c>
      <c r="P19" s="58">
        <v>1388</v>
      </c>
      <c r="Q19" s="58">
        <f t="shared" si="0"/>
        <v>1637.84</v>
      </c>
      <c r="R19" s="58" t="s">
        <v>1345</v>
      </c>
    </row>
    <row r="20" spans="1:18" x14ac:dyDescent="0.35">
      <c r="A20" s="57"/>
      <c r="B20" s="52" t="s">
        <v>978</v>
      </c>
      <c r="C20" s="52" t="s">
        <v>1135</v>
      </c>
      <c r="D20" s="52" t="s">
        <v>1136</v>
      </c>
      <c r="E20" s="52" t="s">
        <v>1053</v>
      </c>
      <c r="F20" s="52"/>
      <c r="G20" s="52" t="s">
        <v>1343</v>
      </c>
      <c r="H20" s="52" t="s">
        <v>1344</v>
      </c>
      <c r="I20" s="56" t="s">
        <v>1350</v>
      </c>
      <c r="J20" s="56" t="s">
        <v>1351</v>
      </c>
      <c r="K20" s="52" t="s">
        <v>1054</v>
      </c>
      <c r="L20" s="52" t="s">
        <v>1054</v>
      </c>
      <c r="M20" s="52" t="s">
        <v>1054</v>
      </c>
      <c r="N20" s="52">
        <v>1</v>
      </c>
      <c r="O20" s="52">
        <v>0</v>
      </c>
      <c r="P20" s="58">
        <v>3813</v>
      </c>
      <c r="Q20" s="58">
        <f t="shared" si="0"/>
        <v>4499.34</v>
      </c>
      <c r="R20" s="58" t="s">
        <v>1345</v>
      </c>
    </row>
    <row r="21" spans="1:18" x14ac:dyDescent="0.35">
      <c r="A21" s="57"/>
      <c r="B21" s="52" t="s">
        <v>972</v>
      </c>
      <c r="C21" s="52" t="s">
        <v>1135</v>
      </c>
      <c r="D21" s="52" t="s">
        <v>1136</v>
      </c>
      <c r="E21" s="52" t="s">
        <v>1053</v>
      </c>
      <c r="F21" s="52"/>
      <c r="G21" s="52" t="s">
        <v>1343</v>
      </c>
      <c r="H21" s="52" t="s">
        <v>1344</v>
      </c>
      <c r="I21" s="56" t="s">
        <v>1350</v>
      </c>
      <c r="J21" s="56" t="s">
        <v>1351</v>
      </c>
      <c r="K21" s="52" t="s">
        <v>1054</v>
      </c>
      <c r="L21" s="52" t="s">
        <v>1054</v>
      </c>
      <c r="M21" s="52" t="s">
        <v>1054</v>
      </c>
      <c r="N21" s="52">
        <v>1</v>
      </c>
      <c r="O21" s="52">
        <v>0</v>
      </c>
      <c r="P21" s="58">
        <v>3814</v>
      </c>
      <c r="Q21" s="58">
        <f t="shared" si="0"/>
        <v>4500.5199999999995</v>
      </c>
      <c r="R21" s="58" t="s">
        <v>1345</v>
      </c>
    </row>
    <row r="22" spans="1:18" x14ac:dyDescent="0.35">
      <c r="A22" s="57"/>
      <c r="B22" s="52" t="s">
        <v>981</v>
      </c>
      <c r="C22" s="52" t="s">
        <v>1135</v>
      </c>
      <c r="D22" s="52" t="s">
        <v>1136</v>
      </c>
      <c r="E22" s="52" t="s">
        <v>1053</v>
      </c>
      <c r="F22" s="52"/>
      <c r="G22" s="52" t="s">
        <v>1343</v>
      </c>
      <c r="H22" s="52" t="s">
        <v>1344</v>
      </c>
      <c r="I22" s="56" t="s">
        <v>1350</v>
      </c>
      <c r="J22" s="56" t="s">
        <v>1351</v>
      </c>
      <c r="K22" s="52" t="s">
        <v>1054</v>
      </c>
      <c r="L22" s="52" t="s">
        <v>1054</v>
      </c>
      <c r="M22" s="52" t="s">
        <v>1054</v>
      </c>
      <c r="N22" s="52">
        <v>1</v>
      </c>
      <c r="O22" s="52">
        <v>0</v>
      </c>
      <c r="P22" s="58">
        <v>5556</v>
      </c>
      <c r="Q22" s="58">
        <f t="shared" si="0"/>
        <v>6556.08</v>
      </c>
      <c r="R22" s="58" t="s">
        <v>1345</v>
      </c>
    </row>
    <row r="23" spans="1:18" x14ac:dyDescent="0.35">
      <c r="A23" s="57"/>
      <c r="B23" s="52" t="s">
        <v>446</v>
      </c>
      <c r="C23" s="52" t="s">
        <v>1135</v>
      </c>
      <c r="D23" s="52" t="s">
        <v>1136</v>
      </c>
      <c r="E23" s="52" t="s">
        <v>1053</v>
      </c>
      <c r="F23" s="52"/>
      <c r="G23" s="52" t="s">
        <v>1343</v>
      </c>
      <c r="H23" s="52" t="s">
        <v>1344</v>
      </c>
      <c r="I23" s="56" t="s">
        <v>1350</v>
      </c>
      <c r="J23" s="56" t="s">
        <v>1351</v>
      </c>
      <c r="K23" s="52" t="s">
        <v>1054</v>
      </c>
      <c r="L23" s="52" t="s">
        <v>1054</v>
      </c>
      <c r="M23" s="52" t="s">
        <v>1054</v>
      </c>
      <c r="N23" s="52">
        <v>1</v>
      </c>
      <c r="O23" s="52">
        <v>0</v>
      </c>
      <c r="P23" s="58">
        <v>3390</v>
      </c>
      <c r="Q23" s="58">
        <f t="shared" si="0"/>
        <v>4000.2</v>
      </c>
      <c r="R23" s="58" t="s">
        <v>1345</v>
      </c>
    </row>
    <row r="24" spans="1:18" x14ac:dyDescent="0.35">
      <c r="A24" s="57"/>
      <c r="B24" s="52" t="s">
        <v>433</v>
      </c>
      <c r="C24" s="52" t="s">
        <v>1135</v>
      </c>
      <c r="D24" s="52" t="s">
        <v>1136</v>
      </c>
      <c r="E24" s="52" t="s">
        <v>1053</v>
      </c>
      <c r="F24" s="52"/>
      <c r="G24" s="52" t="s">
        <v>1343</v>
      </c>
      <c r="H24" s="52" t="s">
        <v>1344</v>
      </c>
      <c r="I24" s="56" t="s">
        <v>1350</v>
      </c>
      <c r="J24" s="56" t="s">
        <v>1351</v>
      </c>
      <c r="K24" s="52" t="s">
        <v>1054</v>
      </c>
      <c r="L24" s="52" t="s">
        <v>1054</v>
      </c>
      <c r="M24" s="52" t="s">
        <v>1054</v>
      </c>
      <c r="N24" s="52">
        <v>1</v>
      </c>
      <c r="O24" s="52">
        <v>0</v>
      </c>
      <c r="P24" s="58">
        <v>3836</v>
      </c>
      <c r="Q24" s="58">
        <f t="shared" si="0"/>
        <v>4526.4799999999996</v>
      </c>
      <c r="R24" s="58" t="s">
        <v>1345</v>
      </c>
    </row>
    <row r="25" spans="1:18" x14ac:dyDescent="0.35">
      <c r="A25" s="57"/>
      <c r="B25" s="52" t="s">
        <v>1066</v>
      </c>
      <c r="C25" s="52" t="s">
        <v>1135</v>
      </c>
      <c r="D25" s="52" t="s">
        <v>1136</v>
      </c>
      <c r="E25" s="52" t="s">
        <v>1053</v>
      </c>
      <c r="F25" s="52"/>
      <c r="G25" s="52" t="s">
        <v>1343</v>
      </c>
      <c r="H25" s="52" t="s">
        <v>1344</v>
      </c>
      <c r="I25" s="56" t="s">
        <v>1350</v>
      </c>
      <c r="J25" s="56" t="s">
        <v>1351</v>
      </c>
      <c r="K25" s="52" t="s">
        <v>1054</v>
      </c>
      <c r="L25" s="52" t="s">
        <v>1054</v>
      </c>
      <c r="M25" s="52" t="s">
        <v>1054</v>
      </c>
      <c r="N25" s="52">
        <v>1</v>
      </c>
      <c r="O25" s="52">
        <v>0</v>
      </c>
      <c r="P25" s="58">
        <v>6310</v>
      </c>
      <c r="Q25" s="58">
        <f t="shared" si="0"/>
        <v>7445.7999999999993</v>
      </c>
      <c r="R25" s="58" t="s">
        <v>1345</v>
      </c>
    </row>
    <row r="26" spans="1:18" x14ac:dyDescent="0.35">
      <c r="A26" s="57"/>
      <c r="B26" s="52" t="s">
        <v>456</v>
      </c>
      <c r="C26" s="52" t="s">
        <v>1135</v>
      </c>
      <c r="D26" s="52" t="s">
        <v>1136</v>
      </c>
      <c r="E26" s="52" t="s">
        <v>1053</v>
      </c>
      <c r="F26" s="52"/>
      <c r="G26" s="52" t="s">
        <v>1343</v>
      </c>
      <c r="H26" s="52" t="s">
        <v>1344</v>
      </c>
      <c r="I26" s="56" t="s">
        <v>1350</v>
      </c>
      <c r="J26" s="56" t="s">
        <v>1351</v>
      </c>
      <c r="K26" s="52" t="s">
        <v>1054</v>
      </c>
      <c r="L26" s="52" t="s">
        <v>1054</v>
      </c>
      <c r="M26" s="52" t="s">
        <v>1054</v>
      </c>
      <c r="N26" s="52">
        <v>1</v>
      </c>
      <c r="O26" s="52">
        <v>0</v>
      </c>
      <c r="P26" s="58">
        <v>6310</v>
      </c>
      <c r="Q26" s="58">
        <f t="shared" si="0"/>
        <v>7445.7999999999993</v>
      </c>
      <c r="R26" s="58" t="s">
        <v>1345</v>
      </c>
    </row>
    <row r="27" spans="1:18" x14ac:dyDescent="0.35">
      <c r="A27" s="57"/>
      <c r="B27" s="52" t="s">
        <v>435</v>
      </c>
      <c r="C27" s="52" t="s">
        <v>1135</v>
      </c>
      <c r="D27" s="52" t="s">
        <v>1136</v>
      </c>
      <c r="E27" s="52" t="s">
        <v>1053</v>
      </c>
      <c r="F27" s="52"/>
      <c r="G27" s="52" t="s">
        <v>1343</v>
      </c>
      <c r="H27" s="52" t="s">
        <v>1344</v>
      </c>
      <c r="I27" s="56" t="s">
        <v>1350</v>
      </c>
      <c r="J27" s="56" t="s">
        <v>1351</v>
      </c>
      <c r="K27" s="52" t="s">
        <v>1054</v>
      </c>
      <c r="L27" s="52" t="s">
        <v>1054</v>
      </c>
      <c r="M27" s="52" t="s">
        <v>1054</v>
      </c>
      <c r="N27" s="52">
        <v>1</v>
      </c>
      <c r="O27" s="52">
        <v>0</v>
      </c>
      <c r="P27" s="58">
        <v>2542</v>
      </c>
      <c r="Q27" s="58">
        <f t="shared" si="0"/>
        <v>2999.56</v>
      </c>
      <c r="R27" s="58" t="s">
        <v>1345</v>
      </c>
    </row>
    <row r="28" spans="1:18" x14ac:dyDescent="0.35">
      <c r="A28" s="57"/>
      <c r="B28" s="52" t="s">
        <v>613</v>
      </c>
      <c r="C28" s="52" t="s">
        <v>1135</v>
      </c>
      <c r="D28" s="52" t="s">
        <v>1136</v>
      </c>
      <c r="E28" s="52" t="s">
        <v>1053</v>
      </c>
      <c r="F28" s="52"/>
      <c r="G28" s="52" t="s">
        <v>1343</v>
      </c>
      <c r="H28" s="52" t="s">
        <v>1344</v>
      </c>
      <c r="I28" s="56" t="s">
        <v>1350</v>
      </c>
      <c r="J28" s="56" t="s">
        <v>1351</v>
      </c>
      <c r="K28" s="52" t="s">
        <v>1054</v>
      </c>
      <c r="L28" s="52" t="s">
        <v>1054</v>
      </c>
      <c r="M28" s="52" t="s">
        <v>1054</v>
      </c>
      <c r="N28" s="52">
        <v>1</v>
      </c>
      <c r="O28" s="52">
        <v>0</v>
      </c>
      <c r="P28" s="58">
        <v>4237</v>
      </c>
      <c r="Q28" s="58">
        <f t="shared" si="0"/>
        <v>4999.66</v>
      </c>
      <c r="R28" s="58" t="s">
        <v>1345</v>
      </c>
    </row>
    <row r="29" spans="1:18" x14ac:dyDescent="0.35">
      <c r="A29" s="57"/>
      <c r="B29" s="52" t="s">
        <v>454</v>
      </c>
      <c r="C29" s="52" t="s">
        <v>1135</v>
      </c>
      <c r="D29" s="52" t="s">
        <v>1136</v>
      </c>
      <c r="E29" s="52" t="s">
        <v>1053</v>
      </c>
      <c r="F29" s="52"/>
      <c r="G29" s="52" t="s">
        <v>1343</v>
      </c>
      <c r="H29" s="52" t="s">
        <v>1344</v>
      </c>
      <c r="I29" s="56" t="s">
        <v>1350</v>
      </c>
      <c r="J29" s="56" t="s">
        <v>1351</v>
      </c>
      <c r="K29" s="52" t="s">
        <v>1054</v>
      </c>
      <c r="L29" s="52" t="s">
        <v>1054</v>
      </c>
      <c r="M29" s="52" t="s">
        <v>1054</v>
      </c>
      <c r="N29" s="52">
        <v>1</v>
      </c>
      <c r="O29" s="52">
        <v>0</v>
      </c>
      <c r="P29" s="58">
        <v>3154</v>
      </c>
      <c r="Q29" s="58">
        <f t="shared" si="0"/>
        <v>3721.72</v>
      </c>
      <c r="R29" s="58" t="s">
        <v>1345</v>
      </c>
    </row>
    <row r="30" spans="1:18" x14ac:dyDescent="0.35">
      <c r="A30" s="57"/>
      <c r="B30" s="52" t="s">
        <v>1141</v>
      </c>
      <c r="C30" s="52" t="s">
        <v>1135</v>
      </c>
      <c r="D30" s="52" t="s">
        <v>1136</v>
      </c>
      <c r="E30" s="52" t="s">
        <v>1053</v>
      </c>
      <c r="F30" s="52"/>
      <c r="G30" s="52" t="s">
        <v>1343</v>
      </c>
      <c r="H30" s="52" t="s">
        <v>1344</v>
      </c>
      <c r="I30" s="56" t="s">
        <v>1350</v>
      </c>
      <c r="J30" s="56" t="s">
        <v>1351</v>
      </c>
      <c r="K30" s="52" t="s">
        <v>1054</v>
      </c>
      <c r="L30" s="52" t="s">
        <v>1054</v>
      </c>
      <c r="M30" s="52" t="s">
        <v>1054</v>
      </c>
      <c r="N30" s="52">
        <v>1</v>
      </c>
      <c r="O30" s="52">
        <v>0</v>
      </c>
      <c r="P30" s="58">
        <v>4237</v>
      </c>
      <c r="Q30" s="58">
        <f t="shared" si="0"/>
        <v>4999.66</v>
      </c>
      <c r="R30" s="58" t="s">
        <v>1345</v>
      </c>
    </row>
    <row r="31" spans="1:18" x14ac:dyDescent="0.35">
      <c r="A31" s="57"/>
      <c r="B31" s="52" t="s">
        <v>986</v>
      </c>
      <c r="C31" s="52" t="s">
        <v>1135</v>
      </c>
      <c r="D31" s="52" t="s">
        <v>1136</v>
      </c>
      <c r="E31" s="52" t="s">
        <v>1053</v>
      </c>
      <c r="F31" s="52"/>
      <c r="G31" s="52" t="s">
        <v>1343</v>
      </c>
      <c r="H31" s="52" t="s">
        <v>1344</v>
      </c>
      <c r="I31" s="56" t="s">
        <v>1350</v>
      </c>
      <c r="J31" s="56" t="s">
        <v>1351</v>
      </c>
      <c r="K31" s="52" t="s">
        <v>1054</v>
      </c>
      <c r="L31" s="52" t="s">
        <v>1054</v>
      </c>
      <c r="M31" s="52" t="s">
        <v>1054</v>
      </c>
      <c r="N31" s="52">
        <v>1</v>
      </c>
      <c r="O31" s="52">
        <v>0</v>
      </c>
      <c r="P31" s="58">
        <v>4237</v>
      </c>
      <c r="Q31" s="58">
        <f t="shared" si="0"/>
        <v>4999.66</v>
      </c>
      <c r="R31" s="58" t="s">
        <v>1345</v>
      </c>
    </row>
    <row r="32" spans="1:18" x14ac:dyDescent="0.35">
      <c r="A32" s="57"/>
      <c r="B32" s="52" t="s">
        <v>1188</v>
      </c>
      <c r="C32" s="52" t="s">
        <v>1135</v>
      </c>
      <c r="D32" s="52" t="s">
        <v>1136</v>
      </c>
      <c r="E32" s="52" t="s">
        <v>1053</v>
      </c>
      <c r="F32" s="52"/>
      <c r="G32" s="52" t="s">
        <v>1343</v>
      </c>
      <c r="H32" s="52" t="s">
        <v>1344</v>
      </c>
      <c r="I32" s="56" t="s">
        <v>1350</v>
      </c>
      <c r="J32" s="56" t="s">
        <v>1351</v>
      </c>
      <c r="K32" s="52" t="s">
        <v>1054</v>
      </c>
      <c r="L32" s="52" t="s">
        <v>1054</v>
      </c>
      <c r="M32" s="52" t="s">
        <v>1054</v>
      </c>
      <c r="N32" s="52">
        <v>1</v>
      </c>
      <c r="O32" s="52">
        <v>0</v>
      </c>
      <c r="P32" s="58">
        <v>1353</v>
      </c>
      <c r="Q32" s="58">
        <f t="shared" si="0"/>
        <v>1596.54</v>
      </c>
      <c r="R32" s="58" t="s">
        <v>1345</v>
      </c>
    </row>
    <row r="33" spans="1:18" x14ac:dyDescent="0.35">
      <c r="A33" s="57"/>
      <c r="B33" s="52" t="s">
        <v>987</v>
      </c>
      <c r="C33" s="52" t="s">
        <v>1135</v>
      </c>
      <c r="D33" s="52" t="s">
        <v>1136</v>
      </c>
      <c r="E33" s="52" t="s">
        <v>1053</v>
      </c>
      <c r="F33" s="52"/>
      <c r="G33" s="52" t="s">
        <v>1343</v>
      </c>
      <c r="H33" s="52" t="s">
        <v>1344</v>
      </c>
      <c r="I33" s="56" t="s">
        <v>1350</v>
      </c>
      <c r="J33" s="56" t="s">
        <v>1351</v>
      </c>
      <c r="K33" s="52" t="s">
        <v>1054</v>
      </c>
      <c r="L33" s="52" t="s">
        <v>1054</v>
      </c>
      <c r="M33" s="52" t="s">
        <v>1054</v>
      </c>
      <c r="N33" s="52">
        <v>1</v>
      </c>
      <c r="O33" s="52">
        <v>0</v>
      </c>
      <c r="P33" s="58">
        <v>5932</v>
      </c>
      <c r="Q33" s="58">
        <f t="shared" si="0"/>
        <v>6999.7599999999993</v>
      </c>
      <c r="R33" s="58" t="s">
        <v>1345</v>
      </c>
    </row>
    <row r="34" spans="1:18" x14ac:dyDescent="0.35">
      <c r="A34" s="57"/>
      <c r="B34" s="52" t="s">
        <v>982</v>
      </c>
      <c r="C34" s="52" t="s">
        <v>1135</v>
      </c>
      <c r="D34" s="52" t="s">
        <v>1136</v>
      </c>
      <c r="E34" s="52" t="s">
        <v>1053</v>
      </c>
      <c r="F34" s="52"/>
      <c r="G34" s="52" t="s">
        <v>1343</v>
      </c>
      <c r="H34" s="52" t="s">
        <v>1344</v>
      </c>
      <c r="I34" s="56" t="s">
        <v>1350</v>
      </c>
      <c r="J34" s="56" t="s">
        <v>1351</v>
      </c>
      <c r="K34" s="52" t="s">
        <v>1054</v>
      </c>
      <c r="L34" s="52" t="s">
        <v>1054</v>
      </c>
      <c r="M34" s="52" t="s">
        <v>1054</v>
      </c>
      <c r="N34" s="52">
        <v>1</v>
      </c>
      <c r="O34" s="52">
        <v>0</v>
      </c>
      <c r="P34" s="58">
        <v>5932</v>
      </c>
      <c r="Q34" s="58">
        <f t="shared" si="0"/>
        <v>6999.7599999999993</v>
      </c>
      <c r="R34" s="58" t="s">
        <v>1345</v>
      </c>
    </row>
    <row r="35" spans="1:18" x14ac:dyDescent="0.35">
      <c r="A35" s="57"/>
      <c r="B35" s="52" t="s">
        <v>983</v>
      </c>
      <c r="C35" s="52" t="s">
        <v>1135</v>
      </c>
      <c r="D35" s="52" t="s">
        <v>1136</v>
      </c>
      <c r="E35" s="52" t="s">
        <v>1053</v>
      </c>
      <c r="F35" s="52"/>
      <c r="G35" s="52" t="s">
        <v>1343</v>
      </c>
      <c r="H35" s="52" t="s">
        <v>1344</v>
      </c>
      <c r="I35" s="56" t="s">
        <v>1350</v>
      </c>
      <c r="J35" s="56" t="s">
        <v>1351</v>
      </c>
      <c r="K35" s="52" t="s">
        <v>1054</v>
      </c>
      <c r="L35" s="52" t="s">
        <v>1054</v>
      </c>
      <c r="M35" s="52" t="s">
        <v>1054</v>
      </c>
      <c r="N35" s="52">
        <v>1</v>
      </c>
      <c r="O35" s="52">
        <v>0</v>
      </c>
      <c r="P35" s="58">
        <v>3738</v>
      </c>
      <c r="Q35" s="58">
        <f t="shared" si="0"/>
        <v>4410.84</v>
      </c>
      <c r="R35" s="58" t="s">
        <v>1345</v>
      </c>
    </row>
    <row r="36" spans="1:18" x14ac:dyDescent="0.35">
      <c r="A36" s="57"/>
      <c r="B36" s="52" t="s">
        <v>1015</v>
      </c>
      <c r="C36" s="52" t="s">
        <v>1135</v>
      </c>
      <c r="D36" s="52" t="s">
        <v>1136</v>
      </c>
      <c r="E36" s="52" t="s">
        <v>1053</v>
      </c>
      <c r="F36" s="52"/>
      <c r="G36" s="52" t="s">
        <v>1343</v>
      </c>
      <c r="H36" s="52" t="s">
        <v>1344</v>
      </c>
      <c r="I36" s="56" t="s">
        <v>1350</v>
      </c>
      <c r="J36" s="56" t="s">
        <v>1351</v>
      </c>
      <c r="K36" s="52" t="s">
        <v>1054</v>
      </c>
      <c r="L36" s="52" t="s">
        <v>1054</v>
      </c>
      <c r="M36" s="52" t="s">
        <v>1054</v>
      </c>
      <c r="N36" s="52">
        <v>1</v>
      </c>
      <c r="O36" s="52">
        <v>0</v>
      </c>
      <c r="P36" s="58">
        <v>5932</v>
      </c>
      <c r="Q36" s="58">
        <f t="shared" si="0"/>
        <v>6999.7599999999993</v>
      </c>
      <c r="R36" s="58" t="s">
        <v>1345</v>
      </c>
    </row>
    <row r="37" spans="1:18" x14ac:dyDescent="0.35">
      <c r="A37" s="57"/>
      <c r="B37" s="52" t="s">
        <v>1007</v>
      </c>
      <c r="C37" s="52" t="s">
        <v>1135</v>
      </c>
      <c r="D37" s="52" t="s">
        <v>1136</v>
      </c>
      <c r="E37" s="52" t="s">
        <v>1053</v>
      </c>
      <c r="F37" s="52"/>
      <c r="G37" s="52" t="s">
        <v>1343</v>
      </c>
      <c r="H37" s="52" t="s">
        <v>1344</v>
      </c>
      <c r="I37" s="56" t="s">
        <v>1350</v>
      </c>
      <c r="J37" s="56" t="s">
        <v>1351</v>
      </c>
      <c r="K37" s="52" t="s">
        <v>1054</v>
      </c>
      <c r="L37" s="52" t="s">
        <v>1054</v>
      </c>
      <c r="M37" s="52" t="s">
        <v>1054</v>
      </c>
      <c r="N37" s="52">
        <v>1</v>
      </c>
      <c r="O37" s="52">
        <v>0</v>
      </c>
      <c r="P37" s="58">
        <v>5932</v>
      </c>
      <c r="Q37" s="58">
        <f t="shared" si="0"/>
        <v>6999.7599999999993</v>
      </c>
      <c r="R37" s="58" t="s">
        <v>1345</v>
      </c>
    </row>
    <row r="38" spans="1:18" x14ac:dyDescent="0.35">
      <c r="A38" s="57"/>
      <c r="B38" s="52" t="s">
        <v>1088</v>
      </c>
      <c r="C38" s="52" t="s">
        <v>1135</v>
      </c>
      <c r="D38" s="52" t="s">
        <v>1136</v>
      </c>
      <c r="E38" s="52" t="s">
        <v>1053</v>
      </c>
      <c r="F38" s="52"/>
      <c r="G38" s="52" t="s">
        <v>1343</v>
      </c>
      <c r="H38" s="52" t="s">
        <v>1344</v>
      </c>
      <c r="I38" s="56" t="s">
        <v>1350</v>
      </c>
      <c r="J38" s="56" t="s">
        <v>1351</v>
      </c>
      <c r="K38" s="52" t="s">
        <v>1054</v>
      </c>
      <c r="L38" s="52" t="s">
        <v>1054</v>
      </c>
      <c r="M38" s="52" t="s">
        <v>1054</v>
      </c>
      <c r="N38" s="52">
        <v>1</v>
      </c>
      <c r="O38" s="52">
        <v>0</v>
      </c>
      <c r="P38" s="58">
        <v>1271</v>
      </c>
      <c r="Q38" s="58">
        <f t="shared" si="0"/>
        <v>1499.78</v>
      </c>
      <c r="R38" s="58" t="s">
        <v>1345</v>
      </c>
    </row>
    <row r="39" spans="1:18" x14ac:dyDescent="0.35">
      <c r="A39" s="57"/>
      <c r="B39" s="52" t="s">
        <v>1069</v>
      </c>
      <c r="C39" s="52" t="s">
        <v>1135</v>
      </c>
      <c r="D39" s="52" t="s">
        <v>1136</v>
      </c>
      <c r="E39" s="52" t="s">
        <v>1053</v>
      </c>
      <c r="F39" s="52"/>
      <c r="G39" s="52" t="s">
        <v>1343</v>
      </c>
      <c r="H39" s="52" t="s">
        <v>1344</v>
      </c>
      <c r="I39" s="56" t="s">
        <v>1350</v>
      </c>
      <c r="J39" s="56" t="s">
        <v>1351</v>
      </c>
      <c r="K39" s="52" t="s">
        <v>1054</v>
      </c>
      <c r="L39" s="52" t="s">
        <v>1054</v>
      </c>
      <c r="M39" s="52" t="s">
        <v>1054</v>
      </c>
      <c r="N39" s="52">
        <v>1</v>
      </c>
      <c r="O39" s="52">
        <v>0</v>
      </c>
      <c r="P39" s="58">
        <v>1271</v>
      </c>
      <c r="Q39" s="58">
        <f t="shared" si="0"/>
        <v>1499.78</v>
      </c>
      <c r="R39" s="58" t="s">
        <v>1345</v>
      </c>
    </row>
    <row r="40" spans="1:18" x14ac:dyDescent="0.35">
      <c r="A40" s="57"/>
      <c r="B40" s="52" t="s">
        <v>1070</v>
      </c>
      <c r="C40" s="52" t="s">
        <v>1135</v>
      </c>
      <c r="D40" s="52" t="s">
        <v>1136</v>
      </c>
      <c r="E40" s="52" t="s">
        <v>1053</v>
      </c>
      <c r="F40" s="52"/>
      <c r="G40" s="52" t="s">
        <v>1343</v>
      </c>
      <c r="H40" s="52" t="s">
        <v>1344</v>
      </c>
      <c r="I40" s="56" t="s">
        <v>1350</v>
      </c>
      <c r="J40" s="56" t="s">
        <v>1351</v>
      </c>
      <c r="K40" s="52" t="s">
        <v>1054</v>
      </c>
      <c r="L40" s="52" t="s">
        <v>1054</v>
      </c>
      <c r="M40" s="52" t="s">
        <v>1054</v>
      </c>
      <c r="N40" s="52">
        <v>1</v>
      </c>
      <c r="O40" s="52">
        <v>0</v>
      </c>
      <c r="P40" s="58">
        <v>846</v>
      </c>
      <c r="Q40" s="58">
        <f t="shared" si="0"/>
        <v>998.28</v>
      </c>
      <c r="R40" s="58" t="s">
        <v>1345</v>
      </c>
    </row>
    <row r="41" spans="1:18" x14ac:dyDescent="0.35">
      <c r="A41" s="57"/>
      <c r="B41" s="52" t="s">
        <v>1196</v>
      </c>
      <c r="C41" s="52" t="s">
        <v>1135</v>
      </c>
      <c r="D41" s="52" t="s">
        <v>1136</v>
      </c>
      <c r="E41" s="52" t="s">
        <v>1053</v>
      </c>
      <c r="F41" s="52"/>
      <c r="G41" s="52" t="s">
        <v>1343</v>
      </c>
      <c r="H41" s="52" t="s">
        <v>1344</v>
      </c>
      <c r="I41" s="56" t="s">
        <v>1350</v>
      </c>
      <c r="J41" s="56" t="s">
        <v>1351</v>
      </c>
      <c r="K41" s="52" t="s">
        <v>1054</v>
      </c>
      <c r="L41" s="52" t="s">
        <v>1054</v>
      </c>
      <c r="M41" s="52" t="s">
        <v>1054</v>
      </c>
      <c r="N41" s="52">
        <v>1</v>
      </c>
      <c r="O41" s="52">
        <v>0</v>
      </c>
      <c r="P41" s="58">
        <v>302</v>
      </c>
      <c r="Q41" s="58">
        <f t="shared" si="0"/>
        <v>356.35999999999996</v>
      </c>
      <c r="R41" s="58" t="s">
        <v>1345</v>
      </c>
    </row>
    <row r="42" spans="1:18" x14ac:dyDescent="0.35">
      <c r="A42" s="57"/>
      <c r="B42" s="52" t="s">
        <v>1338</v>
      </c>
      <c r="C42" s="52" t="s">
        <v>1135</v>
      </c>
      <c r="D42" s="52" t="s">
        <v>1136</v>
      </c>
      <c r="E42" s="52" t="s">
        <v>1053</v>
      </c>
      <c r="F42" s="52"/>
      <c r="G42" s="52" t="s">
        <v>1343</v>
      </c>
      <c r="H42" s="52" t="s">
        <v>1344</v>
      </c>
      <c r="I42" s="56" t="s">
        <v>1350</v>
      </c>
      <c r="J42" s="56" t="s">
        <v>1351</v>
      </c>
      <c r="K42" s="52" t="s">
        <v>1054</v>
      </c>
      <c r="L42" s="52" t="s">
        <v>1054</v>
      </c>
      <c r="M42" s="52" t="s">
        <v>1054</v>
      </c>
      <c r="N42" s="52">
        <v>1</v>
      </c>
      <c r="O42" s="52">
        <v>0</v>
      </c>
      <c r="P42" s="58">
        <v>453</v>
      </c>
      <c r="Q42" s="58">
        <f t="shared" si="0"/>
        <v>534.54</v>
      </c>
      <c r="R42" s="58" t="s">
        <v>1345</v>
      </c>
    </row>
    <row r="43" spans="1:18" x14ac:dyDescent="0.35">
      <c r="A43" s="57"/>
      <c r="B43" s="52" t="s">
        <v>651</v>
      </c>
      <c r="C43" s="52" t="s">
        <v>1135</v>
      </c>
      <c r="D43" s="52" t="s">
        <v>1136</v>
      </c>
      <c r="E43" s="52" t="s">
        <v>1053</v>
      </c>
      <c r="F43" s="52"/>
      <c r="G43" s="52" t="s">
        <v>1343</v>
      </c>
      <c r="H43" s="52" t="s">
        <v>1344</v>
      </c>
      <c r="I43" s="56" t="s">
        <v>1350</v>
      </c>
      <c r="J43" s="56" t="s">
        <v>1351</v>
      </c>
      <c r="K43" s="52" t="s">
        <v>1054</v>
      </c>
      <c r="L43" s="52" t="s">
        <v>1054</v>
      </c>
      <c r="M43" s="52" t="s">
        <v>1054</v>
      </c>
      <c r="N43" s="52">
        <v>1</v>
      </c>
      <c r="O43" s="52">
        <v>0</v>
      </c>
      <c r="P43" s="58">
        <v>1271</v>
      </c>
      <c r="Q43" s="58">
        <f t="shared" si="0"/>
        <v>1499.78</v>
      </c>
      <c r="R43" s="58" t="s">
        <v>1345</v>
      </c>
    </row>
    <row r="44" spans="1:18" x14ac:dyDescent="0.35">
      <c r="A44" s="57"/>
      <c r="B44" s="52" t="s">
        <v>1085</v>
      </c>
      <c r="C44" s="52" t="s">
        <v>1135</v>
      </c>
      <c r="D44" s="52" t="s">
        <v>1136</v>
      </c>
      <c r="E44" s="52" t="s">
        <v>1053</v>
      </c>
      <c r="F44" s="52"/>
      <c r="G44" s="52" t="s">
        <v>1343</v>
      </c>
      <c r="H44" s="52" t="s">
        <v>1344</v>
      </c>
      <c r="I44" s="56" t="s">
        <v>1350</v>
      </c>
      <c r="J44" s="56" t="s">
        <v>1351</v>
      </c>
      <c r="K44" s="52" t="s">
        <v>1054</v>
      </c>
      <c r="L44" s="52" t="s">
        <v>1054</v>
      </c>
      <c r="M44" s="52" t="s">
        <v>1054</v>
      </c>
      <c r="N44" s="52">
        <v>1</v>
      </c>
      <c r="O44" s="52">
        <v>0</v>
      </c>
      <c r="P44" s="58">
        <v>1271</v>
      </c>
      <c r="Q44" s="58">
        <f t="shared" si="0"/>
        <v>1499.78</v>
      </c>
      <c r="R44" s="58" t="s">
        <v>1345</v>
      </c>
    </row>
    <row r="45" spans="1:18" x14ac:dyDescent="0.35">
      <c r="A45" s="57"/>
      <c r="B45" s="52" t="s">
        <v>1058</v>
      </c>
      <c r="C45" s="52" t="s">
        <v>1135</v>
      </c>
      <c r="D45" s="52" t="s">
        <v>1136</v>
      </c>
      <c r="E45" s="52" t="s">
        <v>1053</v>
      </c>
      <c r="F45" s="52"/>
      <c r="G45" s="52" t="s">
        <v>1343</v>
      </c>
      <c r="H45" s="52" t="s">
        <v>1344</v>
      </c>
      <c r="I45" s="56" t="s">
        <v>1350</v>
      </c>
      <c r="J45" s="56" t="s">
        <v>1351</v>
      </c>
      <c r="K45" s="52" t="s">
        <v>1054</v>
      </c>
      <c r="L45" s="52" t="s">
        <v>1054</v>
      </c>
      <c r="M45" s="52" t="s">
        <v>1054</v>
      </c>
      <c r="N45" s="52">
        <v>1</v>
      </c>
      <c r="O45" s="52">
        <v>0</v>
      </c>
      <c r="P45" s="58">
        <v>1271</v>
      </c>
      <c r="Q45" s="58">
        <f t="shared" si="0"/>
        <v>1499.78</v>
      </c>
      <c r="R45" s="58" t="s">
        <v>1345</v>
      </c>
    </row>
    <row r="46" spans="1:18" x14ac:dyDescent="0.35">
      <c r="A46" s="57"/>
      <c r="B46" s="52" t="s">
        <v>610</v>
      </c>
      <c r="C46" s="52" t="s">
        <v>1135</v>
      </c>
      <c r="D46" s="52" t="s">
        <v>1136</v>
      </c>
      <c r="E46" s="52" t="s">
        <v>1053</v>
      </c>
      <c r="F46" s="52"/>
      <c r="G46" s="52" t="s">
        <v>1343</v>
      </c>
      <c r="H46" s="52" t="s">
        <v>1344</v>
      </c>
      <c r="I46" s="56" t="s">
        <v>1350</v>
      </c>
      <c r="J46" s="56" t="s">
        <v>1351</v>
      </c>
      <c r="K46" s="52" t="s">
        <v>1054</v>
      </c>
      <c r="L46" s="52" t="s">
        <v>1054</v>
      </c>
      <c r="M46" s="52" t="s">
        <v>1054</v>
      </c>
      <c r="N46" s="52">
        <v>1</v>
      </c>
      <c r="O46" s="52">
        <v>0</v>
      </c>
      <c r="P46" s="58">
        <v>1271</v>
      </c>
      <c r="Q46" s="58">
        <f t="shared" si="0"/>
        <v>1499.78</v>
      </c>
      <c r="R46" s="58" t="s">
        <v>1345</v>
      </c>
    </row>
    <row r="47" spans="1:18" x14ac:dyDescent="0.35">
      <c r="A47" s="57"/>
      <c r="B47" s="52" t="s">
        <v>1059</v>
      </c>
      <c r="C47" s="52" t="s">
        <v>1135</v>
      </c>
      <c r="D47" s="52" t="s">
        <v>1136</v>
      </c>
      <c r="E47" s="52" t="s">
        <v>1053</v>
      </c>
      <c r="F47" s="52"/>
      <c r="G47" s="52" t="s">
        <v>1343</v>
      </c>
      <c r="H47" s="52" t="s">
        <v>1344</v>
      </c>
      <c r="I47" s="56" t="s">
        <v>1350</v>
      </c>
      <c r="J47" s="56" t="s">
        <v>1351</v>
      </c>
      <c r="K47" s="52" t="s">
        <v>1054</v>
      </c>
      <c r="L47" s="52" t="s">
        <v>1054</v>
      </c>
      <c r="M47" s="52" t="s">
        <v>1054</v>
      </c>
      <c r="N47" s="52">
        <v>1</v>
      </c>
      <c r="O47" s="52">
        <v>0</v>
      </c>
      <c r="P47" s="58">
        <v>3051</v>
      </c>
      <c r="Q47" s="58">
        <f t="shared" si="0"/>
        <v>3600.18</v>
      </c>
      <c r="R47" s="58" t="s">
        <v>1345</v>
      </c>
    </row>
    <row r="48" spans="1:18" x14ac:dyDescent="0.35">
      <c r="A48" s="57"/>
      <c r="B48" s="52" t="s">
        <v>1146</v>
      </c>
      <c r="C48" s="52" t="s">
        <v>1135</v>
      </c>
      <c r="D48" s="52" t="s">
        <v>1136</v>
      </c>
      <c r="E48" s="52" t="s">
        <v>1053</v>
      </c>
      <c r="F48" s="52"/>
      <c r="G48" s="52" t="s">
        <v>1343</v>
      </c>
      <c r="H48" s="52" t="s">
        <v>1344</v>
      </c>
      <c r="I48" s="56" t="s">
        <v>1350</v>
      </c>
      <c r="J48" s="56" t="s">
        <v>1351</v>
      </c>
      <c r="K48" s="52" t="s">
        <v>1054</v>
      </c>
      <c r="L48" s="52" t="s">
        <v>1054</v>
      </c>
      <c r="M48" s="52" t="s">
        <v>1054</v>
      </c>
      <c r="N48" s="52">
        <v>1</v>
      </c>
      <c r="O48" s="52">
        <v>0</v>
      </c>
      <c r="P48" s="58">
        <v>2674</v>
      </c>
      <c r="Q48" s="58">
        <f t="shared" si="0"/>
        <v>3155.3199999999997</v>
      </c>
      <c r="R48" s="58" t="s">
        <v>1345</v>
      </c>
    </row>
    <row r="49" spans="1:18" x14ac:dyDescent="0.35">
      <c r="A49" s="57"/>
      <c r="B49" s="52" t="s">
        <v>1154</v>
      </c>
      <c r="C49" s="52" t="s">
        <v>1135</v>
      </c>
      <c r="D49" s="52" t="s">
        <v>1136</v>
      </c>
      <c r="E49" s="52" t="s">
        <v>1053</v>
      </c>
      <c r="F49" s="52"/>
      <c r="G49" s="52" t="s">
        <v>1343</v>
      </c>
      <c r="H49" s="52" t="s">
        <v>1344</v>
      </c>
      <c r="I49" s="56" t="s">
        <v>1350</v>
      </c>
      <c r="J49" s="56" t="s">
        <v>1351</v>
      </c>
      <c r="K49" s="52" t="s">
        <v>1054</v>
      </c>
      <c r="L49" s="52" t="s">
        <v>1054</v>
      </c>
      <c r="M49" s="52" t="s">
        <v>1054</v>
      </c>
      <c r="N49" s="52">
        <v>1</v>
      </c>
      <c r="O49" s="52">
        <v>0</v>
      </c>
      <c r="P49" s="58">
        <v>2912</v>
      </c>
      <c r="Q49" s="58">
        <f t="shared" si="0"/>
        <v>3436.16</v>
      </c>
      <c r="R49" s="58" t="s">
        <v>1345</v>
      </c>
    </row>
    <row r="50" spans="1:18" x14ac:dyDescent="0.35">
      <c r="A50" s="57"/>
      <c r="B50" s="52" t="s">
        <v>1142</v>
      </c>
      <c r="C50" s="52" t="s">
        <v>1135</v>
      </c>
      <c r="D50" s="52" t="s">
        <v>1136</v>
      </c>
      <c r="E50" s="52" t="s">
        <v>1053</v>
      </c>
      <c r="F50" s="52"/>
      <c r="G50" s="52" t="s">
        <v>1343</v>
      </c>
      <c r="H50" s="52" t="s">
        <v>1344</v>
      </c>
      <c r="I50" s="56" t="s">
        <v>1350</v>
      </c>
      <c r="J50" s="56" t="s">
        <v>1351</v>
      </c>
      <c r="K50" s="52" t="s">
        <v>1054</v>
      </c>
      <c r="L50" s="52" t="s">
        <v>1054</v>
      </c>
      <c r="M50" s="52" t="s">
        <v>1054</v>
      </c>
      <c r="N50" s="52">
        <v>1</v>
      </c>
      <c r="O50" s="52">
        <v>0</v>
      </c>
      <c r="P50" s="58">
        <v>2645</v>
      </c>
      <c r="Q50" s="58">
        <f t="shared" si="0"/>
        <v>3121.1</v>
      </c>
      <c r="R50" s="58" t="s">
        <v>1345</v>
      </c>
    </row>
    <row r="51" spans="1:18" x14ac:dyDescent="0.35">
      <c r="A51" s="57"/>
      <c r="B51" s="52" t="s">
        <v>1156</v>
      </c>
      <c r="C51" s="52" t="s">
        <v>1135</v>
      </c>
      <c r="D51" s="52" t="s">
        <v>1136</v>
      </c>
      <c r="E51" s="52" t="s">
        <v>1053</v>
      </c>
      <c r="F51" s="52"/>
      <c r="G51" s="52" t="s">
        <v>1343</v>
      </c>
      <c r="H51" s="52" t="s">
        <v>1344</v>
      </c>
      <c r="I51" s="56" t="s">
        <v>1350</v>
      </c>
      <c r="J51" s="56" t="s">
        <v>1351</v>
      </c>
      <c r="K51" s="52" t="s">
        <v>1054</v>
      </c>
      <c r="L51" s="52" t="s">
        <v>1054</v>
      </c>
      <c r="M51" s="52" t="s">
        <v>1054</v>
      </c>
      <c r="N51" s="52">
        <v>1</v>
      </c>
      <c r="O51" s="52">
        <v>0</v>
      </c>
      <c r="P51" s="58">
        <v>2220</v>
      </c>
      <c r="Q51" s="58">
        <f t="shared" si="0"/>
        <v>2619.6</v>
      </c>
      <c r="R51" s="58" t="s">
        <v>1345</v>
      </c>
    </row>
    <row r="52" spans="1:18" x14ac:dyDescent="0.35">
      <c r="A52" s="57"/>
      <c r="B52" s="52" t="s">
        <v>1144</v>
      </c>
      <c r="C52" s="52" t="s">
        <v>1135</v>
      </c>
      <c r="D52" s="52" t="s">
        <v>1136</v>
      </c>
      <c r="E52" s="52" t="s">
        <v>1053</v>
      </c>
      <c r="F52" s="52"/>
      <c r="G52" s="52" t="s">
        <v>1343</v>
      </c>
      <c r="H52" s="52" t="s">
        <v>1344</v>
      </c>
      <c r="I52" s="56" t="s">
        <v>1350</v>
      </c>
      <c r="J52" s="56" t="s">
        <v>1351</v>
      </c>
      <c r="K52" s="52" t="s">
        <v>1054</v>
      </c>
      <c r="L52" s="52" t="s">
        <v>1054</v>
      </c>
      <c r="M52" s="52" t="s">
        <v>1054</v>
      </c>
      <c r="N52" s="52">
        <v>1</v>
      </c>
      <c r="O52" s="52">
        <v>0</v>
      </c>
      <c r="P52" s="58">
        <v>3225</v>
      </c>
      <c r="Q52" s="58">
        <f t="shared" si="0"/>
        <v>3805.5</v>
      </c>
      <c r="R52" s="58" t="s">
        <v>1345</v>
      </c>
    </row>
    <row r="53" spans="1:18" x14ac:dyDescent="0.35">
      <c r="A53" s="57"/>
      <c r="B53" s="52" t="s">
        <v>1145</v>
      </c>
      <c r="C53" s="52" t="s">
        <v>1135</v>
      </c>
      <c r="D53" s="52" t="s">
        <v>1136</v>
      </c>
      <c r="E53" s="52" t="s">
        <v>1053</v>
      </c>
      <c r="F53" s="52"/>
      <c r="G53" s="52" t="s">
        <v>1343</v>
      </c>
      <c r="H53" s="52" t="s">
        <v>1344</v>
      </c>
      <c r="I53" s="56" t="s">
        <v>1350</v>
      </c>
      <c r="J53" s="56" t="s">
        <v>1351</v>
      </c>
      <c r="K53" s="52" t="s">
        <v>1054</v>
      </c>
      <c r="L53" s="52" t="s">
        <v>1054</v>
      </c>
      <c r="M53" s="52" t="s">
        <v>1054</v>
      </c>
      <c r="N53" s="52">
        <v>1</v>
      </c>
      <c r="O53" s="52">
        <v>0</v>
      </c>
      <c r="P53" s="58">
        <v>3246</v>
      </c>
      <c r="Q53" s="58">
        <f t="shared" si="0"/>
        <v>3830.2799999999997</v>
      </c>
      <c r="R53" s="58" t="s">
        <v>1345</v>
      </c>
    </row>
    <row r="54" spans="1:18" x14ac:dyDescent="0.35">
      <c r="A54" s="57"/>
      <c r="B54" s="52" t="s">
        <v>1153</v>
      </c>
      <c r="C54" s="52" t="s">
        <v>1135</v>
      </c>
      <c r="D54" s="52" t="s">
        <v>1136</v>
      </c>
      <c r="E54" s="52" t="s">
        <v>1053</v>
      </c>
      <c r="F54" s="52"/>
      <c r="G54" s="52" t="s">
        <v>1343</v>
      </c>
      <c r="H54" s="52" t="s">
        <v>1344</v>
      </c>
      <c r="I54" s="56" t="s">
        <v>1350</v>
      </c>
      <c r="J54" s="56" t="s">
        <v>1351</v>
      </c>
      <c r="K54" s="52" t="s">
        <v>1054</v>
      </c>
      <c r="L54" s="52" t="s">
        <v>1054</v>
      </c>
      <c r="M54" s="52" t="s">
        <v>1054</v>
      </c>
      <c r="N54" s="52">
        <v>1</v>
      </c>
      <c r="O54" s="52">
        <v>0</v>
      </c>
      <c r="P54" s="58">
        <v>3102</v>
      </c>
      <c r="Q54" s="58">
        <f t="shared" si="0"/>
        <v>3660.3599999999997</v>
      </c>
      <c r="R54" s="58" t="s">
        <v>1345</v>
      </c>
    </row>
    <row r="55" spans="1:18" x14ac:dyDescent="0.35">
      <c r="A55" s="57"/>
      <c r="B55" s="52" t="s">
        <v>1152</v>
      </c>
      <c r="C55" s="52" t="s">
        <v>1135</v>
      </c>
      <c r="D55" s="52" t="s">
        <v>1136</v>
      </c>
      <c r="E55" s="52" t="s">
        <v>1053</v>
      </c>
      <c r="F55" s="52"/>
      <c r="G55" s="52" t="s">
        <v>1343</v>
      </c>
      <c r="H55" s="52" t="s">
        <v>1344</v>
      </c>
      <c r="I55" s="56" t="s">
        <v>1350</v>
      </c>
      <c r="J55" s="56" t="s">
        <v>1351</v>
      </c>
      <c r="K55" s="52" t="s">
        <v>1054</v>
      </c>
      <c r="L55" s="52" t="s">
        <v>1054</v>
      </c>
      <c r="M55" s="52" t="s">
        <v>1054</v>
      </c>
      <c r="N55" s="52">
        <v>1</v>
      </c>
      <c r="O55" s="52">
        <v>0</v>
      </c>
      <c r="P55" s="58">
        <v>3547</v>
      </c>
      <c r="Q55" s="58">
        <f t="shared" si="0"/>
        <v>4185.46</v>
      </c>
      <c r="R55" s="58" t="s">
        <v>1345</v>
      </c>
    </row>
    <row r="56" spans="1:18" x14ac:dyDescent="0.35">
      <c r="A56" s="57"/>
      <c r="B56" s="52" t="s">
        <v>1148</v>
      </c>
      <c r="C56" s="52" t="s">
        <v>1135</v>
      </c>
      <c r="D56" s="52" t="s">
        <v>1136</v>
      </c>
      <c r="E56" s="52" t="s">
        <v>1053</v>
      </c>
      <c r="F56" s="52"/>
      <c r="G56" s="52" t="s">
        <v>1343</v>
      </c>
      <c r="H56" s="52" t="s">
        <v>1344</v>
      </c>
      <c r="I56" s="56" t="s">
        <v>1350</v>
      </c>
      <c r="J56" s="56" t="s">
        <v>1351</v>
      </c>
      <c r="K56" s="52" t="s">
        <v>1054</v>
      </c>
      <c r="L56" s="52" t="s">
        <v>1054</v>
      </c>
      <c r="M56" s="52" t="s">
        <v>1054</v>
      </c>
      <c r="N56" s="52">
        <v>1</v>
      </c>
      <c r="O56" s="52">
        <v>0</v>
      </c>
      <c r="P56" s="58">
        <v>3103</v>
      </c>
      <c r="Q56" s="58">
        <f t="shared" si="0"/>
        <v>3661.54</v>
      </c>
      <c r="R56" s="58" t="s">
        <v>1345</v>
      </c>
    </row>
    <row r="57" spans="1:18" x14ac:dyDescent="0.35">
      <c r="A57" s="57"/>
      <c r="B57" s="52" t="s">
        <v>1151</v>
      </c>
      <c r="C57" s="52" t="s">
        <v>1135</v>
      </c>
      <c r="D57" s="52" t="s">
        <v>1136</v>
      </c>
      <c r="E57" s="52" t="s">
        <v>1053</v>
      </c>
      <c r="F57" s="52"/>
      <c r="G57" s="52" t="s">
        <v>1343</v>
      </c>
      <c r="H57" s="52" t="s">
        <v>1344</v>
      </c>
      <c r="I57" s="56" t="s">
        <v>1350</v>
      </c>
      <c r="J57" s="56" t="s">
        <v>1351</v>
      </c>
      <c r="K57" s="52" t="s">
        <v>1054</v>
      </c>
      <c r="L57" s="52" t="s">
        <v>1054</v>
      </c>
      <c r="M57" s="52" t="s">
        <v>1054</v>
      </c>
      <c r="N57" s="52">
        <v>1</v>
      </c>
      <c r="O57" s="52">
        <v>0</v>
      </c>
      <c r="P57" s="58">
        <v>3124</v>
      </c>
      <c r="Q57" s="58">
        <f t="shared" si="0"/>
        <v>3686.3199999999997</v>
      </c>
      <c r="R57" s="58" t="s">
        <v>1345</v>
      </c>
    </row>
    <row r="58" spans="1:18" x14ac:dyDescent="0.35">
      <c r="A58" s="57"/>
      <c r="B58" s="52" t="s">
        <v>1155</v>
      </c>
      <c r="C58" s="52" t="s">
        <v>1135</v>
      </c>
      <c r="D58" s="52" t="s">
        <v>1136</v>
      </c>
      <c r="E58" s="52" t="s">
        <v>1053</v>
      </c>
      <c r="F58" s="52"/>
      <c r="G58" s="52" t="s">
        <v>1343</v>
      </c>
      <c r="H58" s="52" t="s">
        <v>1344</v>
      </c>
      <c r="I58" s="56" t="s">
        <v>1350</v>
      </c>
      <c r="J58" s="56" t="s">
        <v>1351</v>
      </c>
      <c r="K58" s="52" t="s">
        <v>1054</v>
      </c>
      <c r="L58" s="52" t="s">
        <v>1054</v>
      </c>
      <c r="M58" s="52" t="s">
        <v>1054</v>
      </c>
      <c r="N58" s="52">
        <v>1</v>
      </c>
      <c r="O58" s="52">
        <v>0</v>
      </c>
      <c r="P58" s="58">
        <v>5423</v>
      </c>
      <c r="Q58" s="58">
        <f t="shared" si="0"/>
        <v>6399.1399999999994</v>
      </c>
      <c r="R58" s="58" t="s">
        <v>1345</v>
      </c>
    </row>
    <row r="59" spans="1:18" x14ac:dyDescent="0.35">
      <c r="A59" s="57"/>
      <c r="B59" s="52" t="s">
        <v>652</v>
      </c>
      <c r="C59" s="52" t="s">
        <v>1135</v>
      </c>
      <c r="D59" s="52" t="s">
        <v>1136</v>
      </c>
      <c r="E59" s="52" t="s">
        <v>1053</v>
      </c>
      <c r="F59" s="52"/>
      <c r="G59" s="52" t="s">
        <v>1343</v>
      </c>
      <c r="H59" s="52" t="s">
        <v>1344</v>
      </c>
      <c r="I59" s="56" t="s">
        <v>1350</v>
      </c>
      <c r="J59" s="56" t="s">
        <v>1351</v>
      </c>
      <c r="K59" s="52" t="s">
        <v>1054</v>
      </c>
      <c r="L59" s="52" t="s">
        <v>1054</v>
      </c>
      <c r="M59" s="52" t="s">
        <v>1054</v>
      </c>
      <c r="N59" s="52">
        <v>1</v>
      </c>
      <c r="O59" s="52">
        <v>0</v>
      </c>
      <c r="P59" s="58">
        <v>3728</v>
      </c>
      <c r="Q59" s="58">
        <f t="shared" si="0"/>
        <v>4399.04</v>
      </c>
      <c r="R59" s="58" t="s">
        <v>1345</v>
      </c>
    </row>
    <row r="60" spans="1:18" x14ac:dyDescent="0.35">
      <c r="A60" s="57"/>
      <c r="B60" s="52" t="s">
        <v>632</v>
      </c>
      <c r="C60" s="52" t="s">
        <v>1135</v>
      </c>
      <c r="D60" s="52" t="s">
        <v>1136</v>
      </c>
      <c r="E60" s="52" t="s">
        <v>1053</v>
      </c>
      <c r="F60" s="52"/>
      <c r="G60" s="52" t="s">
        <v>1343</v>
      </c>
      <c r="H60" s="52" t="s">
        <v>1344</v>
      </c>
      <c r="I60" s="56" t="s">
        <v>1350</v>
      </c>
      <c r="J60" s="56" t="s">
        <v>1351</v>
      </c>
      <c r="K60" s="52" t="s">
        <v>1054</v>
      </c>
      <c r="L60" s="52" t="s">
        <v>1054</v>
      </c>
      <c r="M60" s="52" t="s">
        <v>1054</v>
      </c>
      <c r="N60" s="52">
        <v>1</v>
      </c>
      <c r="O60" s="52">
        <v>0</v>
      </c>
      <c r="P60" s="58">
        <v>3141</v>
      </c>
      <c r="Q60" s="58">
        <f t="shared" si="0"/>
        <v>3706.3799999999997</v>
      </c>
      <c r="R60" s="58" t="s">
        <v>1345</v>
      </c>
    </row>
    <row r="61" spans="1:18" x14ac:dyDescent="0.35">
      <c r="A61" s="57"/>
      <c r="B61" s="52" t="s">
        <v>784</v>
      </c>
      <c r="C61" s="52" t="s">
        <v>1135</v>
      </c>
      <c r="D61" s="52" t="s">
        <v>1136</v>
      </c>
      <c r="E61" s="52" t="s">
        <v>1053</v>
      </c>
      <c r="F61" s="52"/>
      <c r="G61" s="52" t="s">
        <v>1343</v>
      </c>
      <c r="H61" s="52" t="s">
        <v>1344</v>
      </c>
      <c r="I61" s="56" t="s">
        <v>1350</v>
      </c>
      <c r="J61" s="56" t="s">
        <v>1351</v>
      </c>
      <c r="K61" s="52" t="s">
        <v>1054</v>
      </c>
      <c r="L61" s="52" t="s">
        <v>1054</v>
      </c>
      <c r="M61" s="52" t="s">
        <v>1054</v>
      </c>
      <c r="N61" s="52">
        <v>1</v>
      </c>
      <c r="O61" s="52">
        <v>0</v>
      </c>
      <c r="P61" s="58">
        <v>3728</v>
      </c>
      <c r="Q61" s="58">
        <f t="shared" si="0"/>
        <v>4399.04</v>
      </c>
      <c r="R61" s="58" t="s">
        <v>1345</v>
      </c>
    </row>
    <row r="62" spans="1:18" x14ac:dyDescent="0.35">
      <c r="A62" s="57"/>
      <c r="B62" s="52" t="s">
        <v>1208</v>
      </c>
      <c r="C62" s="52" t="s">
        <v>1135</v>
      </c>
      <c r="D62" s="52" t="s">
        <v>1136</v>
      </c>
      <c r="E62" s="52" t="s">
        <v>1053</v>
      </c>
      <c r="F62" s="52"/>
      <c r="G62" s="52" t="s">
        <v>1343</v>
      </c>
      <c r="H62" s="52" t="s">
        <v>1344</v>
      </c>
      <c r="I62" s="56" t="s">
        <v>1350</v>
      </c>
      <c r="J62" s="56" t="s">
        <v>1351</v>
      </c>
      <c r="K62" s="52" t="s">
        <v>1054</v>
      </c>
      <c r="L62" s="52" t="s">
        <v>1054</v>
      </c>
      <c r="M62" s="52" t="s">
        <v>1054</v>
      </c>
      <c r="N62" s="52">
        <v>1</v>
      </c>
      <c r="O62" s="52">
        <v>0</v>
      </c>
      <c r="P62" s="58">
        <v>1609</v>
      </c>
      <c r="Q62" s="58">
        <f t="shared" si="0"/>
        <v>1898.62</v>
      </c>
      <c r="R62" s="58" t="s">
        <v>1345</v>
      </c>
    </row>
    <row r="63" spans="1:18" x14ac:dyDescent="0.35">
      <c r="A63" s="57"/>
      <c r="B63" s="52" t="s">
        <v>1192</v>
      </c>
      <c r="C63" s="52" t="s">
        <v>1135</v>
      </c>
      <c r="D63" s="52" t="s">
        <v>1136</v>
      </c>
      <c r="E63" s="52" t="s">
        <v>1053</v>
      </c>
      <c r="F63" s="52"/>
      <c r="G63" s="52" t="s">
        <v>1343</v>
      </c>
      <c r="H63" s="52" t="s">
        <v>1344</v>
      </c>
      <c r="I63" s="56" t="s">
        <v>1350</v>
      </c>
      <c r="J63" s="56" t="s">
        <v>1351</v>
      </c>
      <c r="K63" s="52" t="s">
        <v>1054</v>
      </c>
      <c r="L63" s="52" t="s">
        <v>1054</v>
      </c>
      <c r="M63" s="52" t="s">
        <v>1054</v>
      </c>
      <c r="N63" s="52">
        <v>1</v>
      </c>
      <c r="O63" s="52">
        <v>0</v>
      </c>
      <c r="P63" s="58">
        <v>2359</v>
      </c>
      <c r="Q63" s="58">
        <f t="shared" si="0"/>
        <v>2783.62</v>
      </c>
      <c r="R63" s="58" t="s">
        <v>1345</v>
      </c>
    </row>
    <row r="64" spans="1:18" x14ac:dyDescent="0.35">
      <c r="A64" s="57"/>
      <c r="B64" s="52" t="s">
        <v>1022</v>
      </c>
      <c r="C64" s="52" t="s">
        <v>1135</v>
      </c>
      <c r="D64" s="52" t="s">
        <v>1136</v>
      </c>
      <c r="E64" s="52" t="s">
        <v>1053</v>
      </c>
      <c r="F64" s="52"/>
      <c r="G64" s="52" t="s">
        <v>1343</v>
      </c>
      <c r="H64" s="52" t="s">
        <v>1344</v>
      </c>
      <c r="I64" s="56" t="s">
        <v>1350</v>
      </c>
      <c r="J64" s="56" t="s">
        <v>1351</v>
      </c>
      <c r="K64" s="52" t="s">
        <v>1054</v>
      </c>
      <c r="L64" s="52" t="s">
        <v>1054</v>
      </c>
      <c r="M64" s="52" t="s">
        <v>1054</v>
      </c>
      <c r="N64" s="52">
        <v>1</v>
      </c>
      <c r="O64" s="52">
        <v>0</v>
      </c>
      <c r="P64" s="58">
        <v>3728</v>
      </c>
      <c r="Q64" s="58">
        <f t="shared" si="0"/>
        <v>4399.04</v>
      </c>
      <c r="R64" s="58" t="s">
        <v>1345</v>
      </c>
    </row>
    <row r="65" spans="1:18" x14ac:dyDescent="0.35">
      <c r="A65" s="57"/>
      <c r="B65" s="52" t="s">
        <v>1021</v>
      </c>
      <c r="C65" s="52" t="s">
        <v>1135</v>
      </c>
      <c r="D65" s="52" t="s">
        <v>1136</v>
      </c>
      <c r="E65" s="52" t="s">
        <v>1053</v>
      </c>
      <c r="F65" s="52"/>
      <c r="G65" s="52" t="s">
        <v>1343</v>
      </c>
      <c r="H65" s="52" t="s">
        <v>1344</v>
      </c>
      <c r="I65" s="56" t="s">
        <v>1350</v>
      </c>
      <c r="J65" s="56" t="s">
        <v>1351</v>
      </c>
      <c r="K65" s="52" t="s">
        <v>1054</v>
      </c>
      <c r="L65" s="52" t="s">
        <v>1054</v>
      </c>
      <c r="M65" s="52" t="s">
        <v>1054</v>
      </c>
      <c r="N65" s="52">
        <v>1</v>
      </c>
      <c r="O65" s="52">
        <v>0</v>
      </c>
      <c r="P65" s="58">
        <v>847</v>
      </c>
      <c r="Q65" s="58">
        <f t="shared" si="0"/>
        <v>999.45999999999992</v>
      </c>
      <c r="R65" s="58" t="s">
        <v>1345</v>
      </c>
    </row>
    <row r="66" spans="1:18" x14ac:dyDescent="0.35">
      <c r="A66" s="57"/>
      <c r="B66" s="52" t="s">
        <v>1143</v>
      </c>
      <c r="C66" s="52" t="s">
        <v>1135</v>
      </c>
      <c r="D66" s="52" t="s">
        <v>1136</v>
      </c>
      <c r="E66" s="52" t="s">
        <v>1053</v>
      </c>
      <c r="F66" s="52"/>
      <c r="G66" s="52" t="s">
        <v>1343</v>
      </c>
      <c r="H66" s="52" t="s">
        <v>1344</v>
      </c>
      <c r="I66" s="56" t="s">
        <v>1350</v>
      </c>
      <c r="J66" s="56" t="s">
        <v>1351</v>
      </c>
      <c r="K66" s="52" t="s">
        <v>1054</v>
      </c>
      <c r="L66" s="52" t="s">
        <v>1054</v>
      </c>
      <c r="M66" s="52" t="s">
        <v>1054</v>
      </c>
      <c r="N66" s="52">
        <v>1</v>
      </c>
      <c r="O66" s="52">
        <v>0</v>
      </c>
      <c r="P66" s="58">
        <v>1694</v>
      </c>
      <c r="Q66" s="58">
        <f t="shared" si="0"/>
        <v>1998.9199999999998</v>
      </c>
      <c r="R66" s="58" t="s">
        <v>1345</v>
      </c>
    </row>
    <row r="67" spans="1:18" x14ac:dyDescent="0.35">
      <c r="A67" s="57"/>
      <c r="B67" s="52" t="s">
        <v>1020</v>
      </c>
      <c r="C67" s="52" t="s">
        <v>1135</v>
      </c>
      <c r="D67" s="52" t="s">
        <v>1136</v>
      </c>
      <c r="E67" s="52" t="s">
        <v>1053</v>
      </c>
      <c r="F67" s="52"/>
      <c r="G67" s="52" t="s">
        <v>1343</v>
      </c>
      <c r="H67" s="52" t="s">
        <v>1344</v>
      </c>
      <c r="I67" s="56" t="s">
        <v>1350</v>
      </c>
      <c r="J67" s="56" t="s">
        <v>1351</v>
      </c>
      <c r="K67" s="52" t="s">
        <v>1054</v>
      </c>
      <c r="L67" s="52" t="s">
        <v>1054</v>
      </c>
      <c r="M67" s="52" t="s">
        <v>1054</v>
      </c>
      <c r="N67" s="52">
        <v>1</v>
      </c>
      <c r="O67" s="52">
        <v>0</v>
      </c>
      <c r="P67" s="58">
        <v>1694</v>
      </c>
      <c r="Q67" s="58">
        <f t="shared" ref="Q67:Q130" si="1">P67*1.18</f>
        <v>1998.9199999999998</v>
      </c>
      <c r="R67" s="58" t="s">
        <v>1345</v>
      </c>
    </row>
    <row r="68" spans="1:18" x14ac:dyDescent="0.35">
      <c r="A68" s="57"/>
      <c r="B68" s="52" t="s">
        <v>1086</v>
      </c>
      <c r="C68" s="52" t="s">
        <v>1135</v>
      </c>
      <c r="D68" s="52" t="s">
        <v>1136</v>
      </c>
      <c r="E68" s="52" t="s">
        <v>1053</v>
      </c>
      <c r="F68" s="52"/>
      <c r="G68" s="52" t="s">
        <v>1343</v>
      </c>
      <c r="H68" s="52" t="s">
        <v>1344</v>
      </c>
      <c r="I68" s="56" t="s">
        <v>1350</v>
      </c>
      <c r="J68" s="56" t="s">
        <v>1351</v>
      </c>
      <c r="K68" s="52" t="s">
        <v>1054</v>
      </c>
      <c r="L68" s="52" t="s">
        <v>1054</v>
      </c>
      <c r="M68" s="52" t="s">
        <v>1054</v>
      </c>
      <c r="N68" s="52">
        <v>1</v>
      </c>
      <c r="O68" s="52">
        <v>0</v>
      </c>
      <c r="P68" s="58">
        <v>2543</v>
      </c>
      <c r="Q68" s="58">
        <f t="shared" si="1"/>
        <v>3000.74</v>
      </c>
      <c r="R68" s="58" t="s">
        <v>1345</v>
      </c>
    </row>
    <row r="69" spans="1:18" x14ac:dyDescent="0.35">
      <c r="A69" s="57"/>
      <c r="B69" s="52" t="s">
        <v>1016</v>
      </c>
      <c r="C69" s="52" t="s">
        <v>1135</v>
      </c>
      <c r="D69" s="52" t="s">
        <v>1136</v>
      </c>
      <c r="E69" s="52" t="s">
        <v>1053</v>
      </c>
      <c r="F69" s="52"/>
      <c r="G69" s="52" t="s">
        <v>1343</v>
      </c>
      <c r="H69" s="52" t="s">
        <v>1344</v>
      </c>
      <c r="I69" s="56" t="s">
        <v>1350</v>
      </c>
      <c r="J69" s="56" t="s">
        <v>1351</v>
      </c>
      <c r="K69" s="52" t="s">
        <v>1054</v>
      </c>
      <c r="L69" s="52" t="s">
        <v>1054</v>
      </c>
      <c r="M69" s="52" t="s">
        <v>1054</v>
      </c>
      <c r="N69" s="52">
        <v>1</v>
      </c>
      <c r="O69" s="52">
        <v>0</v>
      </c>
      <c r="P69" s="58">
        <v>2542</v>
      </c>
      <c r="Q69" s="58">
        <f t="shared" si="1"/>
        <v>2999.56</v>
      </c>
      <c r="R69" s="58" t="s">
        <v>1345</v>
      </c>
    </row>
    <row r="70" spans="1:18" x14ac:dyDescent="0.35">
      <c r="A70" s="57"/>
      <c r="B70" s="52" t="s">
        <v>1354</v>
      </c>
      <c r="C70" s="52" t="s">
        <v>1135</v>
      </c>
      <c r="D70" s="52" t="s">
        <v>1136</v>
      </c>
      <c r="E70" s="52" t="s">
        <v>1053</v>
      </c>
      <c r="F70" s="52"/>
      <c r="G70" s="52" t="s">
        <v>1343</v>
      </c>
      <c r="H70" s="52" t="s">
        <v>1344</v>
      </c>
      <c r="I70" s="56" t="s">
        <v>1350</v>
      </c>
      <c r="J70" s="56" t="s">
        <v>1351</v>
      </c>
      <c r="K70" s="52" t="s">
        <v>1054</v>
      </c>
      <c r="L70" s="52" t="s">
        <v>1054</v>
      </c>
      <c r="M70" s="52" t="s">
        <v>1054</v>
      </c>
      <c r="N70" s="52">
        <v>1</v>
      </c>
      <c r="O70" s="52">
        <v>0</v>
      </c>
      <c r="P70" s="58">
        <v>1101</v>
      </c>
      <c r="Q70" s="58">
        <f t="shared" si="1"/>
        <v>1299.1799999999998</v>
      </c>
      <c r="R70" s="58" t="s">
        <v>1345</v>
      </c>
    </row>
    <row r="71" spans="1:18" x14ac:dyDescent="0.35">
      <c r="A71" s="57"/>
      <c r="B71" s="52" t="s">
        <v>1312</v>
      </c>
      <c r="C71" s="52" t="s">
        <v>1135</v>
      </c>
      <c r="D71" s="52" t="s">
        <v>1136</v>
      </c>
      <c r="E71" s="52" t="s">
        <v>1053</v>
      </c>
      <c r="F71" s="52"/>
      <c r="G71" s="52" t="s">
        <v>1343</v>
      </c>
      <c r="H71" s="52" t="s">
        <v>1344</v>
      </c>
      <c r="I71" s="56" t="s">
        <v>1350</v>
      </c>
      <c r="J71" s="56" t="s">
        <v>1351</v>
      </c>
      <c r="K71" s="52" t="s">
        <v>1054</v>
      </c>
      <c r="L71" s="52" t="s">
        <v>1054</v>
      </c>
      <c r="M71" s="52" t="s">
        <v>1054</v>
      </c>
      <c r="N71" s="52">
        <v>1</v>
      </c>
      <c r="O71" s="52">
        <v>0</v>
      </c>
      <c r="P71" s="58">
        <v>1695</v>
      </c>
      <c r="Q71" s="58">
        <f t="shared" si="1"/>
        <v>2000.1</v>
      </c>
      <c r="R71" s="58" t="s">
        <v>1345</v>
      </c>
    </row>
    <row r="72" spans="1:18" x14ac:dyDescent="0.35">
      <c r="A72" s="57"/>
      <c r="B72" s="52" t="s">
        <v>1210</v>
      </c>
      <c r="C72" s="52" t="s">
        <v>1135</v>
      </c>
      <c r="D72" s="52" t="s">
        <v>1136</v>
      </c>
      <c r="E72" s="52" t="s">
        <v>1053</v>
      </c>
      <c r="F72" s="52"/>
      <c r="G72" s="52" t="s">
        <v>1343</v>
      </c>
      <c r="H72" s="52" t="s">
        <v>1344</v>
      </c>
      <c r="I72" s="56" t="s">
        <v>1350</v>
      </c>
      <c r="J72" s="56" t="s">
        <v>1351</v>
      </c>
      <c r="K72" s="52" t="s">
        <v>1054</v>
      </c>
      <c r="L72" s="52" t="s">
        <v>1054</v>
      </c>
      <c r="M72" s="52" t="s">
        <v>1054</v>
      </c>
      <c r="N72" s="52">
        <v>1</v>
      </c>
      <c r="O72" s="52">
        <v>0</v>
      </c>
      <c r="P72" s="58">
        <v>2542</v>
      </c>
      <c r="Q72" s="58">
        <f t="shared" si="1"/>
        <v>2999.56</v>
      </c>
      <c r="R72" s="58" t="s">
        <v>1345</v>
      </c>
    </row>
    <row r="73" spans="1:18" x14ac:dyDescent="0.35">
      <c r="A73" s="57"/>
      <c r="B73" s="52" t="s">
        <v>1209</v>
      </c>
      <c r="C73" s="52" t="s">
        <v>1135</v>
      </c>
      <c r="D73" s="52" t="s">
        <v>1136</v>
      </c>
      <c r="E73" s="52" t="s">
        <v>1053</v>
      </c>
      <c r="F73" s="52"/>
      <c r="G73" s="52" t="s">
        <v>1343</v>
      </c>
      <c r="H73" s="52" t="s">
        <v>1344</v>
      </c>
      <c r="I73" s="56" t="s">
        <v>1350</v>
      </c>
      <c r="J73" s="56" t="s">
        <v>1351</v>
      </c>
      <c r="K73" s="52" t="s">
        <v>1054</v>
      </c>
      <c r="L73" s="52" t="s">
        <v>1054</v>
      </c>
      <c r="M73" s="52" t="s">
        <v>1054</v>
      </c>
      <c r="N73" s="52">
        <v>1</v>
      </c>
      <c r="O73" s="52">
        <v>0</v>
      </c>
      <c r="P73" s="58">
        <v>2542</v>
      </c>
      <c r="Q73" s="58">
        <f t="shared" si="1"/>
        <v>2999.56</v>
      </c>
      <c r="R73" s="58" t="s">
        <v>1345</v>
      </c>
    </row>
    <row r="74" spans="1:18" x14ac:dyDescent="0.35">
      <c r="A74" s="57"/>
      <c r="B74" s="52" t="s">
        <v>1012</v>
      </c>
      <c r="C74" s="52" t="s">
        <v>1135</v>
      </c>
      <c r="D74" s="52" t="s">
        <v>1136</v>
      </c>
      <c r="E74" s="52" t="s">
        <v>1053</v>
      </c>
      <c r="F74" s="52"/>
      <c r="G74" s="52" t="s">
        <v>1343</v>
      </c>
      <c r="H74" s="52" t="s">
        <v>1344</v>
      </c>
      <c r="I74" s="56" t="s">
        <v>1350</v>
      </c>
      <c r="J74" s="56" t="s">
        <v>1351</v>
      </c>
      <c r="K74" s="52" t="s">
        <v>1054</v>
      </c>
      <c r="L74" s="52" t="s">
        <v>1054</v>
      </c>
      <c r="M74" s="52" t="s">
        <v>1054</v>
      </c>
      <c r="N74" s="52">
        <v>1</v>
      </c>
      <c r="O74" s="52">
        <v>0</v>
      </c>
      <c r="P74" s="58">
        <v>4661</v>
      </c>
      <c r="Q74" s="58">
        <f t="shared" si="1"/>
        <v>5499.98</v>
      </c>
      <c r="R74" s="58" t="s">
        <v>1345</v>
      </c>
    </row>
    <row r="75" spans="1:18" x14ac:dyDescent="0.35">
      <c r="A75" s="57"/>
      <c r="B75" s="52" t="s">
        <v>1139</v>
      </c>
      <c r="C75" s="52" t="s">
        <v>1135</v>
      </c>
      <c r="D75" s="52" t="s">
        <v>1136</v>
      </c>
      <c r="E75" s="52" t="s">
        <v>1053</v>
      </c>
      <c r="F75" s="52"/>
      <c r="G75" s="52" t="s">
        <v>1343</v>
      </c>
      <c r="H75" s="52" t="s">
        <v>1344</v>
      </c>
      <c r="I75" s="56" t="s">
        <v>1350</v>
      </c>
      <c r="J75" s="56" t="s">
        <v>1351</v>
      </c>
      <c r="K75" s="52" t="s">
        <v>1054</v>
      </c>
      <c r="L75" s="52" t="s">
        <v>1054</v>
      </c>
      <c r="M75" s="52" t="s">
        <v>1054</v>
      </c>
      <c r="N75" s="52">
        <v>1</v>
      </c>
      <c r="O75" s="52">
        <v>0</v>
      </c>
      <c r="P75" s="58">
        <v>1695</v>
      </c>
      <c r="Q75" s="58">
        <f t="shared" si="1"/>
        <v>2000.1</v>
      </c>
      <c r="R75" s="58" t="s">
        <v>1345</v>
      </c>
    </row>
    <row r="76" spans="1:18" x14ac:dyDescent="0.35">
      <c r="A76" s="57"/>
      <c r="B76" s="52" t="s">
        <v>1138</v>
      </c>
      <c r="C76" s="52" t="s">
        <v>1135</v>
      </c>
      <c r="D76" s="52" t="s">
        <v>1136</v>
      </c>
      <c r="E76" s="52" t="s">
        <v>1053</v>
      </c>
      <c r="F76" s="52"/>
      <c r="G76" s="52" t="s">
        <v>1343</v>
      </c>
      <c r="H76" s="52" t="s">
        <v>1344</v>
      </c>
      <c r="I76" s="56" t="s">
        <v>1350</v>
      </c>
      <c r="J76" s="56" t="s">
        <v>1351</v>
      </c>
      <c r="K76" s="52" t="s">
        <v>1054</v>
      </c>
      <c r="L76" s="52" t="s">
        <v>1054</v>
      </c>
      <c r="M76" s="52" t="s">
        <v>1054</v>
      </c>
      <c r="N76" s="52">
        <v>1</v>
      </c>
      <c r="O76" s="52">
        <v>0</v>
      </c>
      <c r="P76" s="58">
        <v>1695</v>
      </c>
      <c r="Q76" s="58">
        <f t="shared" si="1"/>
        <v>2000.1</v>
      </c>
      <c r="R76" s="58" t="s">
        <v>1345</v>
      </c>
    </row>
    <row r="77" spans="1:18" x14ac:dyDescent="0.35">
      <c r="A77" s="57"/>
      <c r="B77" s="52" t="s">
        <v>636</v>
      </c>
      <c r="C77" s="52" t="s">
        <v>1135</v>
      </c>
      <c r="D77" s="52" t="s">
        <v>1136</v>
      </c>
      <c r="E77" s="52" t="s">
        <v>1053</v>
      </c>
      <c r="F77" s="52"/>
      <c r="G77" s="52" t="s">
        <v>1343</v>
      </c>
      <c r="H77" s="52" t="s">
        <v>1344</v>
      </c>
      <c r="I77" s="56" t="s">
        <v>1350</v>
      </c>
      <c r="J77" s="56" t="s">
        <v>1351</v>
      </c>
      <c r="K77" s="52" t="s">
        <v>1054</v>
      </c>
      <c r="L77" s="52" t="s">
        <v>1054</v>
      </c>
      <c r="M77" s="52" t="s">
        <v>1054</v>
      </c>
      <c r="N77" s="52">
        <v>1</v>
      </c>
      <c r="O77" s="52">
        <v>0</v>
      </c>
      <c r="P77" s="58">
        <v>1695</v>
      </c>
      <c r="Q77" s="58">
        <f t="shared" si="1"/>
        <v>2000.1</v>
      </c>
      <c r="R77" s="58" t="s">
        <v>1345</v>
      </c>
    </row>
    <row r="78" spans="1:18" x14ac:dyDescent="0.35">
      <c r="A78" s="57"/>
      <c r="B78" s="52" t="s">
        <v>1182</v>
      </c>
      <c r="C78" s="52" t="s">
        <v>1135</v>
      </c>
      <c r="D78" s="52" t="s">
        <v>1136</v>
      </c>
      <c r="E78" s="52" t="s">
        <v>1053</v>
      </c>
      <c r="F78" s="52"/>
      <c r="G78" s="52" t="s">
        <v>1343</v>
      </c>
      <c r="H78" s="52" t="s">
        <v>1344</v>
      </c>
      <c r="I78" s="56" t="s">
        <v>1350</v>
      </c>
      <c r="J78" s="56" t="s">
        <v>1351</v>
      </c>
      <c r="K78" s="52" t="s">
        <v>1054</v>
      </c>
      <c r="L78" s="52" t="s">
        <v>1054</v>
      </c>
      <c r="M78" s="52" t="s">
        <v>1054</v>
      </c>
      <c r="N78" s="52">
        <v>1</v>
      </c>
      <c r="O78" s="52">
        <v>0</v>
      </c>
      <c r="P78" s="58">
        <v>1017</v>
      </c>
      <c r="Q78" s="58">
        <f t="shared" si="1"/>
        <v>1200.06</v>
      </c>
      <c r="R78" s="58" t="s">
        <v>1345</v>
      </c>
    </row>
    <row r="79" spans="1:18" x14ac:dyDescent="0.35">
      <c r="A79" s="57"/>
      <c r="B79" s="52" t="s">
        <v>1355</v>
      </c>
      <c r="C79" s="52" t="s">
        <v>1135</v>
      </c>
      <c r="D79" s="52" t="s">
        <v>1136</v>
      </c>
      <c r="E79" s="52" t="s">
        <v>1053</v>
      </c>
      <c r="F79" s="52"/>
      <c r="G79" s="52" t="s">
        <v>1343</v>
      </c>
      <c r="H79" s="52" t="s">
        <v>1344</v>
      </c>
      <c r="I79" s="56" t="s">
        <v>1350</v>
      </c>
      <c r="J79" s="56" t="s">
        <v>1351</v>
      </c>
      <c r="K79" s="52" t="s">
        <v>1054</v>
      </c>
      <c r="L79" s="52" t="s">
        <v>1054</v>
      </c>
      <c r="M79" s="52" t="s">
        <v>1054</v>
      </c>
      <c r="N79" s="52">
        <v>1</v>
      </c>
      <c r="O79" s="52">
        <v>0</v>
      </c>
      <c r="P79" s="58">
        <v>3770</v>
      </c>
      <c r="Q79" s="58">
        <f t="shared" si="1"/>
        <v>4448.5999999999995</v>
      </c>
      <c r="R79" s="58" t="s">
        <v>1345</v>
      </c>
    </row>
    <row r="80" spans="1:18" x14ac:dyDescent="0.35">
      <c r="A80" s="57"/>
      <c r="B80" s="52" t="s">
        <v>1183</v>
      </c>
      <c r="C80" s="52" t="s">
        <v>1135</v>
      </c>
      <c r="D80" s="52" t="s">
        <v>1136</v>
      </c>
      <c r="E80" s="52" t="s">
        <v>1053</v>
      </c>
      <c r="F80" s="52"/>
      <c r="G80" s="52" t="s">
        <v>1343</v>
      </c>
      <c r="H80" s="52" t="s">
        <v>1344</v>
      </c>
      <c r="I80" s="56" t="s">
        <v>1350</v>
      </c>
      <c r="J80" s="56" t="s">
        <v>1351</v>
      </c>
      <c r="K80" s="52" t="s">
        <v>1054</v>
      </c>
      <c r="L80" s="52" t="s">
        <v>1054</v>
      </c>
      <c r="M80" s="52" t="s">
        <v>1054</v>
      </c>
      <c r="N80" s="52">
        <v>1</v>
      </c>
      <c r="O80" s="52">
        <v>0</v>
      </c>
      <c r="P80" s="58">
        <v>3770</v>
      </c>
      <c r="Q80" s="58">
        <f t="shared" si="1"/>
        <v>4448.5999999999995</v>
      </c>
      <c r="R80" s="58" t="s">
        <v>1345</v>
      </c>
    </row>
    <row r="81" spans="1:18" x14ac:dyDescent="0.35">
      <c r="A81" s="57"/>
      <c r="B81" s="52" t="s">
        <v>1346</v>
      </c>
      <c r="C81" s="52" t="s">
        <v>1135</v>
      </c>
      <c r="D81" s="52" t="s">
        <v>1136</v>
      </c>
      <c r="E81" s="52" t="s">
        <v>1053</v>
      </c>
      <c r="F81" s="52"/>
      <c r="G81" s="52" t="s">
        <v>1343</v>
      </c>
      <c r="H81" s="52" t="s">
        <v>1344</v>
      </c>
      <c r="I81" s="56" t="s">
        <v>1350</v>
      </c>
      <c r="J81" s="56" t="s">
        <v>1351</v>
      </c>
      <c r="K81" s="52" t="s">
        <v>1054</v>
      </c>
      <c r="L81" s="52" t="s">
        <v>1054</v>
      </c>
      <c r="M81" s="52" t="s">
        <v>1054</v>
      </c>
      <c r="N81" s="52">
        <v>1</v>
      </c>
      <c r="O81" s="52">
        <v>0</v>
      </c>
      <c r="P81" s="58">
        <v>678</v>
      </c>
      <c r="Q81" s="58">
        <f t="shared" si="1"/>
        <v>800.04</v>
      </c>
      <c r="R81" s="58" t="s">
        <v>1345</v>
      </c>
    </row>
    <row r="82" spans="1:18" x14ac:dyDescent="0.35">
      <c r="A82" s="57"/>
      <c r="B82" s="52" t="s">
        <v>1334</v>
      </c>
      <c r="C82" s="52" t="s">
        <v>1135</v>
      </c>
      <c r="D82" s="52" t="s">
        <v>1136</v>
      </c>
      <c r="E82" s="52" t="s">
        <v>1053</v>
      </c>
      <c r="F82" s="52"/>
      <c r="G82" s="52" t="s">
        <v>1343</v>
      </c>
      <c r="H82" s="52" t="s">
        <v>1344</v>
      </c>
      <c r="I82" s="56" t="s">
        <v>1350</v>
      </c>
      <c r="J82" s="56" t="s">
        <v>1351</v>
      </c>
      <c r="K82" s="52" t="s">
        <v>1054</v>
      </c>
      <c r="L82" s="52" t="s">
        <v>1054</v>
      </c>
      <c r="M82" s="52" t="s">
        <v>1054</v>
      </c>
      <c r="N82" s="52">
        <v>1</v>
      </c>
      <c r="O82" s="52">
        <v>0</v>
      </c>
      <c r="P82" s="58">
        <v>3632</v>
      </c>
      <c r="Q82" s="58">
        <f t="shared" si="1"/>
        <v>4285.76</v>
      </c>
      <c r="R82" s="58" t="s">
        <v>1345</v>
      </c>
    </row>
    <row r="83" spans="1:18" x14ac:dyDescent="0.35">
      <c r="A83" s="57"/>
      <c r="B83" s="52" t="s">
        <v>239</v>
      </c>
      <c r="C83" s="52" t="s">
        <v>1135</v>
      </c>
      <c r="D83" s="52" t="s">
        <v>1136</v>
      </c>
      <c r="E83" s="52" t="s">
        <v>1053</v>
      </c>
      <c r="F83" s="52"/>
      <c r="G83" s="52" t="s">
        <v>1343</v>
      </c>
      <c r="H83" s="52" t="s">
        <v>1344</v>
      </c>
      <c r="I83" s="56" t="s">
        <v>1350</v>
      </c>
      <c r="J83" s="56" t="s">
        <v>1351</v>
      </c>
      <c r="K83" s="52" t="s">
        <v>1054</v>
      </c>
      <c r="L83" s="52" t="s">
        <v>1054</v>
      </c>
      <c r="M83" s="52" t="s">
        <v>1054</v>
      </c>
      <c r="N83" s="52">
        <v>1</v>
      </c>
      <c r="O83" s="52">
        <v>0</v>
      </c>
      <c r="P83" s="58">
        <v>342</v>
      </c>
      <c r="Q83" s="58">
        <f t="shared" si="1"/>
        <v>403.56</v>
      </c>
      <c r="R83" s="58" t="s">
        <v>1345</v>
      </c>
    </row>
    <row r="84" spans="1:18" x14ac:dyDescent="0.35">
      <c r="A84" s="57"/>
      <c r="B84" s="52" t="s">
        <v>1211</v>
      </c>
      <c r="C84" s="52" t="s">
        <v>1135</v>
      </c>
      <c r="D84" s="52" t="s">
        <v>1136</v>
      </c>
      <c r="E84" s="52" t="s">
        <v>1053</v>
      </c>
      <c r="F84" s="52"/>
      <c r="G84" s="52" t="s">
        <v>1343</v>
      </c>
      <c r="H84" s="52" t="s">
        <v>1344</v>
      </c>
      <c r="I84" s="56" t="s">
        <v>1350</v>
      </c>
      <c r="J84" s="56" t="s">
        <v>1351</v>
      </c>
      <c r="K84" s="52" t="s">
        <v>1054</v>
      </c>
      <c r="L84" s="52" t="s">
        <v>1054</v>
      </c>
      <c r="M84" s="52" t="s">
        <v>1054</v>
      </c>
      <c r="N84" s="52">
        <v>1</v>
      </c>
      <c r="O84" s="52">
        <v>0</v>
      </c>
      <c r="P84" s="58">
        <v>1709</v>
      </c>
      <c r="Q84" s="58">
        <f t="shared" si="1"/>
        <v>2016.62</v>
      </c>
      <c r="R84" s="58" t="s">
        <v>1345</v>
      </c>
    </row>
    <row r="85" spans="1:18" x14ac:dyDescent="0.35">
      <c r="A85" s="57"/>
      <c r="B85" s="52" t="s">
        <v>1122</v>
      </c>
      <c r="C85" s="52" t="s">
        <v>1135</v>
      </c>
      <c r="D85" s="52" t="s">
        <v>1136</v>
      </c>
      <c r="E85" s="52" t="s">
        <v>1053</v>
      </c>
      <c r="F85" s="52"/>
      <c r="G85" s="52" t="s">
        <v>1343</v>
      </c>
      <c r="H85" s="52" t="s">
        <v>1344</v>
      </c>
      <c r="I85" s="56" t="s">
        <v>1350</v>
      </c>
      <c r="J85" s="56" t="s">
        <v>1351</v>
      </c>
      <c r="K85" s="52" t="s">
        <v>1054</v>
      </c>
      <c r="L85" s="52" t="s">
        <v>1054</v>
      </c>
      <c r="M85" s="52" t="s">
        <v>1054</v>
      </c>
      <c r="N85" s="52">
        <v>1</v>
      </c>
      <c r="O85" s="52">
        <v>0</v>
      </c>
      <c r="P85" s="58">
        <v>1709</v>
      </c>
      <c r="Q85" s="58">
        <f t="shared" si="1"/>
        <v>2016.62</v>
      </c>
      <c r="R85" s="58" t="s">
        <v>1345</v>
      </c>
    </row>
    <row r="86" spans="1:18" x14ac:dyDescent="0.35">
      <c r="A86" s="57"/>
      <c r="B86" s="52" t="s">
        <v>1137</v>
      </c>
      <c r="C86" s="52" t="s">
        <v>1135</v>
      </c>
      <c r="D86" s="52" t="s">
        <v>1136</v>
      </c>
      <c r="E86" s="52" t="s">
        <v>1053</v>
      </c>
      <c r="F86" s="52"/>
      <c r="G86" s="52" t="s">
        <v>1343</v>
      </c>
      <c r="H86" s="52" t="s">
        <v>1344</v>
      </c>
      <c r="I86" s="56" t="s">
        <v>1350</v>
      </c>
      <c r="J86" s="56" t="s">
        <v>1351</v>
      </c>
      <c r="K86" s="52" t="s">
        <v>1054</v>
      </c>
      <c r="L86" s="52" t="s">
        <v>1054</v>
      </c>
      <c r="M86" s="52" t="s">
        <v>1054</v>
      </c>
      <c r="N86" s="52">
        <v>1</v>
      </c>
      <c r="O86" s="52">
        <v>0</v>
      </c>
      <c r="P86" s="58">
        <v>1950</v>
      </c>
      <c r="Q86" s="58">
        <f t="shared" si="1"/>
        <v>2301</v>
      </c>
      <c r="R86" s="58" t="s">
        <v>1345</v>
      </c>
    </row>
    <row r="87" spans="1:18" x14ac:dyDescent="0.35">
      <c r="A87" s="57"/>
      <c r="B87" s="52" t="s">
        <v>1212</v>
      </c>
      <c r="C87" s="52" t="s">
        <v>1135</v>
      </c>
      <c r="D87" s="52" t="s">
        <v>1136</v>
      </c>
      <c r="E87" s="52" t="s">
        <v>1053</v>
      </c>
      <c r="F87" s="52"/>
      <c r="G87" s="52" t="s">
        <v>1343</v>
      </c>
      <c r="H87" s="52" t="s">
        <v>1344</v>
      </c>
      <c r="I87" s="56" t="s">
        <v>1350</v>
      </c>
      <c r="J87" s="56" t="s">
        <v>1351</v>
      </c>
      <c r="K87" s="52" t="s">
        <v>1054</v>
      </c>
      <c r="L87" s="52" t="s">
        <v>1054</v>
      </c>
      <c r="M87" s="52" t="s">
        <v>1054</v>
      </c>
      <c r="N87" s="52">
        <v>1</v>
      </c>
      <c r="O87" s="52">
        <v>0</v>
      </c>
      <c r="P87" s="58">
        <v>1672</v>
      </c>
      <c r="Q87" s="58">
        <f t="shared" si="1"/>
        <v>1972.9599999999998</v>
      </c>
      <c r="R87" s="58" t="s">
        <v>1345</v>
      </c>
    </row>
    <row r="88" spans="1:18" x14ac:dyDescent="0.35">
      <c r="A88" s="57"/>
      <c r="B88" s="52" t="s">
        <v>1356</v>
      </c>
      <c r="C88" s="52" t="s">
        <v>1135</v>
      </c>
      <c r="D88" s="52" t="s">
        <v>1136</v>
      </c>
      <c r="E88" s="52" t="s">
        <v>1053</v>
      </c>
      <c r="F88" s="52"/>
      <c r="G88" s="52" t="s">
        <v>1343</v>
      </c>
      <c r="H88" s="52" t="s">
        <v>1344</v>
      </c>
      <c r="I88" s="56" t="s">
        <v>1350</v>
      </c>
      <c r="J88" s="56" t="s">
        <v>1351</v>
      </c>
      <c r="K88" s="52" t="s">
        <v>1054</v>
      </c>
      <c r="L88" s="52" t="s">
        <v>1054</v>
      </c>
      <c r="M88" s="52" t="s">
        <v>1054</v>
      </c>
      <c r="N88" s="52">
        <v>1</v>
      </c>
      <c r="O88" s="52">
        <v>0</v>
      </c>
      <c r="P88" s="58">
        <v>1657</v>
      </c>
      <c r="Q88" s="58">
        <f t="shared" si="1"/>
        <v>1955.26</v>
      </c>
      <c r="R88" s="58" t="s">
        <v>1345</v>
      </c>
    </row>
    <row r="89" spans="1:18" x14ac:dyDescent="0.35">
      <c r="A89" s="57"/>
      <c r="B89" s="52" t="s">
        <v>704</v>
      </c>
      <c r="C89" s="52" t="s">
        <v>1135</v>
      </c>
      <c r="D89" s="52" t="s">
        <v>1136</v>
      </c>
      <c r="E89" s="52" t="s">
        <v>1053</v>
      </c>
      <c r="F89" s="52"/>
      <c r="G89" s="52" t="s">
        <v>1343</v>
      </c>
      <c r="H89" s="52" t="s">
        <v>1344</v>
      </c>
      <c r="I89" s="56" t="s">
        <v>1350</v>
      </c>
      <c r="J89" s="56" t="s">
        <v>1351</v>
      </c>
      <c r="K89" s="52" t="s">
        <v>1054</v>
      </c>
      <c r="L89" s="52" t="s">
        <v>1054</v>
      </c>
      <c r="M89" s="52" t="s">
        <v>1054</v>
      </c>
      <c r="N89" s="52">
        <v>1</v>
      </c>
      <c r="O89" s="52">
        <v>0</v>
      </c>
      <c r="P89" s="58">
        <v>342</v>
      </c>
      <c r="Q89" s="58">
        <f t="shared" si="1"/>
        <v>403.56</v>
      </c>
      <c r="R89" s="58" t="s">
        <v>1345</v>
      </c>
    </row>
    <row r="90" spans="1:18" x14ac:dyDescent="0.35">
      <c r="A90" s="57"/>
      <c r="B90" s="52" t="s">
        <v>1120</v>
      </c>
      <c r="C90" s="52" t="s">
        <v>1135</v>
      </c>
      <c r="D90" s="52" t="s">
        <v>1136</v>
      </c>
      <c r="E90" s="52" t="s">
        <v>1053</v>
      </c>
      <c r="F90" s="52"/>
      <c r="G90" s="52" t="s">
        <v>1343</v>
      </c>
      <c r="H90" s="52" t="s">
        <v>1344</v>
      </c>
      <c r="I90" s="56" t="s">
        <v>1350</v>
      </c>
      <c r="J90" s="56" t="s">
        <v>1351</v>
      </c>
      <c r="K90" s="52" t="s">
        <v>1054</v>
      </c>
      <c r="L90" s="52" t="s">
        <v>1054</v>
      </c>
      <c r="M90" s="52" t="s">
        <v>1054</v>
      </c>
      <c r="N90" s="52">
        <v>1</v>
      </c>
      <c r="O90" s="52">
        <v>0</v>
      </c>
      <c r="P90" s="58">
        <v>1672</v>
      </c>
      <c r="Q90" s="58">
        <f t="shared" si="1"/>
        <v>1972.9599999999998</v>
      </c>
      <c r="R90" s="58" t="s">
        <v>1345</v>
      </c>
    </row>
    <row r="91" spans="1:18" x14ac:dyDescent="0.35">
      <c r="A91" s="57"/>
      <c r="B91" s="52" t="s">
        <v>769</v>
      </c>
      <c r="C91" s="52" t="s">
        <v>1135</v>
      </c>
      <c r="D91" s="52" t="s">
        <v>1136</v>
      </c>
      <c r="E91" s="52" t="s">
        <v>1053</v>
      </c>
      <c r="F91" s="52"/>
      <c r="G91" s="52" t="s">
        <v>1343</v>
      </c>
      <c r="H91" s="52" t="s">
        <v>1344</v>
      </c>
      <c r="I91" s="56" t="s">
        <v>1350</v>
      </c>
      <c r="J91" s="56" t="s">
        <v>1351</v>
      </c>
      <c r="K91" s="52" t="s">
        <v>1054</v>
      </c>
      <c r="L91" s="52" t="s">
        <v>1054</v>
      </c>
      <c r="M91" s="52" t="s">
        <v>1054</v>
      </c>
      <c r="N91" s="52">
        <v>1</v>
      </c>
      <c r="O91" s="52">
        <v>0</v>
      </c>
      <c r="P91" s="58">
        <v>1272</v>
      </c>
      <c r="Q91" s="58">
        <f t="shared" si="1"/>
        <v>1500.9599999999998</v>
      </c>
      <c r="R91" s="58" t="s">
        <v>1345</v>
      </c>
    </row>
    <row r="92" spans="1:18" x14ac:dyDescent="0.35">
      <c r="A92" s="57"/>
      <c r="B92" s="52" t="s">
        <v>169</v>
      </c>
      <c r="C92" s="52" t="s">
        <v>1135</v>
      </c>
      <c r="D92" s="52" t="s">
        <v>1136</v>
      </c>
      <c r="E92" s="52" t="s">
        <v>1053</v>
      </c>
      <c r="F92" s="52"/>
      <c r="G92" s="52" t="s">
        <v>1343</v>
      </c>
      <c r="H92" s="52" t="s">
        <v>1344</v>
      </c>
      <c r="I92" s="56" t="s">
        <v>1350</v>
      </c>
      <c r="J92" s="56" t="s">
        <v>1351</v>
      </c>
      <c r="K92" s="52" t="s">
        <v>1054</v>
      </c>
      <c r="L92" s="52" t="s">
        <v>1054</v>
      </c>
      <c r="M92" s="52" t="s">
        <v>1054</v>
      </c>
      <c r="N92" s="52">
        <v>1</v>
      </c>
      <c r="O92" s="52">
        <v>0</v>
      </c>
      <c r="P92" s="58">
        <v>1272</v>
      </c>
      <c r="Q92" s="58">
        <f t="shared" si="1"/>
        <v>1500.9599999999998</v>
      </c>
      <c r="R92" s="58" t="s">
        <v>1345</v>
      </c>
    </row>
    <row r="93" spans="1:18" x14ac:dyDescent="0.35">
      <c r="A93" s="57"/>
      <c r="B93" s="52" t="s">
        <v>1057</v>
      </c>
      <c r="C93" s="52" t="s">
        <v>1135</v>
      </c>
      <c r="D93" s="52" t="s">
        <v>1136</v>
      </c>
      <c r="E93" s="52" t="s">
        <v>1053</v>
      </c>
      <c r="F93" s="52"/>
      <c r="G93" s="52" t="s">
        <v>1343</v>
      </c>
      <c r="H93" s="52" t="s">
        <v>1344</v>
      </c>
      <c r="I93" s="56" t="s">
        <v>1350</v>
      </c>
      <c r="J93" s="56" t="s">
        <v>1351</v>
      </c>
      <c r="K93" s="52" t="s">
        <v>1054</v>
      </c>
      <c r="L93" s="52" t="s">
        <v>1054</v>
      </c>
      <c r="M93" s="52" t="s">
        <v>1054</v>
      </c>
      <c r="N93" s="52">
        <v>1</v>
      </c>
      <c r="O93" s="52">
        <v>0</v>
      </c>
      <c r="P93" s="58">
        <v>2118</v>
      </c>
      <c r="Q93" s="58">
        <f t="shared" si="1"/>
        <v>2499.2399999999998</v>
      </c>
      <c r="R93" s="58" t="s">
        <v>1345</v>
      </c>
    </row>
    <row r="94" spans="1:18" x14ac:dyDescent="0.35">
      <c r="A94" s="57"/>
      <c r="B94" s="52" t="s">
        <v>158</v>
      </c>
      <c r="C94" s="52" t="s">
        <v>1135</v>
      </c>
      <c r="D94" s="52" t="s">
        <v>1136</v>
      </c>
      <c r="E94" s="52" t="s">
        <v>1053</v>
      </c>
      <c r="F94" s="52"/>
      <c r="G94" s="52" t="s">
        <v>1343</v>
      </c>
      <c r="H94" s="52" t="s">
        <v>1344</v>
      </c>
      <c r="I94" s="56" t="s">
        <v>1350</v>
      </c>
      <c r="J94" s="56" t="s">
        <v>1351</v>
      </c>
      <c r="K94" s="52" t="s">
        <v>1054</v>
      </c>
      <c r="L94" s="52" t="s">
        <v>1054</v>
      </c>
      <c r="M94" s="52" t="s">
        <v>1054</v>
      </c>
      <c r="N94" s="52">
        <v>1</v>
      </c>
      <c r="O94" s="52">
        <v>0</v>
      </c>
      <c r="P94" s="58">
        <v>1695</v>
      </c>
      <c r="Q94" s="58">
        <f t="shared" si="1"/>
        <v>2000.1</v>
      </c>
      <c r="R94" s="58" t="s">
        <v>1345</v>
      </c>
    </row>
    <row r="95" spans="1:18" x14ac:dyDescent="0.35">
      <c r="A95" s="57"/>
      <c r="B95" s="52" t="s">
        <v>249</v>
      </c>
      <c r="C95" s="52" t="s">
        <v>1135</v>
      </c>
      <c r="D95" s="52" t="s">
        <v>1136</v>
      </c>
      <c r="E95" s="52" t="s">
        <v>1053</v>
      </c>
      <c r="F95" s="52"/>
      <c r="G95" s="52" t="s">
        <v>1343</v>
      </c>
      <c r="H95" s="52" t="s">
        <v>1344</v>
      </c>
      <c r="I95" s="56" t="s">
        <v>1350</v>
      </c>
      <c r="J95" s="56" t="s">
        <v>1351</v>
      </c>
      <c r="K95" s="52" t="s">
        <v>1054</v>
      </c>
      <c r="L95" s="52" t="s">
        <v>1054</v>
      </c>
      <c r="M95" s="52" t="s">
        <v>1054</v>
      </c>
      <c r="N95" s="52">
        <v>1</v>
      </c>
      <c r="O95" s="52">
        <v>0</v>
      </c>
      <c r="P95" s="58">
        <v>1695</v>
      </c>
      <c r="Q95" s="58">
        <f t="shared" si="1"/>
        <v>2000.1</v>
      </c>
      <c r="R95" s="58" t="s">
        <v>1345</v>
      </c>
    </row>
    <row r="96" spans="1:18" x14ac:dyDescent="0.35">
      <c r="A96" s="57"/>
      <c r="B96" s="52" t="s">
        <v>215</v>
      </c>
      <c r="C96" s="52" t="s">
        <v>1135</v>
      </c>
      <c r="D96" s="52" t="s">
        <v>1136</v>
      </c>
      <c r="E96" s="52" t="s">
        <v>1053</v>
      </c>
      <c r="F96" s="52"/>
      <c r="G96" s="52" t="s">
        <v>1343</v>
      </c>
      <c r="H96" s="52" t="s">
        <v>1344</v>
      </c>
      <c r="I96" s="56" t="s">
        <v>1350</v>
      </c>
      <c r="J96" s="56" t="s">
        <v>1351</v>
      </c>
      <c r="K96" s="52" t="s">
        <v>1054</v>
      </c>
      <c r="L96" s="52" t="s">
        <v>1054</v>
      </c>
      <c r="M96" s="52" t="s">
        <v>1054</v>
      </c>
      <c r="N96" s="52">
        <v>1</v>
      </c>
      <c r="O96" s="52">
        <v>0</v>
      </c>
      <c r="P96" s="58">
        <v>2118</v>
      </c>
      <c r="Q96" s="58">
        <f t="shared" si="1"/>
        <v>2499.2399999999998</v>
      </c>
      <c r="R96" s="58" t="s">
        <v>1345</v>
      </c>
    </row>
    <row r="97" spans="1:18" x14ac:dyDescent="0.35">
      <c r="A97" s="57"/>
      <c r="B97" s="52" t="s">
        <v>1055</v>
      </c>
      <c r="C97" s="52" t="s">
        <v>1135</v>
      </c>
      <c r="D97" s="52" t="s">
        <v>1136</v>
      </c>
      <c r="E97" s="52" t="s">
        <v>1053</v>
      </c>
      <c r="F97" s="52"/>
      <c r="G97" s="52" t="s">
        <v>1343</v>
      </c>
      <c r="H97" s="52" t="s">
        <v>1344</v>
      </c>
      <c r="I97" s="56" t="s">
        <v>1350</v>
      </c>
      <c r="J97" s="56" t="s">
        <v>1351</v>
      </c>
      <c r="K97" s="52" t="s">
        <v>1054</v>
      </c>
      <c r="L97" s="52" t="s">
        <v>1054</v>
      </c>
      <c r="M97" s="52" t="s">
        <v>1054</v>
      </c>
      <c r="N97" s="52">
        <v>1</v>
      </c>
      <c r="O97" s="52">
        <v>0</v>
      </c>
      <c r="P97" s="58">
        <v>2118</v>
      </c>
      <c r="Q97" s="58">
        <f t="shared" si="1"/>
        <v>2499.2399999999998</v>
      </c>
      <c r="R97" s="58" t="s">
        <v>1345</v>
      </c>
    </row>
    <row r="98" spans="1:18" x14ac:dyDescent="0.35">
      <c r="A98" s="57"/>
      <c r="B98" s="52" t="s">
        <v>1180</v>
      </c>
      <c r="C98" s="52" t="s">
        <v>1135</v>
      </c>
      <c r="D98" s="52" t="s">
        <v>1136</v>
      </c>
      <c r="E98" s="52" t="s">
        <v>1053</v>
      </c>
      <c r="F98" s="52"/>
      <c r="G98" s="52" t="s">
        <v>1343</v>
      </c>
      <c r="H98" s="52" t="s">
        <v>1344</v>
      </c>
      <c r="I98" s="56" t="s">
        <v>1350</v>
      </c>
      <c r="J98" s="56" t="s">
        <v>1351</v>
      </c>
      <c r="K98" s="52" t="s">
        <v>1054</v>
      </c>
      <c r="L98" s="52" t="s">
        <v>1054</v>
      </c>
      <c r="M98" s="52" t="s">
        <v>1054</v>
      </c>
      <c r="N98" s="52">
        <v>1</v>
      </c>
      <c r="O98" s="52">
        <v>0</v>
      </c>
      <c r="P98" s="58">
        <v>1400</v>
      </c>
      <c r="Q98" s="58">
        <f t="shared" si="1"/>
        <v>1652</v>
      </c>
      <c r="R98" s="58" t="s">
        <v>1345</v>
      </c>
    </row>
    <row r="99" spans="1:18" x14ac:dyDescent="0.35">
      <c r="A99" s="57"/>
      <c r="B99" s="52" t="s">
        <v>1023</v>
      </c>
      <c r="C99" s="52" t="s">
        <v>1135</v>
      </c>
      <c r="D99" s="52" t="s">
        <v>1136</v>
      </c>
      <c r="E99" s="52" t="s">
        <v>1053</v>
      </c>
      <c r="F99" s="52"/>
      <c r="G99" s="52" t="s">
        <v>1343</v>
      </c>
      <c r="H99" s="52" t="s">
        <v>1344</v>
      </c>
      <c r="I99" s="56" t="s">
        <v>1350</v>
      </c>
      <c r="J99" s="56" t="s">
        <v>1351</v>
      </c>
      <c r="K99" s="52" t="s">
        <v>1054</v>
      </c>
      <c r="L99" s="52" t="s">
        <v>1054</v>
      </c>
      <c r="M99" s="52" t="s">
        <v>1054</v>
      </c>
      <c r="N99" s="52">
        <v>1</v>
      </c>
      <c r="O99" s="52">
        <v>0</v>
      </c>
      <c r="P99" s="58">
        <v>2542</v>
      </c>
      <c r="Q99" s="58">
        <f t="shared" si="1"/>
        <v>2999.56</v>
      </c>
      <c r="R99" s="58" t="s">
        <v>1345</v>
      </c>
    </row>
    <row r="100" spans="1:18" x14ac:dyDescent="0.35">
      <c r="A100" s="57"/>
      <c r="B100" s="52" t="s">
        <v>1197</v>
      </c>
      <c r="C100" s="52" t="s">
        <v>1135</v>
      </c>
      <c r="D100" s="52" t="s">
        <v>1136</v>
      </c>
      <c r="E100" s="52" t="s">
        <v>1053</v>
      </c>
      <c r="F100" s="52"/>
      <c r="G100" s="52" t="s">
        <v>1343</v>
      </c>
      <c r="H100" s="52" t="s">
        <v>1344</v>
      </c>
      <c r="I100" s="56" t="s">
        <v>1350</v>
      </c>
      <c r="J100" s="56" t="s">
        <v>1351</v>
      </c>
      <c r="K100" s="52" t="s">
        <v>1054</v>
      </c>
      <c r="L100" s="52" t="s">
        <v>1054</v>
      </c>
      <c r="M100" s="52" t="s">
        <v>1054</v>
      </c>
      <c r="N100" s="52">
        <v>1</v>
      </c>
      <c r="O100" s="52">
        <v>0</v>
      </c>
      <c r="P100" s="58">
        <v>3155</v>
      </c>
      <c r="Q100" s="58">
        <f t="shared" si="1"/>
        <v>3722.8999999999996</v>
      </c>
      <c r="R100" s="58" t="s">
        <v>1345</v>
      </c>
    </row>
    <row r="101" spans="1:18" x14ac:dyDescent="0.35">
      <c r="A101" s="57"/>
      <c r="B101" s="52" t="s">
        <v>1357</v>
      </c>
      <c r="C101" s="52" t="s">
        <v>1135</v>
      </c>
      <c r="D101" s="52" t="s">
        <v>1136</v>
      </c>
      <c r="E101" s="52" t="s">
        <v>1053</v>
      </c>
      <c r="F101" s="52"/>
      <c r="G101" s="52" t="s">
        <v>1343</v>
      </c>
      <c r="H101" s="52" t="s">
        <v>1344</v>
      </c>
      <c r="I101" s="56" t="s">
        <v>1350</v>
      </c>
      <c r="J101" s="56" t="s">
        <v>1351</v>
      </c>
      <c r="K101" s="52" t="s">
        <v>1054</v>
      </c>
      <c r="L101" s="52" t="s">
        <v>1054</v>
      </c>
      <c r="M101" s="52" t="s">
        <v>1054</v>
      </c>
      <c r="N101" s="52">
        <v>1</v>
      </c>
      <c r="O101" s="52">
        <v>0</v>
      </c>
      <c r="P101" s="58">
        <v>1271</v>
      </c>
      <c r="Q101" s="58">
        <f t="shared" si="1"/>
        <v>1499.78</v>
      </c>
      <c r="R101" s="58" t="s">
        <v>1345</v>
      </c>
    </row>
    <row r="102" spans="1:18" x14ac:dyDescent="0.35">
      <c r="A102" s="57"/>
      <c r="B102" s="52" t="s">
        <v>1300</v>
      </c>
      <c r="C102" s="52" t="s">
        <v>1135</v>
      </c>
      <c r="D102" s="52" t="s">
        <v>1136</v>
      </c>
      <c r="E102" s="52" t="s">
        <v>1053</v>
      </c>
      <c r="F102" s="52"/>
      <c r="G102" s="52" t="s">
        <v>1343</v>
      </c>
      <c r="H102" s="52" t="s">
        <v>1344</v>
      </c>
      <c r="I102" s="56" t="s">
        <v>1350</v>
      </c>
      <c r="J102" s="56" t="s">
        <v>1351</v>
      </c>
      <c r="K102" s="52" t="s">
        <v>1054</v>
      </c>
      <c r="L102" s="52" t="s">
        <v>1054</v>
      </c>
      <c r="M102" s="52" t="s">
        <v>1054</v>
      </c>
      <c r="N102" s="52">
        <v>1</v>
      </c>
      <c r="O102" s="52">
        <v>0</v>
      </c>
      <c r="P102" s="58">
        <v>5085</v>
      </c>
      <c r="Q102" s="58">
        <f t="shared" si="1"/>
        <v>6000.2999999999993</v>
      </c>
      <c r="R102" s="58" t="s">
        <v>1345</v>
      </c>
    </row>
    <row r="103" spans="1:18" x14ac:dyDescent="0.35">
      <c r="A103" s="57"/>
      <c r="B103" s="52" t="s">
        <v>1316</v>
      </c>
      <c r="C103" s="52" t="s">
        <v>1135</v>
      </c>
      <c r="D103" s="52" t="s">
        <v>1136</v>
      </c>
      <c r="E103" s="52" t="s">
        <v>1053</v>
      </c>
      <c r="F103" s="52"/>
      <c r="G103" s="52" t="s">
        <v>1343</v>
      </c>
      <c r="H103" s="52" t="s">
        <v>1344</v>
      </c>
      <c r="I103" s="56" t="s">
        <v>1350</v>
      </c>
      <c r="J103" s="56" t="s">
        <v>1351</v>
      </c>
      <c r="K103" s="52" t="s">
        <v>1054</v>
      </c>
      <c r="L103" s="52" t="s">
        <v>1054</v>
      </c>
      <c r="M103" s="52" t="s">
        <v>1054</v>
      </c>
      <c r="N103" s="52">
        <v>1</v>
      </c>
      <c r="O103" s="52">
        <v>0</v>
      </c>
      <c r="P103" s="58">
        <v>422</v>
      </c>
      <c r="Q103" s="58">
        <f t="shared" si="1"/>
        <v>497.96</v>
      </c>
      <c r="R103" s="58" t="s">
        <v>1345</v>
      </c>
    </row>
    <row r="104" spans="1:18" x14ac:dyDescent="0.35">
      <c r="A104" s="57"/>
      <c r="B104" s="52" t="s">
        <v>1322</v>
      </c>
      <c r="C104" s="52" t="s">
        <v>1135</v>
      </c>
      <c r="D104" s="52" t="s">
        <v>1136</v>
      </c>
      <c r="E104" s="52" t="s">
        <v>1053</v>
      </c>
      <c r="F104" s="52"/>
      <c r="G104" s="52" t="s">
        <v>1343</v>
      </c>
      <c r="H104" s="52" t="s">
        <v>1344</v>
      </c>
      <c r="I104" s="56" t="s">
        <v>1350</v>
      </c>
      <c r="J104" s="56" t="s">
        <v>1351</v>
      </c>
      <c r="K104" s="52" t="s">
        <v>1054</v>
      </c>
      <c r="L104" s="52" t="s">
        <v>1054</v>
      </c>
      <c r="M104" s="52" t="s">
        <v>1054</v>
      </c>
      <c r="N104" s="52">
        <v>1</v>
      </c>
      <c r="O104" s="52">
        <v>0</v>
      </c>
      <c r="P104" s="58">
        <v>383</v>
      </c>
      <c r="Q104" s="58">
        <f t="shared" si="1"/>
        <v>451.94</v>
      </c>
      <c r="R104" s="58" t="s">
        <v>1345</v>
      </c>
    </row>
    <row r="105" spans="1:18" x14ac:dyDescent="0.35">
      <c r="A105" s="57"/>
      <c r="B105" s="52" t="s">
        <v>1358</v>
      </c>
      <c r="C105" s="52" t="s">
        <v>1135</v>
      </c>
      <c r="D105" s="52" t="s">
        <v>1136</v>
      </c>
      <c r="E105" s="52" t="s">
        <v>1053</v>
      </c>
      <c r="F105" s="52"/>
      <c r="G105" s="52" t="s">
        <v>1343</v>
      </c>
      <c r="H105" s="52" t="s">
        <v>1344</v>
      </c>
      <c r="I105" s="56" t="s">
        <v>1350</v>
      </c>
      <c r="J105" s="56" t="s">
        <v>1351</v>
      </c>
      <c r="K105" s="52" t="s">
        <v>1054</v>
      </c>
      <c r="L105" s="52" t="s">
        <v>1054</v>
      </c>
      <c r="M105" s="52" t="s">
        <v>1054</v>
      </c>
      <c r="N105" s="52">
        <v>1</v>
      </c>
      <c r="O105" s="52">
        <v>0</v>
      </c>
      <c r="P105" s="58">
        <v>2542</v>
      </c>
      <c r="Q105" s="58">
        <f t="shared" si="1"/>
        <v>2999.56</v>
      </c>
      <c r="R105" s="58" t="s">
        <v>1345</v>
      </c>
    </row>
    <row r="106" spans="1:18" x14ac:dyDescent="0.35">
      <c r="A106" s="57"/>
      <c r="B106" s="52" t="s">
        <v>1201</v>
      </c>
      <c r="C106" s="52" t="s">
        <v>1135</v>
      </c>
      <c r="D106" s="52" t="s">
        <v>1136</v>
      </c>
      <c r="E106" s="52" t="s">
        <v>1053</v>
      </c>
      <c r="F106" s="52"/>
      <c r="G106" s="52" t="s">
        <v>1343</v>
      </c>
      <c r="H106" s="52" t="s">
        <v>1344</v>
      </c>
      <c r="I106" s="56" t="s">
        <v>1350</v>
      </c>
      <c r="J106" s="56" t="s">
        <v>1351</v>
      </c>
      <c r="K106" s="52" t="s">
        <v>1054</v>
      </c>
      <c r="L106" s="52" t="s">
        <v>1054</v>
      </c>
      <c r="M106" s="52" t="s">
        <v>1054</v>
      </c>
      <c r="N106" s="52">
        <v>1</v>
      </c>
      <c r="O106" s="52">
        <v>0</v>
      </c>
      <c r="P106" s="58">
        <v>1695</v>
      </c>
      <c r="Q106" s="58">
        <f t="shared" si="1"/>
        <v>2000.1</v>
      </c>
      <c r="R106" s="58" t="s">
        <v>1345</v>
      </c>
    </row>
    <row r="107" spans="1:18" x14ac:dyDescent="0.35">
      <c r="A107" s="57"/>
      <c r="B107" s="52" t="s">
        <v>1330</v>
      </c>
      <c r="C107" s="52" t="s">
        <v>1135</v>
      </c>
      <c r="D107" s="52" t="s">
        <v>1136</v>
      </c>
      <c r="E107" s="52" t="s">
        <v>1053</v>
      </c>
      <c r="F107" s="52"/>
      <c r="G107" s="52" t="s">
        <v>1343</v>
      </c>
      <c r="H107" s="52" t="s">
        <v>1344</v>
      </c>
      <c r="I107" s="56" t="s">
        <v>1350</v>
      </c>
      <c r="J107" s="56" t="s">
        <v>1351</v>
      </c>
      <c r="K107" s="52" t="s">
        <v>1054</v>
      </c>
      <c r="L107" s="52" t="s">
        <v>1054</v>
      </c>
      <c r="M107" s="52" t="s">
        <v>1054</v>
      </c>
      <c r="N107" s="52">
        <v>1</v>
      </c>
      <c r="O107" s="52">
        <v>0</v>
      </c>
      <c r="P107" s="58">
        <v>4492</v>
      </c>
      <c r="Q107" s="58">
        <f t="shared" si="1"/>
        <v>5300.5599999999995</v>
      </c>
      <c r="R107" s="58" t="s">
        <v>1345</v>
      </c>
    </row>
    <row r="108" spans="1:18" x14ac:dyDescent="0.35">
      <c r="A108" s="57"/>
      <c r="B108" s="52" t="s">
        <v>1323</v>
      </c>
      <c r="C108" s="52" t="s">
        <v>1135</v>
      </c>
      <c r="D108" s="52" t="s">
        <v>1136</v>
      </c>
      <c r="E108" s="52" t="s">
        <v>1053</v>
      </c>
      <c r="F108" s="52"/>
      <c r="G108" s="52" t="s">
        <v>1343</v>
      </c>
      <c r="H108" s="52" t="s">
        <v>1344</v>
      </c>
      <c r="I108" s="56" t="s">
        <v>1350</v>
      </c>
      <c r="J108" s="56" t="s">
        <v>1351</v>
      </c>
      <c r="K108" s="52" t="s">
        <v>1054</v>
      </c>
      <c r="L108" s="52" t="s">
        <v>1054</v>
      </c>
      <c r="M108" s="52" t="s">
        <v>1054</v>
      </c>
      <c r="N108" s="52">
        <v>1</v>
      </c>
      <c r="O108" s="52">
        <v>0</v>
      </c>
      <c r="P108" s="58">
        <v>422</v>
      </c>
      <c r="Q108" s="58">
        <f t="shared" si="1"/>
        <v>497.96</v>
      </c>
      <c r="R108" s="58" t="s">
        <v>1345</v>
      </c>
    </row>
    <row r="109" spans="1:18" x14ac:dyDescent="0.35">
      <c r="A109" s="57"/>
      <c r="B109" s="52" t="s">
        <v>1200</v>
      </c>
      <c r="C109" s="52" t="s">
        <v>1135</v>
      </c>
      <c r="D109" s="52" t="s">
        <v>1136</v>
      </c>
      <c r="E109" s="52" t="s">
        <v>1053</v>
      </c>
      <c r="F109" s="52"/>
      <c r="G109" s="52" t="s">
        <v>1343</v>
      </c>
      <c r="H109" s="52" t="s">
        <v>1344</v>
      </c>
      <c r="I109" s="56" t="s">
        <v>1350</v>
      </c>
      <c r="J109" s="56" t="s">
        <v>1351</v>
      </c>
      <c r="K109" s="52" t="s">
        <v>1054</v>
      </c>
      <c r="L109" s="52" t="s">
        <v>1054</v>
      </c>
      <c r="M109" s="52" t="s">
        <v>1054</v>
      </c>
      <c r="N109" s="52">
        <v>1</v>
      </c>
      <c r="O109" s="52">
        <v>0</v>
      </c>
      <c r="P109" s="58">
        <v>1695</v>
      </c>
      <c r="Q109" s="58">
        <f t="shared" si="1"/>
        <v>2000.1</v>
      </c>
      <c r="R109" s="58" t="s">
        <v>1345</v>
      </c>
    </row>
    <row r="110" spans="1:18" x14ac:dyDescent="0.35">
      <c r="A110" s="57"/>
      <c r="B110" s="52" t="s">
        <v>1339</v>
      </c>
      <c r="C110" s="52" t="s">
        <v>1135</v>
      </c>
      <c r="D110" s="52" t="s">
        <v>1136</v>
      </c>
      <c r="E110" s="52" t="s">
        <v>1053</v>
      </c>
      <c r="F110" s="52"/>
      <c r="G110" s="52" t="s">
        <v>1343</v>
      </c>
      <c r="H110" s="52" t="s">
        <v>1344</v>
      </c>
      <c r="I110" s="56" t="s">
        <v>1350</v>
      </c>
      <c r="J110" s="56" t="s">
        <v>1351</v>
      </c>
      <c r="K110" s="52" t="s">
        <v>1054</v>
      </c>
      <c r="L110" s="52" t="s">
        <v>1054</v>
      </c>
      <c r="M110" s="52" t="s">
        <v>1054</v>
      </c>
      <c r="N110" s="52">
        <v>1</v>
      </c>
      <c r="O110" s="52">
        <v>0</v>
      </c>
      <c r="P110" s="58">
        <v>1111</v>
      </c>
      <c r="Q110" s="58">
        <f t="shared" si="1"/>
        <v>1310.98</v>
      </c>
      <c r="R110" s="58" t="s">
        <v>1345</v>
      </c>
    </row>
    <row r="111" spans="1:18" x14ac:dyDescent="0.35">
      <c r="A111" s="57"/>
      <c r="B111" s="52" t="s">
        <v>1205</v>
      </c>
      <c r="C111" s="52" t="s">
        <v>1135</v>
      </c>
      <c r="D111" s="52" t="s">
        <v>1136</v>
      </c>
      <c r="E111" s="52" t="s">
        <v>1053</v>
      </c>
      <c r="F111" s="52"/>
      <c r="G111" s="52" t="s">
        <v>1343</v>
      </c>
      <c r="H111" s="52" t="s">
        <v>1344</v>
      </c>
      <c r="I111" s="56" t="s">
        <v>1350</v>
      </c>
      <c r="J111" s="56" t="s">
        <v>1351</v>
      </c>
      <c r="K111" s="52" t="s">
        <v>1054</v>
      </c>
      <c r="L111" s="52" t="s">
        <v>1054</v>
      </c>
      <c r="M111" s="52" t="s">
        <v>1054</v>
      </c>
      <c r="N111" s="52">
        <v>1</v>
      </c>
      <c r="O111" s="52">
        <v>0</v>
      </c>
      <c r="P111" s="58">
        <v>847</v>
      </c>
      <c r="Q111" s="58">
        <f t="shared" si="1"/>
        <v>999.45999999999992</v>
      </c>
      <c r="R111" s="58" t="s">
        <v>1345</v>
      </c>
    </row>
    <row r="112" spans="1:18" x14ac:dyDescent="0.35">
      <c r="A112" s="57"/>
      <c r="B112" s="52" t="s">
        <v>1286</v>
      </c>
      <c r="C112" s="52" t="s">
        <v>1135</v>
      </c>
      <c r="D112" s="52" t="s">
        <v>1136</v>
      </c>
      <c r="E112" s="52" t="s">
        <v>1053</v>
      </c>
      <c r="F112" s="52"/>
      <c r="G112" s="52" t="s">
        <v>1343</v>
      </c>
      <c r="H112" s="52" t="s">
        <v>1344</v>
      </c>
      <c r="I112" s="56" t="s">
        <v>1350</v>
      </c>
      <c r="J112" s="56" t="s">
        <v>1351</v>
      </c>
      <c r="K112" s="52" t="s">
        <v>1054</v>
      </c>
      <c r="L112" s="52" t="s">
        <v>1054</v>
      </c>
      <c r="M112" s="52" t="s">
        <v>1054</v>
      </c>
      <c r="N112" s="52">
        <v>1</v>
      </c>
      <c r="O112" s="52">
        <v>0</v>
      </c>
      <c r="P112" s="58">
        <v>2373</v>
      </c>
      <c r="Q112" s="58">
        <f t="shared" si="1"/>
        <v>2800.14</v>
      </c>
      <c r="R112" s="58" t="s">
        <v>1345</v>
      </c>
    </row>
    <row r="113" spans="1:18" x14ac:dyDescent="0.35">
      <c r="A113" s="57"/>
      <c r="B113" s="52" t="s">
        <v>1359</v>
      </c>
      <c r="C113" s="52" t="s">
        <v>1135</v>
      </c>
      <c r="D113" s="52" t="s">
        <v>1136</v>
      </c>
      <c r="E113" s="52" t="s">
        <v>1053</v>
      </c>
      <c r="F113" s="52"/>
      <c r="G113" s="52" t="s">
        <v>1343</v>
      </c>
      <c r="H113" s="52" t="s">
        <v>1344</v>
      </c>
      <c r="I113" s="56" t="s">
        <v>1350</v>
      </c>
      <c r="J113" s="56" t="s">
        <v>1351</v>
      </c>
      <c r="K113" s="52" t="s">
        <v>1054</v>
      </c>
      <c r="L113" s="52" t="s">
        <v>1054</v>
      </c>
      <c r="M113" s="52" t="s">
        <v>1054</v>
      </c>
      <c r="N113" s="52">
        <v>1</v>
      </c>
      <c r="O113" s="52">
        <v>0</v>
      </c>
      <c r="P113" s="58">
        <v>4077</v>
      </c>
      <c r="Q113" s="58">
        <f t="shared" si="1"/>
        <v>4810.8599999999997</v>
      </c>
      <c r="R113" s="58" t="s">
        <v>1345</v>
      </c>
    </row>
    <row r="114" spans="1:18" x14ac:dyDescent="0.35">
      <c r="A114" s="57"/>
      <c r="B114" s="52" t="s">
        <v>1217</v>
      </c>
      <c r="C114" s="52" t="s">
        <v>1135</v>
      </c>
      <c r="D114" s="52" t="s">
        <v>1136</v>
      </c>
      <c r="E114" s="52" t="s">
        <v>1053</v>
      </c>
      <c r="F114" s="52"/>
      <c r="G114" s="52" t="s">
        <v>1343</v>
      </c>
      <c r="H114" s="52" t="s">
        <v>1344</v>
      </c>
      <c r="I114" s="56" t="s">
        <v>1350</v>
      </c>
      <c r="J114" s="56" t="s">
        <v>1351</v>
      </c>
      <c r="K114" s="52" t="s">
        <v>1054</v>
      </c>
      <c r="L114" s="52" t="s">
        <v>1054</v>
      </c>
      <c r="M114" s="52" t="s">
        <v>1054</v>
      </c>
      <c r="N114" s="52">
        <v>1</v>
      </c>
      <c r="O114" s="52">
        <v>0</v>
      </c>
      <c r="P114" s="58">
        <v>950</v>
      </c>
      <c r="Q114" s="58">
        <f t="shared" si="1"/>
        <v>1121</v>
      </c>
      <c r="R114" s="58" t="s">
        <v>1345</v>
      </c>
    </row>
    <row r="115" spans="1:18" x14ac:dyDescent="0.35">
      <c r="A115" s="57"/>
      <c r="B115" s="52" t="s">
        <v>1319</v>
      </c>
      <c r="C115" s="52" t="s">
        <v>1135</v>
      </c>
      <c r="D115" s="52" t="s">
        <v>1136</v>
      </c>
      <c r="E115" s="52" t="s">
        <v>1053</v>
      </c>
      <c r="F115" s="52"/>
      <c r="G115" s="52" t="s">
        <v>1343</v>
      </c>
      <c r="H115" s="52" t="s">
        <v>1344</v>
      </c>
      <c r="I115" s="56" t="s">
        <v>1350</v>
      </c>
      <c r="J115" s="56" t="s">
        <v>1351</v>
      </c>
      <c r="K115" s="52" t="s">
        <v>1054</v>
      </c>
      <c r="L115" s="52" t="s">
        <v>1054</v>
      </c>
      <c r="M115" s="52" t="s">
        <v>1054</v>
      </c>
      <c r="N115" s="52">
        <v>1</v>
      </c>
      <c r="O115" s="52">
        <v>0</v>
      </c>
      <c r="P115" s="58">
        <v>422</v>
      </c>
      <c r="Q115" s="58">
        <f t="shared" si="1"/>
        <v>497.96</v>
      </c>
      <c r="R115" s="58" t="s">
        <v>1345</v>
      </c>
    </row>
    <row r="116" spans="1:18" x14ac:dyDescent="0.35">
      <c r="A116" s="57"/>
      <c r="B116" s="52" t="s">
        <v>1202</v>
      </c>
      <c r="C116" s="52" t="s">
        <v>1135</v>
      </c>
      <c r="D116" s="52" t="s">
        <v>1136</v>
      </c>
      <c r="E116" s="52" t="s">
        <v>1053</v>
      </c>
      <c r="F116" s="52"/>
      <c r="G116" s="52" t="s">
        <v>1343</v>
      </c>
      <c r="H116" s="52" t="s">
        <v>1344</v>
      </c>
      <c r="I116" s="56" t="s">
        <v>1350</v>
      </c>
      <c r="J116" s="56" t="s">
        <v>1351</v>
      </c>
      <c r="K116" s="52" t="s">
        <v>1054</v>
      </c>
      <c r="L116" s="52" t="s">
        <v>1054</v>
      </c>
      <c r="M116" s="52" t="s">
        <v>1054</v>
      </c>
      <c r="N116" s="52">
        <v>1</v>
      </c>
      <c r="O116" s="52">
        <v>0</v>
      </c>
      <c r="P116" s="58">
        <v>338</v>
      </c>
      <c r="Q116" s="58">
        <f t="shared" si="1"/>
        <v>398.84</v>
      </c>
      <c r="R116" s="58" t="s">
        <v>1345</v>
      </c>
    </row>
    <row r="117" spans="1:18" x14ac:dyDescent="0.35">
      <c r="A117" s="57"/>
      <c r="B117" s="52" t="s">
        <v>1216</v>
      </c>
      <c r="C117" s="52" t="s">
        <v>1135</v>
      </c>
      <c r="D117" s="52" t="s">
        <v>1136</v>
      </c>
      <c r="E117" s="52" t="s">
        <v>1053</v>
      </c>
      <c r="F117" s="52"/>
      <c r="G117" s="52" t="s">
        <v>1343</v>
      </c>
      <c r="H117" s="52" t="s">
        <v>1344</v>
      </c>
      <c r="I117" s="56" t="s">
        <v>1350</v>
      </c>
      <c r="J117" s="56" t="s">
        <v>1351</v>
      </c>
      <c r="K117" s="52" t="s">
        <v>1054</v>
      </c>
      <c r="L117" s="52" t="s">
        <v>1054</v>
      </c>
      <c r="M117" s="52" t="s">
        <v>1054</v>
      </c>
      <c r="N117" s="52">
        <v>1</v>
      </c>
      <c r="O117" s="52">
        <v>0</v>
      </c>
      <c r="P117" s="58">
        <v>835</v>
      </c>
      <c r="Q117" s="58">
        <f t="shared" si="1"/>
        <v>985.3</v>
      </c>
      <c r="R117" s="58" t="s">
        <v>1345</v>
      </c>
    </row>
    <row r="118" spans="1:18" x14ac:dyDescent="0.35">
      <c r="A118" s="57"/>
      <c r="B118" s="52" t="s">
        <v>763</v>
      </c>
      <c r="C118" s="52" t="s">
        <v>1135</v>
      </c>
      <c r="D118" s="52" t="s">
        <v>1136</v>
      </c>
      <c r="E118" s="52" t="s">
        <v>1053</v>
      </c>
      <c r="F118" s="52"/>
      <c r="G118" s="52" t="s">
        <v>1343</v>
      </c>
      <c r="H118" s="52" t="s">
        <v>1344</v>
      </c>
      <c r="I118" s="56" t="s">
        <v>1350</v>
      </c>
      <c r="J118" s="56" t="s">
        <v>1351</v>
      </c>
      <c r="K118" s="52" t="s">
        <v>1054</v>
      </c>
      <c r="L118" s="52" t="s">
        <v>1054</v>
      </c>
      <c r="M118" s="52" t="s">
        <v>1054</v>
      </c>
      <c r="N118" s="52">
        <v>1</v>
      </c>
      <c r="O118" s="52">
        <v>0</v>
      </c>
      <c r="P118" s="58">
        <v>1789</v>
      </c>
      <c r="Q118" s="58">
        <f t="shared" si="1"/>
        <v>2111.02</v>
      </c>
      <c r="R118" s="58" t="s">
        <v>1345</v>
      </c>
    </row>
    <row r="119" spans="1:18" x14ac:dyDescent="0.35">
      <c r="A119" s="57"/>
      <c r="B119" s="52" t="s">
        <v>1080</v>
      </c>
      <c r="C119" s="52" t="s">
        <v>1135</v>
      </c>
      <c r="D119" s="52" t="s">
        <v>1136</v>
      </c>
      <c r="E119" s="52" t="s">
        <v>1053</v>
      </c>
      <c r="F119" s="52"/>
      <c r="G119" s="52" t="s">
        <v>1343</v>
      </c>
      <c r="H119" s="52" t="s">
        <v>1344</v>
      </c>
      <c r="I119" s="56" t="s">
        <v>1350</v>
      </c>
      <c r="J119" s="56" t="s">
        <v>1351</v>
      </c>
      <c r="K119" s="52" t="s">
        <v>1054</v>
      </c>
      <c r="L119" s="52" t="s">
        <v>1054</v>
      </c>
      <c r="M119" s="52" t="s">
        <v>1054</v>
      </c>
      <c r="N119" s="52">
        <v>1</v>
      </c>
      <c r="O119" s="52">
        <v>0</v>
      </c>
      <c r="P119" s="58">
        <v>3029</v>
      </c>
      <c r="Q119" s="58">
        <f t="shared" si="1"/>
        <v>3574.22</v>
      </c>
      <c r="R119" s="58" t="s">
        <v>1345</v>
      </c>
    </row>
    <row r="120" spans="1:18" x14ac:dyDescent="0.35">
      <c r="A120" s="57"/>
      <c r="B120" s="52" t="s">
        <v>1073</v>
      </c>
      <c r="C120" s="52" t="s">
        <v>1135</v>
      </c>
      <c r="D120" s="52" t="s">
        <v>1136</v>
      </c>
      <c r="E120" s="52" t="s">
        <v>1053</v>
      </c>
      <c r="F120" s="52"/>
      <c r="G120" s="52" t="s">
        <v>1343</v>
      </c>
      <c r="H120" s="52" t="s">
        <v>1344</v>
      </c>
      <c r="I120" s="56" t="s">
        <v>1350</v>
      </c>
      <c r="J120" s="56" t="s">
        <v>1351</v>
      </c>
      <c r="K120" s="52" t="s">
        <v>1054</v>
      </c>
      <c r="L120" s="52" t="s">
        <v>1054</v>
      </c>
      <c r="M120" s="52" t="s">
        <v>1054</v>
      </c>
      <c r="N120" s="52">
        <v>1</v>
      </c>
      <c r="O120" s="52">
        <v>0</v>
      </c>
      <c r="P120" s="58">
        <v>445</v>
      </c>
      <c r="Q120" s="58">
        <f t="shared" si="1"/>
        <v>525.1</v>
      </c>
      <c r="R120" s="58" t="s">
        <v>1345</v>
      </c>
    </row>
    <row r="121" spans="1:18" x14ac:dyDescent="0.35">
      <c r="A121" s="57"/>
      <c r="B121" s="52" t="s">
        <v>1150</v>
      </c>
      <c r="C121" s="52" t="s">
        <v>1135</v>
      </c>
      <c r="D121" s="52" t="s">
        <v>1136</v>
      </c>
      <c r="E121" s="52" t="s">
        <v>1053</v>
      </c>
      <c r="F121" s="52"/>
      <c r="G121" s="52" t="s">
        <v>1343</v>
      </c>
      <c r="H121" s="52" t="s">
        <v>1344</v>
      </c>
      <c r="I121" s="56" t="s">
        <v>1350</v>
      </c>
      <c r="J121" s="56" t="s">
        <v>1351</v>
      </c>
      <c r="K121" s="52" t="s">
        <v>1054</v>
      </c>
      <c r="L121" s="52" t="s">
        <v>1054</v>
      </c>
      <c r="M121" s="52" t="s">
        <v>1054</v>
      </c>
      <c r="N121" s="52">
        <v>1</v>
      </c>
      <c r="O121" s="52">
        <v>0</v>
      </c>
      <c r="P121" s="58">
        <v>494</v>
      </c>
      <c r="Q121" s="58">
        <f t="shared" si="1"/>
        <v>582.91999999999996</v>
      </c>
      <c r="R121" s="58" t="s">
        <v>1345</v>
      </c>
    </row>
    <row r="122" spans="1:18" x14ac:dyDescent="0.35">
      <c r="A122" s="57"/>
      <c r="B122" s="52" t="s">
        <v>1072</v>
      </c>
      <c r="C122" s="52" t="s">
        <v>1135</v>
      </c>
      <c r="D122" s="52" t="s">
        <v>1136</v>
      </c>
      <c r="E122" s="52" t="s">
        <v>1053</v>
      </c>
      <c r="F122" s="52"/>
      <c r="G122" s="52" t="s">
        <v>1343</v>
      </c>
      <c r="H122" s="52" t="s">
        <v>1344</v>
      </c>
      <c r="I122" s="56" t="s">
        <v>1350</v>
      </c>
      <c r="J122" s="56" t="s">
        <v>1351</v>
      </c>
      <c r="K122" s="52" t="s">
        <v>1054</v>
      </c>
      <c r="L122" s="52" t="s">
        <v>1054</v>
      </c>
      <c r="M122" s="52" t="s">
        <v>1054</v>
      </c>
      <c r="N122" s="52">
        <v>1</v>
      </c>
      <c r="O122" s="52">
        <v>0</v>
      </c>
      <c r="P122" s="58">
        <v>445</v>
      </c>
      <c r="Q122" s="58">
        <f t="shared" si="1"/>
        <v>525.1</v>
      </c>
      <c r="R122" s="58" t="s">
        <v>1345</v>
      </c>
    </row>
    <row r="123" spans="1:18" x14ac:dyDescent="0.35">
      <c r="A123" s="57"/>
      <c r="B123" s="52" t="s">
        <v>1104</v>
      </c>
      <c r="C123" s="52" t="s">
        <v>1135</v>
      </c>
      <c r="D123" s="52" t="s">
        <v>1136</v>
      </c>
      <c r="E123" s="52" t="s">
        <v>1053</v>
      </c>
      <c r="F123" s="52"/>
      <c r="G123" s="52" t="s">
        <v>1343</v>
      </c>
      <c r="H123" s="52" t="s">
        <v>1344</v>
      </c>
      <c r="I123" s="56" t="s">
        <v>1350</v>
      </c>
      <c r="J123" s="56" t="s">
        <v>1351</v>
      </c>
      <c r="K123" s="52" t="s">
        <v>1054</v>
      </c>
      <c r="L123" s="52" t="s">
        <v>1054</v>
      </c>
      <c r="M123" s="52" t="s">
        <v>1054</v>
      </c>
      <c r="N123" s="52">
        <v>1</v>
      </c>
      <c r="O123" s="52">
        <v>0</v>
      </c>
      <c r="P123" s="58">
        <v>847</v>
      </c>
      <c r="Q123" s="58">
        <f t="shared" si="1"/>
        <v>999.45999999999992</v>
      </c>
      <c r="R123" s="58" t="s">
        <v>1345</v>
      </c>
    </row>
    <row r="124" spans="1:18" x14ac:dyDescent="0.35">
      <c r="A124" s="57"/>
      <c r="B124" s="52" t="s">
        <v>1218</v>
      </c>
      <c r="C124" s="52" t="s">
        <v>1135</v>
      </c>
      <c r="D124" s="52" t="s">
        <v>1136</v>
      </c>
      <c r="E124" s="52" t="s">
        <v>1053</v>
      </c>
      <c r="F124" s="52"/>
      <c r="G124" s="52" t="s">
        <v>1343</v>
      </c>
      <c r="H124" s="52" t="s">
        <v>1344</v>
      </c>
      <c r="I124" s="56" t="s">
        <v>1350</v>
      </c>
      <c r="J124" s="56" t="s">
        <v>1351</v>
      </c>
      <c r="K124" s="52" t="s">
        <v>1054</v>
      </c>
      <c r="L124" s="52" t="s">
        <v>1054</v>
      </c>
      <c r="M124" s="52" t="s">
        <v>1054</v>
      </c>
      <c r="N124" s="52">
        <v>1</v>
      </c>
      <c r="O124" s="52">
        <v>0</v>
      </c>
      <c r="P124" s="58">
        <v>6428</v>
      </c>
      <c r="Q124" s="58">
        <f t="shared" si="1"/>
        <v>7585.04</v>
      </c>
      <c r="R124" s="58" t="s">
        <v>1345</v>
      </c>
    </row>
    <row r="125" spans="1:18" x14ac:dyDescent="0.35">
      <c r="A125" s="57"/>
      <c r="B125" s="52" t="s">
        <v>1187</v>
      </c>
      <c r="C125" s="52" t="s">
        <v>1135</v>
      </c>
      <c r="D125" s="52" t="s">
        <v>1136</v>
      </c>
      <c r="E125" s="52" t="s">
        <v>1053</v>
      </c>
      <c r="F125" s="52"/>
      <c r="G125" s="52" t="s">
        <v>1343</v>
      </c>
      <c r="H125" s="52" t="s">
        <v>1344</v>
      </c>
      <c r="I125" s="56" t="s">
        <v>1350</v>
      </c>
      <c r="J125" s="56" t="s">
        <v>1351</v>
      </c>
      <c r="K125" s="52" t="s">
        <v>1054</v>
      </c>
      <c r="L125" s="52" t="s">
        <v>1054</v>
      </c>
      <c r="M125" s="52" t="s">
        <v>1054</v>
      </c>
      <c r="N125" s="52">
        <v>1</v>
      </c>
      <c r="O125" s="52">
        <v>0</v>
      </c>
      <c r="P125" s="58">
        <v>848</v>
      </c>
      <c r="Q125" s="58">
        <f t="shared" si="1"/>
        <v>1000.64</v>
      </c>
      <c r="R125" s="58" t="s">
        <v>1345</v>
      </c>
    </row>
    <row r="126" spans="1:18" x14ac:dyDescent="0.35">
      <c r="A126" s="57"/>
      <c r="B126" s="52" t="s">
        <v>799</v>
      </c>
      <c r="C126" s="52" t="s">
        <v>1135</v>
      </c>
      <c r="D126" s="52" t="s">
        <v>1136</v>
      </c>
      <c r="E126" s="52" t="s">
        <v>1053</v>
      </c>
      <c r="F126" s="52"/>
      <c r="G126" s="52" t="s">
        <v>1343</v>
      </c>
      <c r="H126" s="52" t="s">
        <v>1344</v>
      </c>
      <c r="I126" s="56" t="s">
        <v>1350</v>
      </c>
      <c r="J126" s="56" t="s">
        <v>1351</v>
      </c>
      <c r="K126" s="52" t="s">
        <v>1054</v>
      </c>
      <c r="L126" s="52" t="s">
        <v>1054</v>
      </c>
      <c r="M126" s="52" t="s">
        <v>1054</v>
      </c>
      <c r="N126" s="52">
        <v>1</v>
      </c>
      <c r="O126" s="52">
        <v>0</v>
      </c>
      <c r="P126" s="58">
        <v>2542</v>
      </c>
      <c r="Q126" s="58">
        <f t="shared" si="1"/>
        <v>2999.56</v>
      </c>
      <c r="R126" s="58" t="s">
        <v>1345</v>
      </c>
    </row>
    <row r="127" spans="1:18" x14ac:dyDescent="0.35">
      <c r="A127" s="57"/>
      <c r="B127" s="52" t="s">
        <v>1060</v>
      </c>
      <c r="C127" s="52" t="s">
        <v>1135</v>
      </c>
      <c r="D127" s="52" t="s">
        <v>1136</v>
      </c>
      <c r="E127" s="52" t="s">
        <v>1053</v>
      </c>
      <c r="F127" s="52"/>
      <c r="G127" s="52" t="s">
        <v>1343</v>
      </c>
      <c r="H127" s="52" t="s">
        <v>1344</v>
      </c>
      <c r="I127" s="56" t="s">
        <v>1350</v>
      </c>
      <c r="J127" s="56" t="s">
        <v>1351</v>
      </c>
      <c r="K127" s="52" t="s">
        <v>1054</v>
      </c>
      <c r="L127" s="52" t="s">
        <v>1054</v>
      </c>
      <c r="M127" s="52" t="s">
        <v>1054</v>
      </c>
      <c r="N127" s="52">
        <v>1</v>
      </c>
      <c r="O127" s="52">
        <v>0</v>
      </c>
      <c r="P127" s="58">
        <v>3029</v>
      </c>
      <c r="Q127" s="58">
        <f t="shared" si="1"/>
        <v>3574.22</v>
      </c>
      <c r="R127" s="58" t="s">
        <v>1345</v>
      </c>
    </row>
    <row r="128" spans="1:18" x14ac:dyDescent="0.35">
      <c r="A128" s="57"/>
      <c r="B128" s="52" t="s">
        <v>1063</v>
      </c>
      <c r="C128" s="52" t="s">
        <v>1135</v>
      </c>
      <c r="D128" s="52" t="s">
        <v>1136</v>
      </c>
      <c r="E128" s="52" t="s">
        <v>1053</v>
      </c>
      <c r="F128" s="52"/>
      <c r="G128" s="52" t="s">
        <v>1343</v>
      </c>
      <c r="H128" s="52" t="s">
        <v>1344</v>
      </c>
      <c r="I128" s="56" t="s">
        <v>1350</v>
      </c>
      <c r="J128" s="56" t="s">
        <v>1351</v>
      </c>
      <c r="K128" s="52" t="s">
        <v>1054</v>
      </c>
      <c r="L128" s="52" t="s">
        <v>1054</v>
      </c>
      <c r="M128" s="52" t="s">
        <v>1054</v>
      </c>
      <c r="N128" s="52">
        <v>1</v>
      </c>
      <c r="O128" s="52">
        <v>0</v>
      </c>
      <c r="P128" s="58">
        <v>616</v>
      </c>
      <c r="Q128" s="58">
        <f t="shared" si="1"/>
        <v>726.88</v>
      </c>
      <c r="R128" s="58" t="s">
        <v>1345</v>
      </c>
    </row>
    <row r="129" spans="1:18" x14ac:dyDescent="0.35">
      <c r="A129" s="57"/>
      <c r="B129" s="52" t="s">
        <v>1064</v>
      </c>
      <c r="C129" s="52" t="s">
        <v>1135</v>
      </c>
      <c r="D129" s="52" t="s">
        <v>1136</v>
      </c>
      <c r="E129" s="52" t="s">
        <v>1053</v>
      </c>
      <c r="F129" s="52"/>
      <c r="G129" s="52" t="s">
        <v>1343</v>
      </c>
      <c r="H129" s="52" t="s">
        <v>1344</v>
      </c>
      <c r="I129" s="56" t="s">
        <v>1350</v>
      </c>
      <c r="J129" s="56" t="s">
        <v>1351</v>
      </c>
      <c r="K129" s="52" t="s">
        <v>1054</v>
      </c>
      <c r="L129" s="52" t="s">
        <v>1054</v>
      </c>
      <c r="M129" s="52" t="s">
        <v>1054</v>
      </c>
      <c r="N129" s="52">
        <v>1</v>
      </c>
      <c r="O129" s="52">
        <v>0</v>
      </c>
      <c r="P129" s="58">
        <v>593</v>
      </c>
      <c r="Q129" s="58">
        <f t="shared" si="1"/>
        <v>699.74</v>
      </c>
      <c r="R129" s="58" t="s">
        <v>1345</v>
      </c>
    </row>
    <row r="130" spans="1:18" x14ac:dyDescent="0.35">
      <c r="A130" s="57"/>
      <c r="B130" s="52" t="s">
        <v>708</v>
      </c>
      <c r="C130" s="52" t="s">
        <v>1135</v>
      </c>
      <c r="D130" s="52" t="s">
        <v>1136</v>
      </c>
      <c r="E130" s="52" t="s">
        <v>1053</v>
      </c>
      <c r="F130" s="52"/>
      <c r="G130" s="52" t="s">
        <v>1343</v>
      </c>
      <c r="H130" s="52" t="s">
        <v>1344</v>
      </c>
      <c r="I130" s="56" t="s">
        <v>1350</v>
      </c>
      <c r="J130" s="56" t="s">
        <v>1351</v>
      </c>
      <c r="K130" s="52" t="s">
        <v>1054</v>
      </c>
      <c r="L130" s="52" t="s">
        <v>1054</v>
      </c>
      <c r="M130" s="52" t="s">
        <v>1054</v>
      </c>
      <c r="N130" s="52">
        <v>1</v>
      </c>
      <c r="O130" s="52">
        <v>0</v>
      </c>
      <c r="P130" s="58">
        <v>5750</v>
      </c>
      <c r="Q130" s="58">
        <f t="shared" si="1"/>
        <v>6785</v>
      </c>
      <c r="R130" s="58" t="s">
        <v>1345</v>
      </c>
    </row>
    <row r="131" spans="1:18" x14ac:dyDescent="0.35">
      <c r="A131" s="57"/>
      <c r="B131" s="52" t="s">
        <v>595</v>
      </c>
      <c r="C131" s="52" t="s">
        <v>1135</v>
      </c>
      <c r="D131" s="52" t="s">
        <v>1136</v>
      </c>
      <c r="E131" s="52" t="s">
        <v>1053</v>
      </c>
      <c r="F131" s="52"/>
      <c r="G131" s="52" t="s">
        <v>1343</v>
      </c>
      <c r="H131" s="52" t="s">
        <v>1344</v>
      </c>
      <c r="I131" s="56" t="s">
        <v>1350</v>
      </c>
      <c r="J131" s="56" t="s">
        <v>1351</v>
      </c>
      <c r="K131" s="52" t="s">
        <v>1054</v>
      </c>
      <c r="L131" s="52" t="s">
        <v>1054</v>
      </c>
      <c r="M131" s="52" t="s">
        <v>1054</v>
      </c>
      <c r="N131" s="52">
        <v>1</v>
      </c>
      <c r="O131" s="52">
        <v>0</v>
      </c>
      <c r="P131" s="58">
        <v>8387</v>
      </c>
      <c r="Q131" s="58">
        <f t="shared" ref="Q131:Q189" si="2">P131*1.18</f>
        <v>9896.66</v>
      </c>
      <c r="R131" s="58" t="s">
        <v>1345</v>
      </c>
    </row>
    <row r="132" spans="1:18" x14ac:dyDescent="0.35">
      <c r="A132" s="57"/>
      <c r="B132" s="52" t="s">
        <v>1076</v>
      </c>
      <c r="C132" s="52" t="s">
        <v>1135</v>
      </c>
      <c r="D132" s="52" t="s">
        <v>1136</v>
      </c>
      <c r="E132" s="52" t="s">
        <v>1053</v>
      </c>
      <c r="F132" s="52"/>
      <c r="G132" s="52" t="s">
        <v>1343</v>
      </c>
      <c r="H132" s="52" t="s">
        <v>1344</v>
      </c>
      <c r="I132" s="56" t="s">
        <v>1350</v>
      </c>
      <c r="J132" s="56" t="s">
        <v>1351</v>
      </c>
      <c r="K132" s="52" t="s">
        <v>1054</v>
      </c>
      <c r="L132" s="52" t="s">
        <v>1054</v>
      </c>
      <c r="M132" s="52" t="s">
        <v>1054</v>
      </c>
      <c r="N132" s="52">
        <v>1</v>
      </c>
      <c r="O132" s="52">
        <v>0</v>
      </c>
      <c r="P132" s="58">
        <v>424</v>
      </c>
      <c r="Q132" s="58">
        <f t="shared" si="2"/>
        <v>500.32</v>
      </c>
      <c r="R132" s="58" t="s">
        <v>1345</v>
      </c>
    </row>
    <row r="133" spans="1:18" x14ac:dyDescent="0.35">
      <c r="A133" s="57"/>
      <c r="B133" s="52" t="s">
        <v>1082</v>
      </c>
      <c r="C133" s="52" t="s">
        <v>1135</v>
      </c>
      <c r="D133" s="52" t="s">
        <v>1136</v>
      </c>
      <c r="E133" s="52" t="s">
        <v>1053</v>
      </c>
      <c r="F133" s="52"/>
      <c r="G133" s="52" t="s">
        <v>1343</v>
      </c>
      <c r="H133" s="52" t="s">
        <v>1344</v>
      </c>
      <c r="I133" s="56" t="s">
        <v>1350</v>
      </c>
      <c r="J133" s="56" t="s">
        <v>1351</v>
      </c>
      <c r="K133" s="52" t="s">
        <v>1054</v>
      </c>
      <c r="L133" s="52" t="s">
        <v>1054</v>
      </c>
      <c r="M133" s="52" t="s">
        <v>1054</v>
      </c>
      <c r="N133" s="52">
        <v>1</v>
      </c>
      <c r="O133" s="52">
        <v>0</v>
      </c>
      <c r="P133" s="58">
        <v>1695</v>
      </c>
      <c r="Q133" s="58">
        <f t="shared" si="2"/>
        <v>2000.1</v>
      </c>
      <c r="R133" s="58" t="s">
        <v>1345</v>
      </c>
    </row>
    <row r="134" spans="1:18" x14ac:dyDescent="0.35">
      <c r="A134" s="57"/>
      <c r="B134" s="52" t="s">
        <v>1347</v>
      </c>
      <c r="C134" s="52" t="s">
        <v>1135</v>
      </c>
      <c r="D134" s="52" t="s">
        <v>1136</v>
      </c>
      <c r="E134" s="52" t="s">
        <v>1053</v>
      </c>
      <c r="F134" s="52"/>
      <c r="G134" s="52" t="s">
        <v>1343</v>
      </c>
      <c r="H134" s="52" t="s">
        <v>1344</v>
      </c>
      <c r="I134" s="56" t="s">
        <v>1350</v>
      </c>
      <c r="J134" s="56" t="s">
        <v>1351</v>
      </c>
      <c r="K134" s="52" t="s">
        <v>1054</v>
      </c>
      <c r="L134" s="52" t="s">
        <v>1054</v>
      </c>
      <c r="M134" s="52" t="s">
        <v>1054</v>
      </c>
      <c r="N134" s="52">
        <v>1</v>
      </c>
      <c r="O134" s="52">
        <v>0</v>
      </c>
      <c r="P134" s="58">
        <v>2334</v>
      </c>
      <c r="Q134" s="58">
        <f t="shared" si="2"/>
        <v>2754.12</v>
      </c>
      <c r="R134" s="58" t="s">
        <v>1345</v>
      </c>
    </row>
    <row r="135" spans="1:18" x14ac:dyDescent="0.35">
      <c r="A135" s="57"/>
      <c r="B135" s="52" t="s">
        <v>1091</v>
      </c>
      <c r="C135" s="52" t="s">
        <v>1135</v>
      </c>
      <c r="D135" s="52" t="s">
        <v>1136</v>
      </c>
      <c r="E135" s="52" t="s">
        <v>1053</v>
      </c>
      <c r="F135" s="52"/>
      <c r="G135" s="52" t="s">
        <v>1343</v>
      </c>
      <c r="H135" s="52" t="s">
        <v>1344</v>
      </c>
      <c r="I135" s="56" t="s">
        <v>1350</v>
      </c>
      <c r="J135" s="56" t="s">
        <v>1351</v>
      </c>
      <c r="K135" s="52" t="s">
        <v>1054</v>
      </c>
      <c r="L135" s="52" t="s">
        <v>1054</v>
      </c>
      <c r="M135" s="52" t="s">
        <v>1054</v>
      </c>
      <c r="N135" s="52">
        <v>1</v>
      </c>
      <c r="O135" s="52">
        <v>0</v>
      </c>
      <c r="P135" s="58">
        <v>9322</v>
      </c>
      <c r="Q135" s="58">
        <f t="shared" si="2"/>
        <v>10999.96</v>
      </c>
      <c r="R135" s="58" t="s">
        <v>1345</v>
      </c>
    </row>
    <row r="136" spans="1:18" x14ac:dyDescent="0.35">
      <c r="A136" s="57"/>
      <c r="B136" s="52" t="s">
        <v>1214</v>
      </c>
      <c r="C136" s="52" t="s">
        <v>1135</v>
      </c>
      <c r="D136" s="52" t="s">
        <v>1136</v>
      </c>
      <c r="E136" s="52" t="s">
        <v>1053</v>
      </c>
      <c r="F136" s="52"/>
      <c r="G136" s="52" t="s">
        <v>1343</v>
      </c>
      <c r="H136" s="52" t="s">
        <v>1344</v>
      </c>
      <c r="I136" s="56" t="s">
        <v>1350</v>
      </c>
      <c r="J136" s="56" t="s">
        <v>1351</v>
      </c>
      <c r="K136" s="52" t="s">
        <v>1054</v>
      </c>
      <c r="L136" s="52" t="s">
        <v>1054</v>
      </c>
      <c r="M136" s="52" t="s">
        <v>1054</v>
      </c>
      <c r="N136" s="52">
        <v>1</v>
      </c>
      <c r="O136" s="52">
        <v>0</v>
      </c>
      <c r="P136" s="58">
        <v>12288</v>
      </c>
      <c r="Q136" s="58">
        <f t="shared" si="2"/>
        <v>14499.84</v>
      </c>
      <c r="R136" s="58" t="s">
        <v>1345</v>
      </c>
    </row>
    <row r="137" spans="1:18" x14ac:dyDescent="0.35">
      <c r="A137" s="57"/>
      <c r="B137" s="52" t="s">
        <v>761</v>
      </c>
      <c r="C137" s="52" t="s">
        <v>1135</v>
      </c>
      <c r="D137" s="52" t="s">
        <v>1136</v>
      </c>
      <c r="E137" s="52" t="s">
        <v>1053</v>
      </c>
      <c r="F137" s="52"/>
      <c r="G137" s="52" t="s">
        <v>1343</v>
      </c>
      <c r="H137" s="52" t="s">
        <v>1344</v>
      </c>
      <c r="I137" s="56" t="s">
        <v>1350</v>
      </c>
      <c r="J137" s="56" t="s">
        <v>1351</v>
      </c>
      <c r="K137" s="52" t="s">
        <v>1054</v>
      </c>
      <c r="L137" s="52" t="s">
        <v>1054</v>
      </c>
      <c r="M137" s="52" t="s">
        <v>1054</v>
      </c>
      <c r="N137" s="52">
        <v>1</v>
      </c>
      <c r="O137" s="52">
        <v>0</v>
      </c>
      <c r="P137" s="58">
        <v>5932</v>
      </c>
      <c r="Q137" s="58">
        <f t="shared" si="2"/>
        <v>6999.7599999999993</v>
      </c>
      <c r="R137" s="58" t="s">
        <v>1345</v>
      </c>
    </row>
    <row r="138" spans="1:18" x14ac:dyDescent="0.35">
      <c r="A138" s="57"/>
      <c r="B138" s="52" t="s">
        <v>1078</v>
      </c>
      <c r="C138" s="52" t="s">
        <v>1135</v>
      </c>
      <c r="D138" s="52" t="s">
        <v>1136</v>
      </c>
      <c r="E138" s="52" t="s">
        <v>1053</v>
      </c>
      <c r="F138" s="52"/>
      <c r="G138" s="52" t="s">
        <v>1343</v>
      </c>
      <c r="H138" s="52" t="s">
        <v>1344</v>
      </c>
      <c r="I138" s="56" t="s">
        <v>1350</v>
      </c>
      <c r="J138" s="56" t="s">
        <v>1351</v>
      </c>
      <c r="K138" s="52" t="s">
        <v>1054</v>
      </c>
      <c r="L138" s="52" t="s">
        <v>1054</v>
      </c>
      <c r="M138" s="52" t="s">
        <v>1054</v>
      </c>
      <c r="N138" s="52">
        <v>1</v>
      </c>
      <c r="O138" s="52">
        <v>0</v>
      </c>
      <c r="P138" s="58">
        <v>848</v>
      </c>
      <c r="Q138" s="58">
        <f t="shared" si="2"/>
        <v>1000.64</v>
      </c>
      <c r="R138" s="58" t="s">
        <v>1345</v>
      </c>
    </row>
    <row r="139" spans="1:18" x14ac:dyDescent="0.35">
      <c r="A139" s="57"/>
      <c r="B139" s="52" t="s">
        <v>1219</v>
      </c>
      <c r="C139" s="52" t="s">
        <v>1135</v>
      </c>
      <c r="D139" s="52" t="s">
        <v>1136</v>
      </c>
      <c r="E139" s="52" t="s">
        <v>1053</v>
      </c>
      <c r="F139" s="52"/>
      <c r="G139" s="52" t="s">
        <v>1343</v>
      </c>
      <c r="H139" s="52" t="s">
        <v>1344</v>
      </c>
      <c r="I139" s="56" t="s">
        <v>1350</v>
      </c>
      <c r="J139" s="56" t="s">
        <v>1351</v>
      </c>
      <c r="K139" s="52" t="s">
        <v>1054</v>
      </c>
      <c r="L139" s="52" t="s">
        <v>1054</v>
      </c>
      <c r="M139" s="52" t="s">
        <v>1054</v>
      </c>
      <c r="N139" s="52">
        <v>1</v>
      </c>
      <c r="O139" s="52">
        <v>0</v>
      </c>
      <c r="P139" s="58">
        <v>1695</v>
      </c>
      <c r="Q139" s="58">
        <f t="shared" si="2"/>
        <v>2000.1</v>
      </c>
      <c r="R139" s="58" t="s">
        <v>1345</v>
      </c>
    </row>
    <row r="140" spans="1:18" x14ac:dyDescent="0.35">
      <c r="A140" s="57"/>
      <c r="B140" s="52" t="s">
        <v>790</v>
      </c>
      <c r="C140" s="52" t="s">
        <v>1135</v>
      </c>
      <c r="D140" s="52" t="s">
        <v>1136</v>
      </c>
      <c r="E140" s="52" t="s">
        <v>1053</v>
      </c>
      <c r="F140" s="52"/>
      <c r="G140" s="52" t="s">
        <v>1343</v>
      </c>
      <c r="H140" s="52" t="s">
        <v>1344</v>
      </c>
      <c r="I140" s="56" t="s">
        <v>1350</v>
      </c>
      <c r="J140" s="56" t="s">
        <v>1351</v>
      </c>
      <c r="K140" s="52" t="s">
        <v>1054</v>
      </c>
      <c r="L140" s="52" t="s">
        <v>1054</v>
      </c>
      <c r="M140" s="52" t="s">
        <v>1054</v>
      </c>
      <c r="N140" s="52">
        <v>1</v>
      </c>
      <c r="O140" s="52">
        <v>0</v>
      </c>
      <c r="P140" s="58">
        <v>6801</v>
      </c>
      <c r="Q140" s="58">
        <f t="shared" si="2"/>
        <v>8025.1799999999994</v>
      </c>
      <c r="R140" s="58" t="s">
        <v>1345</v>
      </c>
    </row>
    <row r="141" spans="1:18" x14ac:dyDescent="0.35">
      <c r="A141" s="57"/>
      <c r="B141" s="52" t="s">
        <v>874</v>
      </c>
      <c r="C141" s="52" t="s">
        <v>1135</v>
      </c>
      <c r="D141" s="52" t="s">
        <v>1136</v>
      </c>
      <c r="E141" s="52" t="s">
        <v>1053</v>
      </c>
      <c r="F141" s="52"/>
      <c r="G141" s="52" t="s">
        <v>1343</v>
      </c>
      <c r="H141" s="52" t="s">
        <v>1344</v>
      </c>
      <c r="I141" s="56" t="s">
        <v>1350</v>
      </c>
      <c r="J141" s="56" t="s">
        <v>1351</v>
      </c>
      <c r="K141" s="52" t="s">
        <v>1054</v>
      </c>
      <c r="L141" s="52" t="s">
        <v>1054</v>
      </c>
      <c r="M141" s="52" t="s">
        <v>1054</v>
      </c>
      <c r="N141" s="52">
        <v>1</v>
      </c>
      <c r="O141" s="52">
        <v>0</v>
      </c>
      <c r="P141" s="58">
        <v>7203</v>
      </c>
      <c r="Q141" s="58">
        <f t="shared" si="2"/>
        <v>8499.5399999999991</v>
      </c>
      <c r="R141" s="58" t="s">
        <v>1345</v>
      </c>
    </row>
    <row r="142" spans="1:18" x14ac:dyDescent="0.35">
      <c r="A142" s="57"/>
      <c r="B142" s="52" t="s">
        <v>793</v>
      </c>
      <c r="C142" s="52" t="s">
        <v>1135</v>
      </c>
      <c r="D142" s="52" t="s">
        <v>1136</v>
      </c>
      <c r="E142" s="52" t="s">
        <v>1053</v>
      </c>
      <c r="F142" s="52"/>
      <c r="G142" s="52" t="s">
        <v>1343</v>
      </c>
      <c r="H142" s="52" t="s">
        <v>1344</v>
      </c>
      <c r="I142" s="56" t="s">
        <v>1350</v>
      </c>
      <c r="J142" s="56" t="s">
        <v>1351</v>
      </c>
      <c r="K142" s="52" t="s">
        <v>1054</v>
      </c>
      <c r="L142" s="52" t="s">
        <v>1054</v>
      </c>
      <c r="M142" s="52" t="s">
        <v>1054</v>
      </c>
      <c r="N142" s="52">
        <v>1</v>
      </c>
      <c r="O142" s="52">
        <v>0</v>
      </c>
      <c r="P142" s="58">
        <v>8898</v>
      </c>
      <c r="Q142" s="58">
        <f t="shared" si="2"/>
        <v>10499.64</v>
      </c>
      <c r="R142" s="58" t="s">
        <v>1345</v>
      </c>
    </row>
    <row r="143" spans="1:18" x14ac:dyDescent="0.35">
      <c r="A143" s="57"/>
      <c r="B143" s="52" t="s">
        <v>856</v>
      </c>
      <c r="C143" s="52" t="s">
        <v>1135</v>
      </c>
      <c r="D143" s="52" t="s">
        <v>1136</v>
      </c>
      <c r="E143" s="52" t="s">
        <v>1053</v>
      </c>
      <c r="F143" s="52"/>
      <c r="G143" s="52" t="s">
        <v>1343</v>
      </c>
      <c r="H143" s="52" t="s">
        <v>1344</v>
      </c>
      <c r="I143" s="56" t="s">
        <v>1350</v>
      </c>
      <c r="J143" s="56" t="s">
        <v>1351</v>
      </c>
      <c r="K143" s="52" t="s">
        <v>1054</v>
      </c>
      <c r="L143" s="52" t="s">
        <v>1054</v>
      </c>
      <c r="M143" s="52" t="s">
        <v>1054</v>
      </c>
      <c r="N143" s="52">
        <v>1</v>
      </c>
      <c r="O143" s="52">
        <v>0</v>
      </c>
      <c r="P143" s="58">
        <v>9746</v>
      </c>
      <c r="Q143" s="58">
        <f t="shared" si="2"/>
        <v>11500.279999999999</v>
      </c>
      <c r="R143" s="58" t="s">
        <v>1345</v>
      </c>
    </row>
    <row r="144" spans="1:18" x14ac:dyDescent="0.35">
      <c r="A144" s="57"/>
      <c r="B144" s="52" t="s">
        <v>1068</v>
      </c>
      <c r="C144" s="52" t="s">
        <v>1135</v>
      </c>
      <c r="D144" s="52" t="s">
        <v>1136</v>
      </c>
      <c r="E144" s="52" t="s">
        <v>1053</v>
      </c>
      <c r="F144" s="52"/>
      <c r="G144" s="52" t="s">
        <v>1343</v>
      </c>
      <c r="H144" s="52" t="s">
        <v>1344</v>
      </c>
      <c r="I144" s="56" t="s">
        <v>1350</v>
      </c>
      <c r="J144" s="56" t="s">
        <v>1351</v>
      </c>
      <c r="K144" s="52" t="s">
        <v>1054</v>
      </c>
      <c r="L144" s="52" t="s">
        <v>1054</v>
      </c>
      <c r="M144" s="52" t="s">
        <v>1054</v>
      </c>
      <c r="N144" s="52">
        <v>1</v>
      </c>
      <c r="O144" s="52">
        <v>0</v>
      </c>
      <c r="P144" s="58">
        <v>5953</v>
      </c>
      <c r="Q144" s="58">
        <f t="shared" si="2"/>
        <v>7024.54</v>
      </c>
      <c r="R144" s="58" t="s">
        <v>1345</v>
      </c>
    </row>
    <row r="145" spans="1:18" x14ac:dyDescent="0.35">
      <c r="A145" s="57"/>
      <c r="B145" s="52" t="s">
        <v>1077</v>
      </c>
      <c r="C145" s="52" t="s">
        <v>1135</v>
      </c>
      <c r="D145" s="52" t="s">
        <v>1136</v>
      </c>
      <c r="E145" s="52" t="s">
        <v>1053</v>
      </c>
      <c r="F145" s="52"/>
      <c r="G145" s="52" t="s">
        <v>1343</v>
      </c>
      <c r="H145" s="52" t="s">
        <v>1344</v>
      </c>
      <c r="I145" s="56" t="s">
        <v>1350</v>
      </c>
      <c r="J145" s="56" t="s">
        <v>1351</v>
      </c>
      <c r="K145" s="52" t="s">
        <v>1054</v>
      </c>
      <c r="L145" s="52" t="s">
        <v>1054</v>
      </c>
      <c r="M145" s="52" t="s">
        <v>1054</v>
      </c>
      <c r="N145" s="52">
        <v>1</v>
      </c>
      <c r="O145" s="52">
        <v>0</v>
      </c>
      <c r="P145" s="58">
        <v>7203</v>
      </c>
      <c r="Q145" s="58">
        <f t="shared" si="2"/>
        <v>8499.5399999999991</v>
      </c>
      <c r="R145" s="58" t="s">
        <v>1345</v>
      </c>
    </row>
    <row r="146" spans="1:18" x14ac:dyDescent="0.35">
      <c r="A146" s="57"/>
      <c r="B146" s="52" t="s">
        <v>1093</v>
      </c>
      <c r="C146" s="52" t="s">
        <v>1135</v>
      </c>
      <c r="D146" s="52" t="s">
        <v>1136</v>
      </c>
      <c r="E146" s="52" t="s">
        <v>1053</v>
      </c>
      <c r="F146" s="52"/>
      <c r="G146" s="52" t="s">
        <v>1343</v>
      </c>
      <c r="H146" s="52" t="s">
        <v>1344</v>
      </c>
      <c r="I146" s="56" t="s">
        <v>1350</v>
      </c>
      <c r="J146" s="56" t="s">
        <v>1351</v>
      </c>
      <c r="K146" s="52" t="s">
        <v>1054</v>
      </c>
      <c r="L146" s="52" t="s">
        <v>1054</v>
      </c>
      <c r="M146" s="52" t="s">
        <v>1054</v>
      </c>
      <c r="N146" s="52">
        <v>1</v>
      </c>
      <c r="O146" s="52">
        <v>0</v>
      </c>
      <c r="P146" s="58">
        <v>9322</v>
      </c>
      <c r="Q146" s="58">
        <f t="shared" si="2"/>
        <v>10999.96</v>
      </c>
      <c r="R146" s="58" t="s">
        <v>1345</v>
      </c>
    </row>
    <row r="147" spans="1:18" x14ac:dyDescent="0.35">
      <c r="A147" s="57"/>
      <c r="B147" s="52" t="s">
        <v>1075</v>
      </c>
      <c r="C147" s="52" t="s">
        <v>1135</v>
      </c>
      <c r="D147" s="52" t="s">
        <v>1136</v>
      </c>
      <c r="E147" s="52" t="s">
        <v>1053</v>
      </c>
      <c r="F147" s="52"/>
      <c r="G147" s="52" t="s">
        <v>1343</v>
      </c>
      <c r="H147" s="52" t="s">
        <v>1344</v>
      </c>
      <c r="I147" s="56" t="s">
        <v>1350</v>
      </c>
      <c r="J147" s="56" t="s">
        <v>1351</v>
      </c>
      <c r="K147" s="52" t="s">
        <v>1054</v>
      </c>
      <c r="L147" s="52" t="s">
        <v>1054</v>
      </c>
      <c r="M147" s="52" t="s">
        <v>1054</v>
      </c>
      <c r="N147" s="52">
        <v>1</v>
      </c>
      <c r="O147" s="52">
        <v>0</v>
      </c>
      <c r="P147" s="58">
        <v>2542</v>
      </c>
      <c r="Q147" s="58">
        <f t="shared" si="2"/>
        <v>2999.56</v>
      </c>
      <c r="R147" s="58" t="s">
        <v>1345</v>
      </c>
    </row>
    <row r="148" spans="1:18" x14ac:dyDescent="0.35">
      <c r="A148" s="57"/>
      <c r="B148" s="52" t="s">
        <v>797</v>
      </c>
      <c r="C148" s="52" t="s">
        <v>1135</v>
      </c>
      <c r="D148" s="52" t="s">
        <v>1136</v>
      </c>
      <c r="E148" s="52" t="s">
        <v>1053</v>
      </c>
      <c r="F148" s="52"/>
      <c r="G148" s="52" t="s">
        <v>1343</v>
      </c>
      <c r="H148" s="52" t="s">
        <v>1344</v>
      </c>
      <c r="I148" s="56" t="s">
        <v>1350</v>
      </c>
      <c r="J148" s="56" t="s">
        <v>1351</v>
      </c>
      <c r="K148" s="52" t="s">
        <v>1054</v>
      </c>
      <c r="L148" s="52" t="s">
        <v>1054</v>
      </c>
      <c r="M148" s="52" t="s">
        <v>1054</v>
      </c>
      <c r="N148" s="52">
        <v>1</v>
      </c>
      <c r="O148" s="52">
        <v>0</v>
      </c>
      <c r="P148" s="58">
        <v>8898</v>
      </c>
      <c r="Q148" s="58">
        <f t="shared" si="2"/>
        <v>10499.64</v>
      </c>
      <c r="R148" s="58" t="s">
        <v>1345</v>
      </c>
    </row>
    <row r="149" spans="1:18" x14ac:dyDescent="0.35">
      <c r="A149" s="57"/>
      <c r="B149" s="52" t="s">
        <v>1081</v>
      </c>
      <c r="C149" s="52" t="s">
        <v>1135</v>
      </c>
      <c r="D149" s="52" t="s">
        <v>1136</v>
      </c>
      <c r="E149" s="52" t="s">
        <v>1053</v>
      </c>
      <c r="F149" s="52"/>
      <c r="G149" s="52" t="s">
        <v>1343</v>
      </c>
      <c r="H149" s="52" t="s">
        <v>1344</v>
      </c>
      <c r="I149" s="56" t="s">
        <v>1350</v>
      </c>
      <c r="J149" s="56" t="s">
        <v>1351</v>
      </c>
      <c r="K149" s="52" t="s">
        <v>1054</v>
      </c>
      <c r="L149" s="52" t="s">
        <v>1054</v>
      </c>
      <c r="M149" s="52" t="s">
        <v>1054</v>
      </c>
      <c r="N149" s="52">
        <v>1</v>
      </c>
      <c r="O149" s="52">
        <v>0</v>
      </c>
      <c r="P149" s="58">
        <v>2542</v>
      </c>
      <c r="Q149" s="58">
        <f t="shared" si="2"/>
        <v>2999.56</v>
      </c>
      <c r="R149" s="58" t="s">
        <v>1345</v>
      </c>
    </row>
    <row r="150" spans="1:18" x14ac:dyDescent="0.35">
      <c r="A150" s="57"/>
      <c r="B150" s="52" t="s">
        <v>867</v>
      </c>
      <c r="C150" s="52" t="s">
        <v>1135</v>
      </c>
      <c r="D150" s="52" t="s">
        <v>1136</v>
      </c>
      <c r="E150" s="52" t="s">
        <v>1053</v>
      </c>
      <c r="F150" s="52"/>
      <c r="G150" s="52" t="s">
        <v>1343</v>
      </c>
      <c r="H150" s="52" t="s">
        <v>1344</v>
      </c>
      <c r="I150" s="56" t="s">
        <v>1350</v>
      </c>
      <c r="J150" s="56" t="s">
        <v>1351</v>
      </c>
      <c r="K150" s="52" t="s">
        <v>1054</v>
      </c>
      <c r="L150" s="52" t="s">
        <v>1054</v>
      </c>
      <c r="M150" s="52" t="s">
        <v>1054</v>
      </c>
      <c r="N150" s="52">
        <v>1</v>
      </c>
      <c r="O150" s="52">
        <v>0</v>
      </c>
      <c r="P150" s="58">
        <v>8898</v>
      </c>
      <c r="Q150" s="58">
        <f t="shared" si="2"/>
        <v>10499.64</v>
      </c>
      <c r="R150" s="58" t="s">
        <v>1345</v>
      </c>
    </row>
    <row r="151" spans="1:18" x14ac:dyDescent="0.35">
      <c r="A151" s="57"/>
      <c r="B151" s="52" t="s">
        <v>742</v>
      </c>
      <c r="C151" s="52" t="s">
        <v>1135</v>
      </c>
      <c r="D151" s="52" t="s">
        <v>1136</v>
      </c>
      <c r="E151" s="52" t="s">
        <v>1053</v>
      </c>
      <c r="F151" s="52"/>
      <c r="G151" s="52" t="s">
        <v>1343</v>
      </c>
      <c r="H151" s="52" t="s">
        <v>1344</v>
      </c>
      <c r="I151" s="56" t="s">
        <v>1350</v>
      </c>
      <c r="J151" s="56" t="s">
        <v>1351</v>
      </c>
      <c r="K151" s="52" t="s">
        <v>1054</v>
      </c>
      <c r="L151" s="52" t="s">
        <v>1054</v>
      </c>
      <c r="M151" s="52" t="s">
        <v>1054</v>
      </c>
      <c r="N151" s="52">
        <v>1</v>
      </c>
      <c r="O151" s="52">
        <v>0</v>
      </c>
      <c r="P151" s="58">
        <v>8475</v>
      </c>
      <c r="Q151" s="58">
        <f t="shared" si="2"/>
        <v>10000.5</v>
      </c>
      <c r="R151" s="58" t="s">
        <v>1345</v>
      </c>
    </row>
    <row r="152" spans="1:18" x14ac:dyDescent="0.35">
      <c r="A152" s="57"/>
      <c r="B152" s="52" t="s">
        <v>1079</v>
      </c>
      <c r="C152" s="52" t="s">
        <v>1135</v>
      </c>
      <c r="D152" s="52" t="s">
        <v>1136</v>
      </c>
      <c r="E152" s="52" t="s">
        <v>1053</v>
      </c>
      <c r="F152" s="52"/>
      <c r="G152" s="52" t="s">
        <v>1343</v>
      </c>
      <c r="H152" s="52" t="s">
        <v>1344</v>
      </c>
      <c r="I152" s="56" t="s">
        <v>1350</v>
      </c>
      <c r="J152" s="56" t="s">
        <v>1351</v>
      </c>
      <c r="K152" s="52" t="s">
        <v>1054</v>
      </c>
      <c r="L152" s="52" t="s">
        <v>1054</v>
      </c>
      <c r="M152" s="52" t="s">
        <v>1054</v>
      </c>
      <c r="N152" s="52">
        <v>1</v>
      </c>
      <c r="O152" s="52">
        <v>0</v>
      </c>
      <c r="P152" s="58">
        <v>593</v>
      </c>
      <c r="Q152" s="58">
        <f t="shared" si="2"/>
        <v>699.74</v>
      </c>
      <c r="R152" s="58" t="s">
        <v>1345</v>
      </c>
    </row>
    <row r="153" spans="1:18" x14ac:dyDescent="0.35">
      <c r="A153" s="57"/>
      <c r="B153" s="52" t="s">
        <v>767</v>
      </c>
      <c r="C153" s="52" t="s">
        <v>1135</v>
      </c>
      <c r="D153" s="52" t="s">
        <v>1136</v>
      </c>
      <c r="E153" s="52" t="s">
        <v>1053</v>
      </c>
      <c r="F153" s="52"/>
      <c r="G153" s="52" t="s">
        <v>1343</v>
      </c>
      <c r="H153" s="52" t="s">
        <v>1344</v>
      </c>
      <c r="I153" s="56" t="s">
        <v>1350</v>
      </c>
      <c r="J153" s="56" t="s">
        <v>1351</v>
      </c>
      <c r="K153" s="52" t="s">
        <v>1054</v>
      </c>
      <c r="L153" s="52" t="s">
        <v>1054</v>
      </c>
      <c r="M153" s="52" t="s">
        <v>1054</v>
      </c>
      <c r="N153" s="52">
        <v>1</v>
      </c>
      <c r="O153" s="52">
        <v>0</v>
      </c>
      <c r="P153" s="58">
        <v>1765</v>
      </c>
      <c r="Q153" s="58">
        <f t="shared" si="2"/>
        <v>2082.6999999999998</v>
      </c>
      <c r="R153" s="58" t="s">
        <v>1345</v>
      </c>
    </row>
    <row r="154" spans="1:18" x14ac:dyDescent="0.35">
      <c r="A154" s="57"/>
      <c r="B154" s="52" t="s">
        <v>870</v>
      </c>
      <c r="C154" s="52" t="s">
        <v>1135</v>
      </c>
      <c r="D154" s="52" t="s">
        <v>1136</v>
      </c>
      <c r="E154" s="52" t="s">
        <v>1053</v>
      </c>
      <c r="F154" s="52"/>
      <c r="G154" s="52" t="s">
        <v>1343</v>
      </c>
      <c r="H154" s="52" t="s">
        <v>1344</v>
      </c>
      <c r="I154" s="56" t="s">
        <v>1350</v>
      </c>
      <c r="J154" s="56" t="s">
        <v>1351</v>
      </c>
      <c r="K154" s="52" t="s">
        <v>1054</v>
      </c>
      <c r="L154" s="52" t="s">
        <v>1054</v>
      </c>
      <c r="M154" s="52" t="s">
        <v>1054</v>
      </c>
      <c r="N154" s="52">
        <v>1</v>
      </c>
      <c r="O154" s="52">
        <v>0</v>
      </c>
      <c r="P154" s="58">
        <v>9746</v>
      </c>
      <c r="Q154" s="58">
        <f t="shared" si="2"/>
        <v>11500.279999999999</v>
      </c>
      <c r="R154" s="58" t="s">
        <v>1345</v>
      </c>
    </row>
    <row r="155" spans="1:18" x14ac:dyDescent="0.35">
      <c r="A155" s="57"/>
      <c r="B155" s="52" t="s">
        <v>1112</v>
      </c>
      <c r="C155" s="52" t="s">
        <v>1135</v>
      </c>
      <c r="D155" s="52" t="s">
        <v>1136</v>
      </c>
      <c r="E155" s="52" t="s">
        <v>1053</v>
      </c>
      <c r="F155" s="52"/>
      <c r="G155" s="52" t="s">
        <v>1343</v>
      </c>
      <c r="H155" s="52" t="s">
        <v>1344</v>
      </c>
      <c r="I155" s="56" t="s">
        <v>1350</v>
      </c>
      <c r="J155" s="56" t="s">
        <v>1351</v>
      </c>
      <c r="K155" s="52" t="s">
        <v>1054</v>
      </c>
      <c r="L155" s="52" t="s">
        <v>1054</v>
      </c>
      <c r="M155" s="52" t="s">
        <v>1054</v>
      </c>
      <c r="N155" s="52">
        <v>1</v>
      </c>
      <c r="O155" s="52">
        <v>0</v>
      </c>
      <c r="P155" s="58">
        <v>4040</v>
      </c>
      <c r="Q155" s="58">
        <f t="shared" si="2"/>
        <v>4767.2</v>
      </c>
      <c r="R155" s="58" t="s">
        <v>1345</v>
      </c>
    </row>
    <row r="156" spans="1:18" x14ac:dyDescent="0.35">
      <c r="A156" s="57"/>
      <c r="B156" s="52" t="s">
        <v>666</v>
      </c>
      <c r="C156" s="52" t="s">
        <v>1135</v>
      </c>
      <c r="D156" s="52" t="s">
        <v>1136</v>
      </c>
      <c r="E156" s="52" t="s">
        <v>1053</v>
      </c>
      <c r="F156" s="52"/>
      <c r="G156" s="52" t="s">
        <v>1343</v>
      </c>
      <c r="H156" s="52" t="s">
        <v>1344</v>
      </c>
      <c r="I156" s="56" t="s">
        <v>1350</v>
      </c>
      <c r="J156" s="56" t="s">
        <v>1351</v>
      </c>
      <c r="K156" s="52" t="s">
        <v>1054</v>
      </c>
      <c r="L156" s="52" t="s">
        <v>1054</v>
      </c>
      <c r="M156" s="52" t="s">
        <v>1054</v>
      </c>
      <c r="N156" s="52">
        <v>1</v>
      </c>
      <c r="O156" s="52">
        <v>0</v>
      </c>
      <c r="P156" s="58">
        <v>8898</v>
      </c>
      <c r="Q156" s="58">
        <f t="shared" si="2"/>
        <v>10499.64</v>
      </c>
      <c r="R156" s="58" t="s">
        <v>1345</v>
      </c>
    </row>
    <row r="157" spans="1:18" x14ac:dyDescent="0.35">
      <c r="A157" s="57"/>
      <c r="B157" s="52" t="s">
        <v>190</v>
      </c>
      <c r="C157" s="52" t="s">
        <v>1135</v>
      </c>
      <c r="D157" s="52" t="s">
        <v>1136</v>
      </c>
      <c r="E157" s="52" t="s">
        <v>1053</v>
      </c>
      <c r="F157" s="52"/>
      <c r="G157" s="52" t="s">
        <v>1343</v>
      </c>
      <c r="H157" s="52" t="s">
        <v>1344</v>
      </c>
      <c r="I157" s="56" t="s">
        <v>1350</v>
      </c>
      <c r="J157" s="56" t="s">
        <v>1351</v>
      </c>
      <c r="K157" s="52" t="s">
        <v>1054</v>
      </c>
      <c r="L157" s="52" t="s">
        <v>1054</v>
      </c>
      <c r="M157" s="52" t="s">
        <v>1054</v>
      </c>
      <c r="N157" s="52">
        <v>1</v>
      </c>
      <c r="O157" s="52">
        <v>0</v>
      </c>
      <c r="P157" s="58">
        <v>5933</v>
      </c>
      <c r="Q157" s="58">
        <f t="shared" si="2"/>
        <v>7000.94</v>
      </c>
      <c r="R157" s="58" t="s">
        <v>1345</v>
      </c>
    </row>
    <row r="158" spans="1:18" x14ac:dyDescent="0.35">
      <c r="A158" s="57"/>
      <c r="B158" s="52" t="s">
        <v>1215</v>
      </c>
      <c r="C158" s="52" t="s">
        <v>1135</v>
      </c>
      <c r="D158" s="52" t="s">
        <v>1136</v>
      </c>
      <c r="E158" s="52" t="s">
        <v>1053</v>
      </c>
      <c r="F158" s="52"/>
      <c r="G158" s="52" t="s">
        <v>1343</v>
      </c>
      <c r="H158" s="52" t="s">
        <v>1344</v>
      </c>
      <c r="I158" s="56" t="s">
        <v>1350</v>
      </c>
      <c r="J158" s="56" t="s">
        <v>1351</v>
      </c>
      <c r="K158" s="52" t="s">
        <v>1054</v>
      </c>
      <c r="L158" s="52" t="s">
        <v>1054</v>
      </c>
      <c r="M158" s="52" t="s">
        <v>1054</v>
      </c>
      <c r="N158" s="52">
        <v>1</v>
      </c>
      <c r="O158" s="52">
        <v>0</v>
      </c>
      <c r="P158" s="58">
        <v>1759</v>
      </c>
      <c r="Q158" s="58">
        <f t="shared" si="2"/>
        <v>2075.62</v>
      </c>
      <c r="R158" s="58" t="s">
        <v>1345</v>
      </c>
    </row>
    <row r="159" spans="1:18" x14ac:dyDescent="0.35">
      <c r="A159" s="57"/>
      <c r="B159" s="52" t="s">
        <v>862</v>
      </c>
      <c r="C159" s="52" t="s">
        <v>1135</v>
      </c>
      <c r="D159" s="52" t="s">
        <v>1136</v>
      </c>
      <c r="E159" s="52" t="s">
        <v>1053</v>
      </c>
      <c r="F159" s="52"/>
      <c r="G159" s="52" t="s">
        <v>1343</v>
      </c>
      <c r="H159" s="52" t="s">
        <v>1344</v>
      </c>
      <c r="I159" s="56" t="s">
        <v>1350</v>
      </c>
      <c r="J159" s="56" t="s">
        <v>1351</v>
      </c>
      <c r="K159" s="52" t="s">
        <v>1054</v>
      </c>
      <c r="L159" s="52" t="s">
        <v>1054</v>
      </c>
      <c r="M159" s="52" t="s">
        <v>1054</v>
      </c>
      <c r="N159" s="52">
        <v>1</v>
      </c>
      <c r="O159" s="52">
        <v>0</v>
      </c>
      <c r="P159" s="58">
        <v>1695</v>
      </c>
      <c r="Q159" s="58">
        <f t="shared" si="2"/>
        <v>2000.1</v>
      </c>
      <c r="R159" s="58" t="s">
        <v>1345</v>
      </c>
    </row>
    <row r="160" spans="1:18" x14ac:dyDescent="0.35">
      <c r="A160" s="57"/>
      <c r="B160" s="52" t="s">
        <v>864</v>
      </c>
      <c r="C160" s="52" t="s">
        <v>1135</v>
      </c>
      <c r="D160" s="52" t="s">
        <v>1136</v>
      </c>
      <c r="E160" s="52" t="s">
        <v>1053</v>
      </c>
      <c r="F160" s="52"/>
      <c r="G160" s="52" t="s">
        <v>1343</v>
      </c>
      <c r="H160" s="52" t="s">
        <v>1344</v>
      </c>
      <c r="I160" s="56" t="s">
        <v>1350</v>
      </c>
      <c r="J160" s="56" t="s">
        <v>1351</v>
      </c>
      <c r="K160" s="52" t="s">
        <v>1054</v>
      </c>
      <c r="L160" s="52" t="s">
        <v>1054</v>
      </c>
      <c r="M160" s="52" t="s">
        <v>1054</v>
      </c>
      <c r="N160" s="52">
        <v>1</v>
      </c>
      <c r="O160" s="52">
        <v>0</v>
      </c>
      <c r="P160" s="58">
        <v>7203</v>
      </c>
      <c r="Q160" s="58">
        <f t="shared" si="2"/>
        <v>8499.5399999999991</v>
      </c>
      <c r="R160" s="58" t="s">
        <v>1345</v>
      </c>
    </row>
    <row r="161" spans="1:18" x14ac:dyDescent="0.35">
      <c r="A161" s="57"/>
      <c r="B161" s="52" t="s">
        <v>871</v>
      </c>
      <c r="C161" s="52" t="s">
        <v>1135</v>
      </c>
      <c r="D161" s="52" t="s">
        <v>1136</v>
      </c>
      <c r="E161" s="52" t="s">
        <v>1053</v>
      </c>
      <c r="F161" s="52"/>
      <c r="G161" s="52" t="s">
        <v>1343</v>
      </c>
      <c r="H161" s="52" t="s">
        <v>1344</v>
      </c>
      <c r="I161" s="56" t="s">
        <v>1350</v>
      </c>
      <c r="J161" s="56" t="s">
        <v>1351</v>
      </c>
      <c r="K161" s="52" t="s">
        <v>1054</v>
      </c>
      <c r="L161" s="52" t="s">
        <v>1054</v>
      </c>
      <c r="M161" s="52" t="s">
        <v>1054</v>
      </c>
      <c r="N161" s="52">
        <v>1</v>
      </c>
      <c r="O161" s="52">
        <v>0</v>
      </c>
      <c r="P161" s="58">
        <v>1695</v>
      </c>
      <c r="Q161" s="58">
        <f t="shared" si="2"/>
        <v>2000.1</v>
      </c>
      <c r="R161" s="58" t="s">
        <v>1345</v>
      </c>
    </row>
    <row r="162" spans="1:18" x14ac:dyDescent="0.35">
      <c r="A162" s="57"/>
      <c r="B162" s="52" t="s">
        <v>358</v>
      </c>
      <c r="C162" s="52" t="s">
        <v>1135</v>
      </c>
      <c r="D162" s="52" t="s">
        <v>1136</v>
      </c>
      <c r="E162" s="52" t="s">
        <v>1053</v>
      </c>
      <c r="F162" s="52"/>
      <c r="G162" s="52" t="s">
        <v>1343</v>
      </c>
      <c r="H162" s="52" t="s">
        <v>1344</v>
      </c>
      <c r="I162" s="56" t="s">
        <v>1350</v>
      </c>
      <c r="J162" s="56" t="s">
        <v>1351</v>
      </c>
      <c r="K162" s="52" t="s">
        <v>1054</v>
      </c>
      <c r="L162" s="52" t="s">
        <v>1054</v>
      </c>
      <c r="M162" s="52" t="s">
        <v>1054</v>
      </c>
      <c r="N162" s="52">
        <v>1</v>
      </c>
      <c r="O162" s="52">
        <v>0</v>
      </c>
      <c r="P162" s="58">
        <v>1695</v>
      </c>
      <c r="Q162" s="58">
        <f t="shared" si="2"/>
        <v>2000.1</v>
      </c>
      <c r="R162" s="58" t="s">
        <v>1345</v>
      </c>
    </row>
    <row r="163" spans="1:18" x14ac:dyDescent="0.35">
      <c r="A163" s="57"/>
      <c r="B163" s="52" t="s">
        <v>170</v>
      </c>
      <c r="C163" s="52" t="s">
        <v>1135</v>
      </c>
      <c r="D163" s="52" t="s">
        <v>1136</v>
      </c>
      <c r="E163" s="52" t="s">
        <v>1053</v>
      </c>
      <c r="F163" s="52"/>
      <c r="G163" s="52" t="s">
        <v>1343</v>
      </c>
      <c r="H163" s="52" t="s">
        <v>1344</v>
      </c>
      <c r="I163" s="56" t="s">
        <v>1350</v>
      </c>
      <c r="J163" s="56" t="s">
        <v>1351</v>
      </c>
      <c r="K163" s="52" t="s">
        <v>1054</v>
      </c>
      <c r="L163" s="52" t="s">
        <v>1054</v>
      </c>
      <c r="M163" s="52" t="s">
        <v>1054</v>
      </c>
      <c r="N163" s="52">
        <v>1</v>
      </c>
      <c r="O163" s="52">
        <v>0</v>
      </c>
      <c r="P163" s="58">
        <v>4237</v>
      </c>
      <c r="Q163" s="58">
        <f t="shared" si="2"/>
        <v>4999.66</v>
      </c>
      <c r="R163" s="58" t="s">
        <v>1345</v>
      </c>
    </row>
    <row r="164" spans="1:18" x14ac:dyDescent="0.35">
      <c r="A164" s="57"/>
      <c r="B164" s="52" t="s">
        <v>653</v>
      </c>
      <c r="C164" s="52" t="s">
        <v>1135</v>
      </c>
      <c r="D164" s="52" t="s">
        <v>1136</v>
      </c>
      <c r="E164" s="52" t="s">
        <v>1053</v>
      </c>
      <c r="F164" s="52"/>
      <c r="G164" s="52" t="s">
        <v>1343</v>
      </c>
      <c r="H164" s="52" t="s">
        <v>1344</v>
      </c>
      <c r="I164" s="56" t="s">
        <v>1350</v>
      </c>
      <c r="J164" s="56" t="s">
        <v>1351</v>
      </c>
      <c r="K164" s="52" t="s">
        <v>1054</v>
      </c>
      <c r="L164" s="52" t="s">
        <v>1054</v>
      </c>
      <c r="M164" s="52" t="s">
        <v>1054</v>
      </c>
      <c r="N164" s="52">
        <v>1</v>
      </c>
      <c r="O164" s="52">
        <v>0</v>
      </c>
      <c r="P164" s="58">
        <v>5750</v>
      </c>
      <c r="Q164" s="58">
        <f t="shared" si="2"/>
        <v>6785</v>
      </c>
      <c r="R164" s="58" t="s">
        <v>1345</v>
      </c>
    </row>
    <row r="165" spans="1:18" x14ac:dyDescent="0.35">
      <c r="A165" s="57"/>
      <c r="B165" s="52" t="s">
        <v>1061</v>
      </c>
      <c r="C165" s="52" t="s">
        <v>1135</v>
      </c>
      <c r="D165" s="52" t="s">
        <v>1136</v>
      </c>
      <c r="E165" s="52" t="s">
        <v>1053</v>
      </c>
      <c r="F165" s="52"/>
      <c r="G165" s="52" t="s">
        <v>1343</v>
      </c>
      <c r="H165" s="52" t="s">
        <v>1344</v>
      </c>
      <c r="I165" s="56" t="s">
        <v>1350</v>
      </c>
      <c r="J165" s="56" t="s">
        <v>1351</v>
      </c>
      <c r="K165" s="52" t="s">
        <v>1054</v>
      </c>
      <c r="L165" s="52" t="s">
        <v>1054</v>
      </c>
      <c r="M165" s="52" t="s">
        <v>1054</v>
      </c>
      <c r="N165" s="52">
        <v>1</v>
      </c>
      <c r="O165" s="52">
        <v>0</v>
      </c>
      <c r="P165" s="58">
        <v>1261</v>
      </c>
      <c r="Q165" s="58">
        <f t="shared" si="2"/>
        <v>1487.98</v>
      </c>
      <c r="R165" s="58" t="s">
        <v>1345</v>
      </c>
    </row>
    <row r="166" spans="1:18" x14ac:dyDescent="0.35">
      <c r="A166" s="57"/>
      <c r="B166" s="52" t="s">
        <v>185</v>
      </c>
      <c r="C166" s="52" t="s">
        <v>1135</v>
      </c>
      <c r="D166" s="52" t="s">
        <v>1136</v>
      </c>
      <c r="E166" s="52" t="s">
        <v>1053</v>
      </c>
      <c r="F166" s="52"/>
      <c r="G166" s="52" t="s">
        <v>1343</v>
      </c>
      <c r="H166" s="52" t="s">
        <v>1344</v>
      </c>
      <c r="I166" s="56" t="s">
        <v>1350</v>
      </c>
      <c r="J166" s="56" t="s">
        <v>1351</v>
      </c>
      <c r="K166" s="52" t="s">
        <v>1054</v>
      </c>
      <c r="L166" s="52" t="s">
        <v>1054</v>
      </c>
      <c r="M166" s="52" t="s">
        <v>1054</v>
      </c>
      <c r="N166" s="52">
        <v>1</v>
      </c>
      <c r="O166" s="52">
        <v>0</v>
      </c>
      <c r="P166" s="58">
        <v>2543</v>
      </c>
      <c r="Q166" s="58">
        <f t="shared" si="2"/>
        <v>3000.74</v>
      </c>
      <c r="R166" s="58" t="s">
        <v>1345</v>
      </c>
    </row>
    <row r="167" spans="1:18" x14ac:dyDescent="0.35">
      <c r="A167" s="57"/>
      <c r="B167" s="52" t="s">
        <v>175</v>
      </c>
      <c r="C167" s="52" t="s">
        <v>1135</v>
      </c>
      <c r="D167" s="52" t="s">
        <v>1136</v>
      </c>
      <c r="E167" s="52" t="s">
        <v>1053</v>
      </c>
      <c r="F167" s="52"/>
      <c r="G167" s="52" t="s">
        <v>1343</v>
      </c>
      <c r="H167" s="52" t="s">
        <v>1344</v>
      </c>
      <c r="I167" s="56" t="s">
        <v>1350</v>
      </c>
      <c r="J167" s="56" t="s">
        <v>1351</v>
      </c>
      <c r="K167" s="52" t="s">
        <v>1054</v>
      </c>
      <c r="L167" s="52" t="s">
        <v>1054</v>
      </c>
      <c r="M167" s="52" t="s">
        <v>1054</v>
      </c>
      <c r="N167" s="52">
        <v>1</v>
      </c>
      <c r="O167" s="52">
        <v>0</v>
      </c>
      <c r="P167" s="58">
        <v>4237</v>
      </c>
      <c r="Q167" s="58">
        <f t="shared" si="2"/>
        <v>4999.66</v>
      </c>
      <c r="R167" s="58" t="s">
        <v>1345</v>
      </c>
    </row>
    <row r="168" spans="1:18" x14ac:dyDescent="0.35">
      <c r="A168" s="57"/>
      <c r="B168" s="52" t="s">
        <v>180</v>
      </c>
      <c r="C168" s="52" t="s">
        <v>1135</v>
      </c>
      <c r="D168" s="52" t="s">
        <v>1136</v>
      </c>
      <c r="E168" s="52" t="s">
        <v>1053</v>
      </c>
      <c r="F168" s="52"/>
      <c r="G168" s="52" t="s">
        <v>1343</v>
      </c>
      <c r="H168" s="52" t="s">
        <v>1344</v>
      </c>
      <c r="I168" s="56" t="s">
        <v>1350</v>
      </c>
      <c r="J168" s="56" t="s">
        <v>1351</v>
      </c>
      <c r="K168" s="52" t="s">
        <v>1054</v>
      </c>
      <c r="L168" s="52" t="s">
        <v>1054</v>
      </c>
      <c r="M168" s="52" t="s">
        <v>1054</v>
      </c>
      <c r="N168" s="52">
        <v>1</v>
      </c>
      <c r="O168" s="52">
        <v>0</v>
      </c>
      <c r="P168" s="58">
        <v>4237</v>
      </c>
      <c r="Q168" s="58">
        <f t="shared" si="2"/>
        <v>4999.66</v>
      </c>
      <c r="R168" s="58" t="s">
        <v>1345</v>
      </c>
    </row>
    <row r="169" spans="1:18" x14ac:dyDescent="0.35">
      <c r="A169" s="57"/>
      <c r="B169" s="52" t="s">
        <v>664</v>
      </c>
      <c r="C169" s="52" t="s">
        <v>1135</v>
      </c>
      <c r="D169" s="52" t="s">
        <v>1136</v>
      </c>
      <c r="E169" s="52" t="s">
        <v>1053</v>
      </c>
      <c r="F169" s="52"/>
      <c r="G169" s="52" t="s">
        <v>1343</v>
      </c>
      <c r="H169" s="52" t="s">
        <v>1344</v>
      </c>
      <c r="I169" s="56" t="s">
        <v>1350</v>
      </c>
      <c r="J169" s="56" t="s">
        <v>1351</v>
      </c>
      <c r="K169" s="52" t="s">
        <v>1054</v>
      </c>
      <c r="L169" s="52" t="s">
        <v>1054</v>
      </c>
      <c r="M169" s="52" t="s">
        <v>1054</v>
      </c>
      <c r="N169" s="52">
        <v>1</v>
      </c>
      <c r="O169" s="52">
        <v>0</v>
      </c>
      <c r="P169" s="58">
        <v>5508</v>
      </c>
      <c r="Q169" s="58">
        <f t="shared" si="2"/>
        <v>6499.44</v>
      </c>
      <c r="R169" s="58" t="s">
        <v>1345</v>
      </c>
    </row>
    <row r="170" spans="1:18" x14ac:dyDescent="0.35">
      <c r="A170" s="57"/>
      <c r="B170" s="52" t="s">
        <v>1062</v>
      </c>
      <c r="C170" s="52" t="s">
        <v>1135</v>
      </c>
      <c r="D170" s="52" t="s">
        <v>1136</v>
      </c>
      <c r="E170" s="52" t="s">
        <v>1053</v>
      </c>
      <c r="F170" s="52"/>
      <c r="G170" s="52" t="s">
        <v>1343</v>
      </c>
      <c r="H170" s="52" t="s">
        <v>1344</v>
      </c>
      <c r="I170" s="56" t="s">
        <v>1350</v>
      </c>
      <c r="J170" s="56" t="s">
        <v>1351</v>
      </c>
      <c r="K170" s="52" t="s">
        <v>1054</v>
      </c>
      <c r="L170" s="52" t="s">
        <v>1054</v>
      </c>
      <c r="M170" s="52" t="s">
        <v>1054</v>
      </c>
      <c r="N170" s="52">
        <v>1</v>
      </c>
      <c r="O170" s="52">
        <v>0</v>
      </c>
      <c r="P170" s="58">
        <v>5059</v>
      </c>
      <c r="Q170" s="58">
        <f t="shared" si="2"/>
        <v>5969.62</v>
      </c>
      <c r="R170" s="58" t="s">
        <v>1345</v>
      </c>
    </row>
    <row r="171" spans="1:18" x14ac:dyDescent="0.35">
      <c r="A171" s="57"/>
      <c r="B171" s="52" t="s">
        <v>1074</v>
      </c>
      <c r="C171" s="52" t="s">
        <v>1135</v>
      </c>
      <c r="D171" s="52" t="s">
        <v>1136</v>
      </c>
      <c r="E171" s="52" t="s">
        <v>1053</v>
      </c>
      <c r="F171" s="52"/>
      <c r="G171" s="52" t="s">
        <v>1343</v>
      </c>
      <c r="H171" s="52" t="s">
        <v>1344</v>
      </c>
      <c r="I171" s="56" t="s">
        <v>1350</v>
      </c>
      <c r="J171" s="56" t="s">
        <v>1351</v>
      </c>
      <c r="K171" s="52" t="s">
        <v>1054</v>
      </c>
      <c r="L171" s="52" t="s">
        <v>1054</v>
      </c>
      <c r="M171" s="52" t="s">
        <v>1054</v>
      </c>
      <c r="N171" s="52">
        <v>1</v>
      </c>
      <c r="O171" s="52">
        <v>0</v>
      </c>
      <c r="P171" s="58">
        <v>2237</v>
      </c>
      <c r="Q171" s="58">
        <f t="shared" si="2"/>
        <v>2639.66</v>
      </c>
      <c r="R171" s="58" t="s">
        <v>1345</v>
      </c>
    </row>
    <row r="172" spans="1:18" x14ac:dyDescent="0.35">
      <c r="A172" s="57"/>
      <c r="B172" s="52" t="s">
        <v>875</v>
      </c>
      <c r="C172" s="52" t="s">
        <v>1135</v>
      </c>
      <c r="D172" s="52" t="s">
        <v>1136</v>
      </c>
      <c r="E172" s="52" t="s">
        <v>1053</v>
      </c>
      <c r="F172" s="52"/>
      <c r="G172" s="52" t="s">
        <v>1343</v>
      </c>
      <c r="H172" s="52" t="s">
        <v>1344</v>
      </c>
      <c r="I172" s="56" t="s">
        <v>1350</v>
      </c>
      <c r="J172" s="56" t="s">
        <v>1351</v>
      </c>
      <c r="K172" s="52" t="s">
        <v>1054</v>
      </c>
      <c r="L172" s="52" t="s">
        <v>1054</v>
      </c>
      <c r="M172" s="52" t="s">
        <v>1054</v>
      </c>
      <c r="N172" s="52">
        <v>1</v>
      </c>
      <c r="O172" s="52">
        <v>0</v>
      </c>
      <c r="P172" s="58">
        <v>5678</v>
      </c>
      <c r="Q172" s="58">
        <f t="shared" si="2"/>
        <v>6700.04</v>
      </c>
      <c r="R172" s="58" t="s">
        <v>1345</v>
      </c>
    </row>
    <row r="173" spans="1:18" x14ac:dyDescent="0.35">
      <c r="A173" s="57"/>
      <c r="B173" s="52" t="s">
        <v>1149</v>
      </c>
      <c r="C173" s="52" t="s">
        <v>1135</v>
      </c>
      <c r="D173" s="52" t="s">
        <v>1136</v>
      </c>
      <c r="E173" s="52" t="s">
        <v>1053</v>
      </c>
      <c r="F173" s="52"/>
      <c r="G173" s="52" t="s">
        <v>1343</v>
      </c>
      <c r="H173" s="52" t="s">
        <v>1344</v>
      </c>
      <c r="I173" s="56" t="s">
        <v>1350</v>
      </c>
      <c r="J173" s="56" t="s">
        <v>1351</v>
      </c>
      <c r="K173" s="52" t="s">
        <v>1054</v>
      </c>
      <c r="L173" s="52" t="s">
        <v>1054</v>
      </c>
      <c r="M173" s="52" t="s">
        <v>1054</v>
      </c>
      <c r="N173" s="52">
        <v>1</v>
      </c>
      <c r="O173" s="52">
        <v>0</v>
      </c>
      <c r="P173" s="58">
        <v>8898</v>
      </c>
      <c r="Q173" s="58">
        <f t="shared" si="2"/>
        <v>10499.64</v>
      </c>
      <c r="R173" s="58" t="s">
        <v>1345</v>
      </c>
    </row>
    <row r="174" spans="1:18" x14ac:dyDescent="0.35">
      <c r="A174" s="57"/>
      <c r="B174" s="52" t="s">
        <v>1360</v>
      </c>
      <c r="C174" s="52" t="s">
        <v>1135</v>
      </c>
      <c r="D174" s="52" t="s">
        <v>1136</v>
      </c>
      <c r="E174" s="52" t="s">
        <v>1053</v>
      </c>
      <c r="F174" s="52"/>
      <c r="G174" s="52" t="s">
        <v>1343</v>
      </c>
      <c r="H174" s="52" t="s">
        <v>1344</v>
      </c>
      <c r="I174" s="56" t="s">
        <v>1350</v>
      </c>
      <c r="J174" s="56" t="s">
        <v>1351</v>
      </c>
      <c r="K174" s="52" t="s">
        <v>1054</v>
      </c>
      <c r="L174" s="52" t="s">
        <v>1054</v>
      </c>
      <c r="M174" s="52" t="s">
        <v>1054</v>
      </c>
      <c r="N174" s="52">
        <v>1</v>
      </c>
      <c r="O174" s="52">
        <v>0</v>
      </c>
      <c r="P174" s="58">
        <v>2542</v>
      </c>
      <c r="Q174" s="58">
        <f t="shared" si="2"/>
        <v>2999.56</v>
      </c>
      <c r="R174" s="58" t="s">
        <v>1345</v>
      </c>
    </row>
    <row r="175" spans="1:18" x14ac:dyDescent="0.35">
      <c r="A175" s="57"/>
      <c r="B175" s="52" t="s">
        <v>184</v>
      </c>
      <c r="C175" s="52" t="s">
        <v>1135</v>
      </c>
      <c r="D175" s="52" t="s">
        <v>1136</v>
      </c>
      <c r="E175" s="52" t="s">
        <v>1053</v>
      </c>
      <c r="F175" s="52"/>
      <c r="G175" s="52" t="s">
        <v>1343</v>
      </c>
      <c r="H175" s="52" t="s">
        <v>1344</v>
      </c>
      <c r="I175" s="56" t="s">
        <v>1350</v>
      </c>
      <c r="J175" s="56" t="s">
        <v>1351</v>
      </c>
      <c r="K175" s="52" t="s">
        <v>1054</v>
      </c>
      <c r="L175" s="52" t="s">
        <v>1054</v>
      </c>
      <c r="M175" s="52" t="s">
        <v>1054</v>
      </c>
      <c r="N175" s="52">
        <v>1</v>
      </c>
      <c r="O175" s="52">
        <v>0</v>
      </c>
      <c r="P175" s="58">
        <v>3390</v>
      </c>
      <c r="Q175" s="58">
        <f t="shared" si="2"/>
        <v>4000.2</v>
      </c>
      <c r="R175" s="58" t="s">
        <v>1345</v>
      </c>
    </row>
    <row r="176" spans="1:18" x14ac:dyDescent="0.35">
      <c r="A176" s="57"/>
      <c r="B176" s="52" t="s">
        <v>1361</v>
      </c>
      <c r="C176" s="52" t="s">
        <v>1135</v>
      </c>
      <c r="D176" s="52" t="s">
        <v>1136</v>
      </c>
      <c r="E176" s="52" t="s">
        <v>1053</v>
      </c>
      <c r="F176" s="52"/>
      <c r="G176" s="52" t="s">
        <v>1343</v>
      </c>
      <c r="H176" s="52" t="s">
        <v>1344</v>
      </c>
      <c r="I176" s="56" t="s">
        <v>1350</v>
      </c>
      <c r="J176" s="56" t="s">
        <v>1351</v>
      </c>
      <c r="K176" s="52" t="s">
        <v>1054</v>
      </c>
      <c r="L176" s="52" t="s">
        <v>1054</v>
      </c>
      <c r="M176" s="52" t="s">
        <v>1054</v>
      </c>
      <c r="N176" s="52">
        <v>1</v>
      </c>
      <c r="O176" s="52">
        <v>0</v>
      </c>
      <c r="P176" s="58">
        <v>1695</v>
      </c>
      <c r="Q176" s="58">
        <f t="shared" si="2"/>
        <v>2000.1</v>
      </c>
      <c r="R176" s="58" t="s">
        <v>1345</v>
      </c>
    </row>
    <row r="177" spans="1:18" x14ac:dyDescent="0.35">
      <c r="A177" s="57"/>
      <c r="B177" s="52" t="s">
        <v>1362</v>
      </c>
      <c r="C177" s="52" t="s">
        <v>1135</v>
      </c>
      <c r="D177" s="52" t="s">
        <v>1136</v>
      </c>
      <c r="E177" s="52" t="s">
        <v>1053</v>
      </c>
      <c r="F177" s="52"/>
      <c r="G177" s="52" t="s">
        <v>1343</v>
      </c>
      <c r="H177" s="52" t="s">
        <v>1344</v>
      </c>
      <c r="I177" s="56" t="s">
        <v>1350</v>
      </c>
      <c r="J177" s="56" t="s">
        <v>1351</v>
      </c>
      <c r="K177" s="52" t="s">
        <v>1054</v>
      </c>
      <c r="L177" s="52" t="s">
        <v>1054</v>
      </c>
      <c r="M177" s="52" t="s">
        <v>1054</v>
      </c>
      <c r="N177" s="52">
        <v>1</v>
      </c>
      <c r="O177" s="52">
        <v>0</v>
      </c>
      <c r="P177" s="58">
        <v>2233</v>
      </c>
      <c r="Q177" s="58">
        <f t="shared" si="2"/>
        <v>2634.94</v>
      </c>
      <c r="R177" s="58" t="s">
        <v>1345</v>
      </c>
    </row>
    <row r="178" spans="1:18" x14ac:dyDescent="0.35">
      <c r="A178" s="57"/>
      <c r="B178" s="52" t="s">
        <v>1363</v>
      </c>
      <c r="C178" s="52" t="s">
        <v>1135</v>
      </c>
      <c r="D178" s="52" t="s">
        <v>1136</v>
      </c>
      <c r="E178" s="52" t="s">
        <v>1053</v>
      </c>
      <c r="F178" s="52"/>
      <c r="G178" s="52" t="s">
        <v>1343</v>
      </c>
      <c r="H178" s="52" t="s">
        <v>1344</v>
      </c>
      <c r="I178" s="56" t="s">
        <v>1350</v>
      </c>
      <c r="J178" s="56" t="s">
        <v>1351</v>
      </c>
      <c r="K178" s="52" t="s">
        <v>1054</v>
      </c>
      <c r="L178" s="52" t="s">
        <v>1054</v>
      </c>
      <c r="M178" s="52" t="s">
        <v>1054</v>
      </c>
      <c r="N178" s="52">
        <v>1</v>
      </c>
      <c r="O178" s="52">
        <v>0</v>
      </c>
      <c r="P178" s="58">
        <v>5648</v>
      </c>
      <c r="Q178" s="58">
        <f t="shared" si="2"/>
        <v>6664.6399999999994</v>
      </c>
      <c r="R178" s="58" t="s">
        <v>1345</v>
      </c>
    </row>
    <row r="179" spans="1:18" x14ac:dyDescent="0.35">
      <c r="A179" s="57"/>
      <c r="B179" s="52" t="s">
        <v>1364</v>
      </c>
      <c r="C179" s="52" t="s">
        <v>1135</v>
      </c>
      <c r="D179" s="52" t="s">
        <v>1136</v>
      </c>
      <c r="E179" s="52" t="s">
        <v>1053</v>
      </c>
      <c r="F179" s="52"/>
      <c r="G179" s="52" t="s">
        <v>1343</v>
      </c>
      <c r="H179" s="52" t="s">
        <v>1344</v>
      </c>
      <c r="I179" s="56" t="s">
        <v>1350</v>
      </c>
      <c r="J179" s="56" t="s">
        <v>1351</v>
      </c>
      <c r="K179" s="52" t="s">
        <v>1054</v>
      </c>
      <c r="L179" s="52" t="s">
        <v>1054</v>
      </c>
      <c r="M179" s="52" t="s">
        <v>1054</v>
      </c>
      <c r="N179" s="52">
        <v>1</v>
      </c>
      <c r="O179" s="52">
        <v>0</v>
      </c>
      <c r="P179" s="58">
        <v>6247</v>
      </c>
      <c r="Q179" s="58">
        <f t="shared" si="2"/>
        <v>7371.46</v>
      </c>
      <c r="R179" s="58" t="s">
        <v>1345</v>
      </c>
    </row>
    <row r="180" spans="1:18" x14ac:dyDescent="0.35">
      <c r="A180" s="57"/>
      <c r="B180" s="52" t="s">
        <v>1365</v>
      </c>
      <c r="C180" s="52" t="s">
        <v>1135</v>
      </c>
      <c r="D180" s="52" t="s">
        <v>1136</v>
      </c>
      <c r="E180" s="52" t="s">
        <v>1053</v>
      </c>
      <c r="F180" s="52"/>
      <c r="G180" s="52" t="s">
        <v>1343</v>
      </c>
      <c r="H180" s="52" t="s">
        <v>1344</v>
      </c>
      <c r="I180" s="56" t="s">
        <v>1350</v>
      </c>
      <c r="J180" s="56" t="s">
        <v>1351</v>
      </c>
      <c r="K180" s="52" t="s">
        <v>1054</v>
      </c>
      <c r="L180" s="52" t="s">
        <v>1054</v>
      </c>
      <c r="M180" s="52" t="s">
        <v>1054</v>
      </c>
      <c r="N180" s="52">
        <v>1</v>
      </c>
      <c r="O180" s="52">
        <v>0</v>
      </c>
      <c r="P180" s="58">
        <v>4237</v>
      </c>
      <c r="Q180" s="58">
        <f t="shared" si="2"/>
        <v>4999.66</v>
      </c>
      <c r="R180" s="58" t="s">
        <v>1345</v>
      </c>
    </row>
    <row r="181" spans="1:18" x14ac:dyDescent="0.35">
      <c r="A181" s="57"/>
      <c r="B181" s="52" t="s">
        <v>955</v>
      </c>
      <c r="C181" s="52" t="s">
        <v>1135</v>
      </c>
      <c r="D181" s="52" t="s">
        <v>1136</v>
      </c>
      <c r="E181" s="52" t="s">
        <v>1053</v>
      </c>
      <c r="F181" s="52"/>
      <c r="G181" s="52" t="s">
        <v>1343</v>
      </c>
      <c r="H181" s="52" t="s">
        <v>1344</v>
      </c>
      <c r="I181" s="56" t="s">
        <v>1350</v>
      </c>
      <c r="J181" s="56" t="s">
        <v>1351</v>
      </c>
      <c r="K181" s="52" t="s">
        <v>1054</v>
      </c>
      <c r="L181" s="52" t="s">
        <v>1054</v>
      </c>
      <c r="M181" s="52" t="s">
        <v>1054</v>
      </c>
      <c r="N181" s="52">
        <v>1</v>
      </c>
      <c r="O181" s="52">
        <v>0</v>
      </c>
      <c r="P181" s="58">
        <v>1695</v>
      </c>
      <c r="Q181" s="58">
        <f t="shared" si="2"/>
        <v>2000.1</v>
      </c>
      <c r="R181" s="58" t="s">
        <v>1345</v>
      </c>
    </row>
    <row r="182" spans="1:18" x14ac:dyDescent="0.35">
      <c r="A182" s="57"/>
      <c r="B182" s="52" t="s">
        <v>1147</v>
      </c>
      <c r="C182" s="52" t="s">
        <v>1135</v>
      </c>
      <c r="D182" s="52" t="s">
        <v>1136</v>
      </c>
      <c r="E182" s="52" t="s">
        <v>1053</v>
      </c>
      <c r="F182" s="52"/>
      <c r="G182" s="52" t="s">
        <v>1343</v>
      </c>
      <c r="H182" s="52" t="s">
        <v>1344</v>
      </c>
      <c r="I182" s="56" t="s">
        <v>1350</v>
      </c>
      <c r="J182" s="56" t="s">
        <v>1351</v>
      </c>
      <c r="K182" s="52" t="s">
        <v>1054</v>
      </c>
      <c r="L182" s="52" t="s">
        <v>1054</v>
      </c>
      <c r="M182" s="52" t="s">
        <v>1054</v>
      </c>
      <c r="N182" s="52">
        <v>1</v>
      </c>
      <c r="O182" s="52">
        <v>0</v>
      </c>
      <c r="P182" s="58">
        <v>3390</v>
      </c>
      <c r="Q182" s="58">
        <f t="shared" si="2"/>
        <v>4000.2</v>
      </c>
      <c r="R182" s="58" t="s">
        <v>1345</v>
      </c>
    </row>
    <row r="183" spans="1:18" x14ac:dyDescent="0.35">
      <c r="A183" s="57"/>
      <c r="B183" s="52" t="s">
        <v>950</v>
      </c>
      <c r="C183" s="52" t="s">
        <v>1135</v>
      </c>
      <c r="D183" s="52" t="s">
        <v>1136</v>
      </c>
      <c r="E183" s="52" t="s">
        <v>1053</v>
      </c>
      <c r="F183" s="52"/>
      <c r="G183" s="52" t="s">
        <v>1343</v>
      </c>
      <c r="H183" s="52" t="s">
        <v>1344</v>
      </c>
      <c r="I183" s="56" t="s">
        <v>1350</v>
      </c>
      <c r="J183" s="56" t="s">
        <v>1351</v>
      </c>
      <c r="K183" s="52" t="s">
        <v>1054</v>
      </c>
      <c r="L183" s="52" t="s">
        <v>1054</v>
      </c>
      <c r="M183" s="52" t="s">
        <v>1054</v>
      </c>
      <c r="N183" s="52">
        <v>1</v>
      </c>
      <c r="O183" s="52">
        <v>0</v>
      </c>
      <c r="P183" s="58">
        <v>2966</v>
      </c>
      <c r="Q183" s="58">
        <f t="shared" si="2"/>
        <v>3499.8799999999997</v>
      </c>
      <c r="R183" s="58" t="s">
        <v>1345</v>
      </c>
    </row>
    <row r="184" spans="1:18" x14ac:dyDescent="0.35">
      <c r="A184" s="57"/>
      <c r="B184" s="52" t="s">
        <v>1140</v>
      </c>
      <c r="C184" s="52" t="s">
        <v>1135</v>
      </c>
      <c r="D184" s="52" t="s">
        <v>1136</v>
      </c>
      <c r="E184" s="52" t="s">
        <v>1053</v>
      </c>
      <c r="F184" s="52"/>
      <c r="G184" s="52" t="s">
        <v>1343</v>
      </c>
      <c r="H184" s="52" t="s">
        <v>1344</v>
      </c>
      <c r="I184" s="56" t="s">
        <v>1350</v>
      </c>
      <c r="J184" s="56" t="s">
        <v>1351</v>
      </c>
      <c r="K184" s="52" t="s">
        <v>1054</v>
      </c>
      <c r="L184" s="52" t="s">
        <v>1054</v>
      </c>
      <c r="M184" s="52" t="s">
        <v>1054</v>
      </c>
      <c r="N184" s="52">
        <v>1</v>
      </c>
      <c r="O184" s="52">
        <v>0</v>
      </c>
      <c r="P184" s="58">
        <v>4237</v>
      </c>
      <c r="Q184" s="58">
        <f t="shared" si="2"/>
        <v>4999.66</v>
      </c>
      <c r="R184" s="58" t="s">
        <v>1345</v>
      </c>
    </row>
    <row r="185" spans="1:18" x14ac:dyDescent="0.35">
      <c r="A185" s="57"/>
      <c r="B185" s="52" t="s">
        <v>1366</v>
      </c>
      <c r="C185" s="52" t="s">
        <v>1135</v>
      </c>
      <c r="D185" s="52" t="s">
        <v>1136</v>
      </c>
      <c r="E185" s="52" t="s">
        <v>1053</v>
      </c>
      <c r="F185" s="52"/>
      <c r="G185" s="52" t="s">
        <v>1343</v>
      </c>
      <c r="H185" s="52" t="s">
        <v>1344</v>
      </c>
      <c r="I185" s="56" t="s">
        <v>1350</v>
      </c>
      <c r="J185" s="56" t="s">
        <v>1351</v>
      </c>
      <c r="K185" s="52" t="s">
        <v>1054</v>
      </c>
      <c r="L185" s="52" t="s">
        <v>1054</v>
      </c>
      <c r="M185" s="52" t="s">
        <v>1054</v>
      </c>
      <c r="N185" s="52">
        <v>1</v>
      </c>
      <c r="O185" s="52">
        <v>0</v>
      </c>
      <c r="P185" s="58">
        <v>3390</v>
      </c>
      <c r="Q185" s="58">
        <f t="shared" si="2"/>
        <v>4000.2</v>
      </c>
      <c r="R185" s="58" t="s">
        <v>1345</v>
      </c>
    </row>
    <row r="186" spans="1:18" x14ac:dyDescent="0.35">
      <c r="A186" s="57"/>
      <c r="B186" s="52" t="s">
        <v>1367</v>
      </c>
      <c r="C186" s="52" t="s">
        <v>1135</v>
      </c>
      <c r="D186" s="52" t="s">
        <v>1136</v>
      </c>
      <c r="E186" s="52" t="s">
        <v>1053</v>
      </c>
      <c r="F186" s="52"/>
      <c r="G186" s="52" t="s">
        <v>1343</v>
      </c>
      <c r="H186" s="52" t="s">
        <v>1344</v>
      </c>
      <c r="I186" s="56" t="s">
        <v>1350</v>
      </c>
      <c r="J186" s="56" t="s">
        <v>1351</v>
      </c>
      <c r="K186" s="52" t="s">
        <v>1054</v>
      </c>
      <c r="L186" s="52" t="s">
        <v>1054</v>
      </c>
      <c r="M186" s="52" t="s">
        <v>1054</v>
      </c>
      <c r="N186" s="52">
        <v>1</v>
      </c>
      <c r="O186" s="52">
        <v>0</v>
      </c>
      <c r="P186" s="58">
        <v>5085</v>
      </c>
      <c r="Q186" s="58">
        <f t="shared" si="2"/>
        <v>6000.2999999999993</v>
      </c>
      <c r="R186" s="58" t="s">
        <v>1345</v>
      </c>
    </row>
    <row r="187" spans="1:18" x14ac:dyDescent="0.35">
      <c r="A187" s="57"/>
      <c r="B187" s="52" t="s">
        <v>697</v>
      </c>
      <c r="C187" s="52" t="s">
        <v>1135</v>
      </c>
      <c r="D187" s="52" t="s">
        <v>1136</v>
      </c>
      <c r="E187" s="52" t="s">
        <v>1053</v>
      </c>
      <c r="F187" s="52"/>
      <c r="G187" s="52" t="s">
        <v>1343</v>
      </c>
      <c r="H187" s="52" t="s">
        <v>1344</v>
      </c>
      <c r="I187" s="56" t="s">
        <v>1350</v>
      </c>
      <c r="J187" s="56" t="s">
        <v>1351</v>
      </c>
      <c r="K187" s="52" t="s">
        <v>1054</v>
      </c>
      <c r="L187" s="52" t="s">
        <v>1054</v>
      </c>
      <c r="M187" s="52" t="s">
        <v>1054</v>
      </c>
      <c r="N187" s="52">
        <v>1</v>
      </c>
      <c r="O187" s="52">
        <v>0</v>
      </c>
      <c r="P187" s="58">
        <v>4237</v>
      </c>
      <c r="Q187" s="58">
        <f t="shared" si="2"/>
        <v>4999.66</v>
      </c>
      <c r="R187" s="58" t="s">
        <v>1345</v>
      </c>
    </row>
    <row r="188" spans="1:18" x14ac:dyDescent="0.35">
      <c r="A188" s="57"/>
      <c r="B188" s="52" t="s">
        <v>959</v>
      </c>
      <c r="C188" s="52" t="s">
        <v>1135</v>
      </c>
      <c r="D188" s="52" t="s">
        <v>1136</v>
      </c>
      <c r="E188" s="52" t="s">
        <v>1053</v>
      </c>
      <c r="F188" s="52"/>
      <c r="G188" s="52" t="s">
        <v>1343</v>
      </c>
      <c r="H188" s="52" t="s">
        <v>1344</v>
      </c>
      <c r="I188" s="56" t="s">
        <v>1350</v>
      </c>
      <c r="J188" s="56" t="s">
        <v>1351</v>
      </c>
      <c r="K188" s="52" t="s">
        <v>1054</v>
      </c>
      <c r="L188" s="52" t="s">
        <v>1054</v>
      </c>
      <c r="M188" s="52" t="s">
        <v>1054</v>
      </c>
      <c r="N188" s="52">
        <v>1</v>
      </c>
      <c r="O188" s="52">
        <v>0</v>
      </c>
      <c r="P188" s="58">
        <v>3136</v>
      </c>
      <c r="Q188" s="58">
        <f t="shared" si="2"/>
        <v>3700.48</v>
      </c>
      <c r="R188" s="58" t="s">
        <v>1345</v>
      </c>
    </row>
    <row r="189" spans="1:18" x14ac:dyDescent="0.35">
      <c r="A189" s="57"/>
      <c r="B189" s="52" t="s">
        <v>963</v>
      </c>
      <c r="C189" s="52" t="s">
        <v>1135</v>
      </c>
      <c r="D189" s="52" t="s">
        <v>1136</v>
      </c>
      <c r="E189" s="52" t="s">
        <v>1053</v>
      </c>
      <c r="F189" s="52"/>
      <c r="G189" s="52" t="s">
        <v>1343</v>
      </c>
      <c r="H189" s="52" t="s">
        <v>1344</v>
      </c>
      <c r="I189" s="56" t="s">
        <v>1350</v>
      </c>
      <c r="J189" s="56" t="s">
        <v>1351</v>
      </c>
      <c r="K189" s="52" t="s">
        <v>1054</v>
      </c>
      <c r="L189" s="52" t="s">
        <v>1054</v>
      </c>
      <c r="M189" s="52" t="s">
        <v>1054</v>
      </c>
      <c r="N189" s="52">
        <v>1</v>
      </c>
      <c r="O189" s="52">
        <v>0</v>
      </c>
      <c r="P189" s="58">
        <v>2542</v>
      </c>
      <c r="Q189" s="58">
        <f t="shared" si="2"/>
        <v>2999.56</v>
      </c>
      <c r="R189" s="58" t="s">
        <v>1345</v>
      </c>
    </row>
    <row r="190" spans="1:18" x14ac:dyDescent="0.35">
      <c r="A190" s="52"/>
      <c r="B190" s="52" t="s">
        <v>1090</v>
      </c>
      <c r="C190" s="52" t="s">
        <v>1135</v>
      </c>
      <c r="D190" s="52" t="s">
        <v>1136</v>
      </c>
      <c r="E190" s="52" t="s">
        <v>1053</v>
      </c>
      <c r="F190" s="52"/>
      <c r="G190" s="57" t="s">
        <v>1343</v>
      </c>
      <c r="H190" s="57" t="s">
        <v>1344</v>
      </c>
      <c r="I190" s="56" t="s">
        <v>1350</v>
      </c>
      <c r="J190" s="56" t="s">
        <v>1351</v>
      </c>
      <c r="K190" s="52" t="s">
        <v>1054</v>
      </c>
      <c r="L190" s="52" t="s">
        <v>1054</v>
      </c>
      <c r="M190" s="52" t="s">
        <v>1054</v>
      </c>
      <c r="N190" s="52">
        <v>1</v>
      </c>
      <c r="O190" s="52">
        <v>0</v>
      </c>
      <c r="P190" s="58">
        <v>2819.1107332077763</v>
      </c>
      <c r="Q190" s="58">
        <f>P190*1.18</f>
        <v>3326.5506651851761</v>
      </c>
      <c r="R190" s="58" t="s">
        <v>1348</v>
      </c>
    </row>
    <row r="191" spans="1:18" x14ac:dyDescent="0.35">
      <c r="A191" s="52"/>
      <c r="B191" s="52" t="s">
        <v>983</v>
      </c>
      <c r="C191" s="52" t="s">
        <v>1135</v>
      </c>
      <c r="D191" s="52" t="s">
        <v>1136</v>
      </c>
      <c r="E191" s="52" t="s">
        <v>1053</v>
      </c>
      <c r="F191" s="52"/>
      <c r="G191" s="57" t="s">
        <v>1343</v>
      </c>
      <c r="H191" s="57" t="s">
        <v>1344</v>
      </c>
      <c r="I191" s="56" t="s">
        <v>1350</v>
      </c>
      <c r="J191" s="56" t="s">
        <v>1351</v>
      </c>
      <c r="K191" s="52" t="s">
        <v>1054</v>
      </c>
      <c r="L191" s="52" t="s">
        <v>1054</v>
      </c>
      <c r="M191" s="52" t="s">
        <v>1054</v>
      </c>
      <c r="N191" s="52">
        <v>1</v>
      </c>
      <c r="O191" s="52">
        <v>0</v>
      </c>
      <c r="P191" s="58">
        <v>6616.0405906081432</v>
      </c>
      <c r="Q191" s="58">
        <f t="shared" ref="Q191:Q216" si="3">P191*1.18</f>
        <v>7806.9278969176085</v>
      </c>
      <c r="R191" s="58" t="s">
        <v>1348</v>
      </c>
    </row>
    <row r="192" spans="1:18" x14ac:dyDescent="0.35">
      <c r="A192" s="52"/>
      <c r="B192" s="52" t="s">
        <v>1067</v>
      </c>
      <c r="C192" s="52" t="s">
        <v>1135</v>
      </c>
      <c r="D192" s="52" t="s">
        <v>1136</v>
      </c>
      <c r="E192" s="52" t="s">
        <v>1053</v>
      </c>
      <c r="F192" s="52"/>
      <c r="G192" s="57" t="s">
        <v>1343</v>
      </c>
      <c r="H192" s="57" t="s">
        <v>1344</v>
      </c>
      <c r="I192" s="56" t="s">
        <v>1350</v>
      </c>
      <c r="J192" s="56" t="s">
        <v>1351</v>
      </c>
      <c r="K192" s="52" t="s">
        <v>1054</v>
      </c>
      <c r="L192" s="52" t="s">
        <v>1054</v>
      </c>
      <c r="M192" s="52" t="s">
        <v>1054</v>
      </c>
      <c r="N192" s="52">
        <v>1</v>
      </c>
      <c r="O192" s="52">
        <v>0</v>
      </c>
      <c r="P192" s="58">
        <v>3389.8305084745766</v>
      </c>
      <c r="Q192" s="58">
        <f t="shared" si="3"/>
        <v>4000</v>
      </c>
      <c r="R192" s="58" t="s">
        <v>1348</v>
      </c>
    </row>
    <row r="193" spans="1:18" x14ac:dyDescent="0.35">
      <c r="A193" s="52"/>
      <c r="B193" s="52" t="s">
        <v>988</v>
      </c>
      <c r="C193" s="52" t="s">
        <v>1135</v>
      </c>
      <c r="D193" s="52" t="s">
        <v>1136</v>
      </c>
      <c r="E193" s="52" t="s">
        <v>1053</v>
      </c>
      <c r="F193" s="52"/>
      <c r="G193" s="57" t="s">
        <v>1343</v>
      </c>
      <c r="H193" s="57" t="s">
        <v>1344</v>
      </c>
      <c r="I193" s="56" t="s">
        <v>1350</v>
      </c>
      <c r="J193" s="56" t="s">
        <v>1351</v>
      </c>
      <c r="K193" s="52" t="s">
        <v>1054</v>
      </c>
      <c r="L193" s="52" t="s">
        <v>1054</v>
      </c>
      <c r="M193" s="52" t="s">
        <v>1054</v>
      </c>
      <c r="N193" s="52">
        <v>1</v>
      </c>
      <c r="O193" s="52">
        <v>0</v>
      </c>
      <c r="P193" s="58">
        <v>6356.2711864406792</v>
      </c>
      <c r="Q193" s="58">
        <f t="shared" si="3"/>
        <v>7500.4000000000015</v>
      </c>
      <c r="R193" s="58" t="s">
        <v>1348</v>
      </c>
    </row>
    <row r="194" spans="1:18" x14ac:dyDescent="0.35">
      <c r="A194" s="52"/>
      <c r="B194" s="52" t="s">
        <v>997</v>
      </c>
      <c r="C194" s="52" t="s">
        <v>1135</v>
      </c>
      <c r="D194" s="52" t="s">
        <v>1136</v>
      </c>
      <c r="E194" s="52" t="s">
        <v>1053</v>
      </c>
      <c r="F194" s="52"/>
      <c r="G194" s="57" t="s">
        <v>1343</v>
      </c>
      <c r="H194" s="57" t="s">
        <v>1344</v>
      </c>
      <c r="I194" s="56" t="s">
        <v>1350</v>
      </c>
      <c r="J194" s="56" t="s">
        <v>1351</v>
      </c>
      <c r="K194" s="52" t="s">
        <v>1054</v>
      </c>
      <c r="L194" s="52" t="s">
        <v>1054</v>
      </c>
      <c r="M194" s="52" t="s">
        <v>1054</v>
      </c>
      <c r="N194" s="52">
        <v>1</v>
      </c>
      <c r="O194" s="52">
        <v>0</v>
      </c>
      <c r="P194" s="58">
        <v>11154</v>
      </c>
      <c r="Q194" s="58">
        <f t="shared" si="3"/>
        <v>13161.72</v>
      </c>
      <c r="R194" s="58" t="s">
        <v>1348</v>
      </c>
    </row>
    <row r="195" spans="1:18" x14ac:dyDescent="0.35">
      <c r="A195" s="52"/>
      <c r="B195" s="52" t="s">
        <v>678</v>
      </c>
      <c r="C195" s="52" t="s">
        <v>1135</v>
      </c>
      <c r="D195" s="52" t="s">
        <v>1136</v>
      </c>
      <c r="E195" s="52" t="s">
        <v>1053</v>
      </c>
      <c r="F195" s="52"/>
      <c r="G195" s="57" t="s">
        <v>1343</v>
      </c>
      <c r="H195" s="57" t="s">
        <v>1344</v>
      </c>
      <c r="I195" s="56" t="s">
        <v>1350</v>
      </c>
      <c r="J195" s="56" t="s">
        <v>1351</v>
      </c>
      <c r="K195" s="52" t="s">
        <v>1054</v>
      </c>
      <c r="L195" s="52" t="s">
        <v>1054</v>
      </c>
      <c r="M195" s="52" t="s">
        <v>1054</v>
      </c>
      <c r="N195" s="52">
        <v>1</v>
      </c>
      <c r="O195" s="52">
        <v>0</v>
      </c>
      <c r="P195" s="58">
        <v>11103</v>
      </c>
      <c r="Q195" s="58">
        <f t="shared" si="3"/>
        <v>13101.539999999999</v>
      </c>
      <c r="R195" s="58" t="s">
        <v>1348</v>
      </c>
    </row>
    <row r="196" spans="1:18" x14ac:dyDescent="0.35">
      <c r="A196" s="52"/>
      <c r="B196" s="52" t="s">
        <v>727</v>
      </c>
      <c r="C196" s="52" t="s">
        <v>1135</v>
      </c>
      <c r="D196" s="52" t="s">
        <v>1136</v>
      </c>
      <c r="E196" s="52" t="s">
        <v>1053</v>
      </c>
      <c r="F196" s="52"/>
      <c r="G196" s="57" t="s">
        <v>1343</v>
      </c>
      <c r="H196" s="57" t="s">
        <v>1344</v>
      </c>
      <c r="I196" s="56" t="s">
        <v>1350</v>
      </c>
      <c r="J196" s="56" t="s">
        <v>1351</v>
      </c>
      <c r="K196" s="52" t="s">
        <v>1054</v>
      </c>
      <c r="L196" s="52" t="s">
        <v>1054</v>
      </c>
      <c r="M196" s="52" t="s">
        <v>1054</v>
      </c>
      <c r="N196" s="52">
        <v>1</v>
      </c>
      <c r="O196" s="52">
        <v>0</v>
      </c>
      <c r="P196" s="58">
        <v>16949</v>
      </c>
      <c r="Q196" s="58">
        <f t="shared" si="3"/>
        <v>19999.82</v>
      </c>
      <c r="R196" s="58" t="s">
        <v>1348</v>
      </c>
    </row>
    <row r="197" spans="1:18" x14ac:dyDescent="0.35">
      <c r="A197" s="52"/>
      <c r="B197" s="52" t="s">
        <v>732</v>
      </c>
      <c r="C197" s="52" t="s">
        <v>1135</v>
      </c>
      <c r="D197" s="52" t="s">
        <v>1136</v>
      </c>
      <c r="E197" s="52" t="s">
        <v>1053</v>
      </c>
      <c r="F197" s="52"/>
      <c r="G197" s="57" t="s">
        <v>1343</v>
      </c>
      <c r="H197" s="57" t="s">
        <v>1344</v>
      </c>
      <c r="I197" s="56" t="s">
        <v>1350</v>
      </c>
      <c r="J197" s="56" t="s">
        <v>1351</v>
      </c>
      <c r="K197" s="52" t="s">
        <v>1054</v>
      </c>
      <c r="L197" s="52" t="s">
        <v>1054</v>
      </c>
      <c r="M197" s="52" t="s">
        <v>1054</v>
      </c>
      <c r="N197" s="52">
        <v>1</v>
      </c>
      <c r="O197" s="52">
        <v>0</v>
      </c>
      <c r="P197" s="58">
        <v>16949</v>
      </c>
      <c r="Q197" s="58">
        <f t="shared" si="3"/>
        <v>19999.82</v>
      </c>
      <c r="R197" s="58" t="s">
        <v>1348</v>
      </c>
    </row>
    <row r="198" spans="1:18" x14ac:dyDescent="0.35">
      <c r="A198" s="52"/>
      <c r="B198" s="52" t="s">
        <v>754</v>
      </c>
      <c r="C198" s="52" t="s">
        <v>1135</v>
      </c>
      <c r="D198" s="52" t="s">
        <v>1136</v>
      </c>
      <c r="E198" s="52" t="s">
        <v>1053</v>
      </c>
      <c r="F198" s="52"/>
      <c r="G198" s="57" t="s">
        <v>1343</v>
      </c>
      <c r="H198" s="57" t="s">
        <v>1344</v>
      </c>
      <c r="I198" s="56" t="s">
        <v>1350</v>
      </c>
      <c r="J198" s="56" t="s">
        <v>1351</v>
      </c>
      <c r="K198" s="52" t="s">
        <v>1054</v>
      </c>
      <c r="L198" s="52" t="s">
        <v>1054</v>
      </c>
      <c r="M198" s="52" t="s">
        <v>1054</v>
      </c>
      <c r="N198" s="52">
        <v>1</v>
      </c>
      <c r="O198" s="52">
        <v>0</v>
      </c>
      <c r="P198" s="58">
        <v>27119</v>
      </c>
      <c r="Q198" s="58">
        <f t="shared" si="3"/>
        <v>32000.42</v>
      </c>
      <c r="R198" s="58" t="s">
        <v>1348</v>
      </c>
    </row>
    <row r="199" spans="1:18" x14ac:dyDescent="0.35">
      <c r="A199" s="52"/>
      <c r="B199" s="52" t="s">
        <v>753</v>
      </c>
      <c r="C199" s="52" t="s">
        <v>1135</v>
      </c>
      <c r="D199" s="52" t="s">
        <v>1136</v>
      </c>
      <c r="E199" s="52" t="s">
        <v>1053</v>
      </c>
      <c r="F199" s="52"/>
      <c r="G199" s="57" t="s">
        <v>1343</v>
      </c>
      <c r="H199" s="57" t="s">
        <v>1344</v>
      </c>
      <c r="I199" s="56" t="s">
        <v>1350</v>
      </c>
      <c r="J199" s="56" t="s">
        <v>1351</v>
      </c>
      <c r="K199" s="52" t="s">
        <v>1054</v>
      </c>
      <c r="L199" s="52" t="s">
        <v>1054</v>
      </c>
      <c r="M199" s="52" t="s">
        <v>1054</v>
      </c>
      <c r="N199" s="52">
        <v>1</v>
      </c>
      <c r="O199" s="52">
        <v>0</v>
      </c>
      <c r="P199" s="58">
        <v>16525</v>
      </c>
      <c r="Q199" s="58">
        <f t="shared" si="3"/>
        <v>19499.5</v>
      </c>
      <c r="R199" s="58" t="s">
        <v>1348</v>
      </c>
    </row>
    <row r="200" spans="1:18" x14ac:dyDescent="0.35">
      <c r="A200" s="52"/>
      <c r="B200" s="52" t="s">
        <v>807</v>
      </c>
      <c r="C200" s="52" t="s">
        <v>1135</v>
      </c>
      <c r="D200" s="52" t="s">
        <v>1136</v>
      </c>
      <c r="E200" s="52" t="s">
        <v>1053</v>
      </c>
      <c r="F200" s="52"/>
      <c r="G200" s="57" t="s">
        <v>1343</v>
      </c>
      <c r="H200" s="57" t="s">
        <v>1344</v>
      </c>
      <c r="I200" s="56" t="s">
        <v>1350</v>
      </c>
      <c r="J200" s="56" t="s">
        <v>1351</v>
      </c>
      <c r="K200" s="52" t="s">
        <v>1054</v>
      </c>
      <c r="L200" s="52" t="s">
        <v>1054</v>
      </c>
      <c r="M200" s="52" t="s">
        <v>1054</v>
      </c>
      <c r="N200" s="52">
        <v>1</v>
      </c>
      <c r="O200" s="52">
        <v>0</v>
      </c>
      <c r="P200" s="58">
        <v>16949</v>
      </c>
      <c r="Q200" s="58">
        <f t="shared" si="3"/>
        <v>19999.82</v>
      </c>
      <c r="R200" s="58" t="s">
        <v>1348</v>
      </c>
    </row>
    <row r="201" spans="1:18" x14ac:dyDescent="0.35">
      <c r="A201" s="52"/>
      <c r="B201" s="52" t="s">
        <v>1368</v>
      </c>
      <c r="C201" s="52" t="s">
        <v>1135</v>
      </c>
      <c r="D201" s="52" t="s">
        <v>1136</v>
      </c>
      <c r="E201" s="52" t="s">
        <v>1053</v>
      </c>
      <c r="F201" s="52"/>
      <c r="G201" s="57" t="s">
        <v>1343</v>
      </c>
      <c r="H201" s="57" t="s">
        <v>1344</v>
      </c>
      <c r="I201" s="56" t="s">
        <v>1350</v>
      </c>
      <c r="J201" s="56" t="s">
        <v>1351</v>
      </c>
      <c r="K201" s="52" t="s">
        <v>1054</v>
      </c>
      <c r="L201" s="52" t="s">
        <v>1054</v>
      </c>
      <c r="M201" s="52" t="s">
        <v>1054</v>
      </c>
      <c r="N201" s="52">
        <v>1</v>
      </c>
      <c r="O201" s="52">
        <v>0</v>
      </c>
      <c r="P201" s="58">
        <v>7203</v>
      </c>
      <c r="Q201" s="58">
        <f t="shared" si="3"/>
        <v>8499.5399999999991</v>
      </c>
      <c r="R201" s="58" t="s">
        <v>1348</v>
      </c>
    </row>
    <row r="202" spans="1:18" x14ac:dyDescent="0.35">
      <c r="A202" s="52"/>
      <c r="B202" s="52" t="s">
        <v>887</v>
      </c>
      <c r="C202" s="52" t="s">
        <v>1135</v>
      </c>
      <c r="D202" s="52" t="s">
        <v>1136</v>
      </c>
      <c r="E202" s="52" t="s">
        <v>1053</v>
      </c>
      <c r="F202" s="52"/>
      <c r="G202" s="57" t="s">
        <v>1343</v>
      </c>
      <c r="H202" s="57" t="s">
        <v>1344</v>
      </c>
      <c r="I202" s="56" t="s">
        <v>1350</v>
      </c>
      <c r="J202" s="56" t="s">
        <v>1351</v>
      </c>
      <c r="K202" s="52" t="s">
        <v>1054</v>
      </c>
      <c r="L202" s="52" t="s">
        <v>1054</v>
      </c>
      <c r="M202" s="52" t="s">
        <v>1054</v>
      </c>
      <c r="N202" s="52">
        <v>1</v>
      </c>
      <c r="O202" s="52">
        <v>0</v>
      </c>
      <c r="P202" s="58">
        <v>18644.067796610172</v>
      </c>
      <c r="Q202" s="58">
        <f t="shared" si="3"/>
        <v>22000.000000000004</v>
      </c>
      <c r="R202" s="58" t="s">
        <v>1348</v>
      </c>
    </row>
    <row r="203" spans="1:18" x14ac:dyDescent="0.35">
      <c r="A203" s="52"/>
      <c r="B203" s="52" t="s">
        <v>1167</v>
      </c>
      <c r="C203" s="52" t="s">
        <v>1135</v>
      </c>
      <c r="D203" s="52" t="s">
        <v>1136</v>
      </c>
      <c r="E203" s="52" t="s">
        <v>1053</v>
      </c>
      <c r="F203" s="52"/>
      <c r="G203" s="57" t="s">
        <v>1343</v>
      </c>
      <c r="H203" s="57" t="s">
        <v>1344</v>
      </c>
      <c r="I203" s="56" t="s">
        <v>1350</v>
      </c>
      <c r="J203" s="56" t="s">
        <v>1351</v>
      </c>
      <c r="K203" s="52" t="s">
        <v>1054</v>
      </c>
      <c r="L203" s="52" t="s">
        <v>1054</v>
      </c>
      <c r="M203" s="52" t="s">
        <v>1054</v>
      </c>
      <c r="N203" s="52">
        <v>1</v>
      </c>
      <c r="O203" s="52">
        <v>0</v>
      </c>
      <c r="P203" s="58">
        <v>1695</v>
      </c>
      <c r="Q203" s="58">
        <f t="shared" si="3"/>
        <v>2000.1</v>
      </c>
      <c r="R203" s="58" t="s">
        <v>1348</v>
      </c>
    </row>
    <row r="204" spans="1:18" x14ac:dyDescent="0.35">
      <c r="A204" s="52"/>
      <c r="B204" s="52" t="s">
        <v>1165</v>
      </c>
      <c r="C204" s="52" t="s">
        <v>1135</v>
      </c>
      <c r="D204" s="52" t="s">
        <v>1136</v>
      </c>
      <c r="E204" s="52" t="s">
        <v>1053</v>
      </c>
      <c r="F204" s="52"/>
      <c r="G204" s="57" t="s">
        <v>1343</v>
      </c>
      <c r="H204" s="57" t="s">
        <v>1344</v>
      </c>
      <c r="I204" s="56" t="s">
        <v>1350</v>
      </c>
      <c r="J204" s="56" t="s">
        <v>1351</v>
      </c>
      <c r="K204" s="52" t="s">
        <v>1054</v>
      </c>
      <c r="L204" s="52" t="s">
        <v>1054</v>
      </c>
      <c r="M204" s="52" t="s">
        <v>1054</v>
      </c>
      <c r="N204" s="52">
        <v>1</v>
      </c>
      <c r="O204" s="52">
        <v>0</v>
      </c>
      <c r="P204" s="58">
        <v>1695</v>
      </c>
      <c r="Q204" s="58">
        <f t="shared" si="3"/>
        <v>2000.1</v>
      </c>
      <c r="R204" s="58" t="s">
        <v>1348</v>
      </c>
    </row>
    <row r="205" spans="1:18" x14ac:dyDescent="0.35">
      <c r="A205" s="52"/>
      <c r="B205" s="52" t="s">
        <v>919</v>
      </c>
      <c r="C205" s="52" t="s">
        <v>1135</v>
      </c>
      <c r="D205" s="52" t="s">
        <v>1136</v>
      </c>
      <c r="E205" s="52" t="s">
        <v>1053</v>
      </c>
      <c r="F205" s="52"/>
      <c r="G205" s="57" t="s">
        <v>1343</v>
      </c>
      <c r="H205" s="57" t="s">
        <v>1344</v>
      </c>
      <c r="I205" s="56" t="s">
        <v>1350</v>
      </c>
      <c r="J205" s="56" t="s">
        <v>1351</v>
      </c>
      <c r="K205" s="52" t="s">
        <v>1054</v>
      </c>
      <c r="L205" s="52" t="s">
        <v>1054</v>
      </c>
      <c r="M205" s="52" t="s">
        <v>1054</v>
      </c>
      <c r="N205" s="52">
        <v>1</v>
      </c>
      <c r="O205" s="52">
        <v>0</v>
      </c>
      <c r="P205" s="58">
        <v>11864</v>
      </c>
      <c r="Q205" s="58">
        <f t="shared" si="3"/>
        <v>13999.519999999999</v>
      </c>
      <c r="R205" s="58" t="s">
        <v>1348</v>
      </c>
    </row>
    <row r="206" spans="1:18" x14ac:dyDescent="0.35">
      <c r="A206" s="52"/>
      <c r="B206" s="52" t="s">
        <v>806</v>
      </c>
      <c r="C206" s="52" t="s">
        <v>1135</v>
      </c>
      <c r="D206" s="52" t="s">
        <v>1136</v>
      </c>
      <c r="E206" s="52" t="s">
        <v>1053</v>
      </c>
      <c r="F206" s="52"/>
      <c r="G206" s="57" t="s">
        <v>1343</v>
      </c>
      <c r="H206" s="57" t="s">
        <v>1344</v>
      </c>
      <c r="I206" s="56" t="s">
        <v>1350</v>
      </c>
      <c r="J206" s="56" t="s">
        <v>1351</v>
      </c>
      <c r="K206" s="52" t="s">
        <v>1054</v>
      </c>
      <c r="L206" s="52" t="s">
        <v>1054</v>
      </c>
      <c r="M206" s="52" t="s">
        <v>1054</v>
      </c>
      <c r="N206" s="52">
        <v>1</v>
      </c>
      <c r="O206" s="52">
        <v>0</v>
      </c>
      <c r="P206" s="58">
        <v>11864</v>
      </c>
      <c r="Q206" s="58">
        <f t="shared" si="3"/>
        <v>13999.519999999999</v>
      </c>
      <c r="R206" s="58" t="s">
        <v>1348</v>
      </c>
    </row>
    <row r="207" spans="1:18" x14ac:dyDescent="0.35">
      <c r="A207" s="52"/>
      <c r="B207" s="52" t="s">
        <v>911</v>
      </c>
      <c r="C207" s="52" t="s">
        <v>1135</v>
      </c>
      <c r="D207" s="52" t="s">
        <v>1136</v>
      </c>
      <c r="E207" s="52" t="s">
        <v>1053</v>
      </c>
      <c r="F207" s="52"/>
      <c r="G207" s="57" t="s">
        <v>1343</v>
      </c>
      <c r="H207" s="57" t="s">
        <v>1344</v>
      </c>
      <c r="I207" s="56" t="s">
        <v>1350</v>
      </c>
      <c r="J207" s="56" t="s">
        <v>1351</v>
      </c>
      <c r="K207" s="52" t="s">
        <v>1054</v>
      </c>
      <c r="L207" s="52" t="s">
        <v>1054</v>
      </c>
      <c r="M207" s="52" t="s">
        <v>1054</v>
      </c>
      <c r="N207" s="52">
        <v>1</v>
      </c>
      <c r="O207" s="52">
        <v>0</v>
      </c>
      <c r="P207" s="58">
        <v>5254</v>
      </c>
      <c r="Q207" s="58">
        <f t="shared" si="3"/>
        <v>6199.7199999999993</v>
      </c>
      <c r="R207" s="58" t="s">
        <v>1348</v>
      </c>
    </row>
    <row r="208" spans="1:18" x14ac:dyDescent="0.35">
      <c r="A208" s="52"/>
      <c r="B208" s="52" t="s">
        <v>1161</v>
      </c>
      <c r="C208" s="52" t="s">
        <v>1135</v>
      </c>
      <c r="D208" s="52" t="s">
        <v>1136</v>
      </c>
      <c r="E208" s="52" t="s">
        <v>1053</v>
      </c>
      <c r="F208" s="52"/>
      <c r="G208" s="57" t="s">
        <v>1343</v>
      </c>
      <c r="H208" s="57" t="s">
        <v>1344</v>
      </c>
      <c r="I208" s="56" t="s">
        <v>1350</v>
      </c>
      <c r="J208" s="56" t="s">
        <v>1351</v>
      </c>
      <c r="K208" s="52" t="s">
        <v>1054</v>
      </c>
      <c r="L208" s="52" t="s">
        <v>1054</v>
      </c>
      <c r="M208" s="52" t="s">
        <v>1054</v>
      </c>
      <c r="N208" s="52">
        <v>1</v>
      </c>
      <c r="O208" s="52">
        <v>0</v>
      </c>
      <c r="P208" s="58">
        <v>1694.9152542372883</v>
      </c>
      <c r="Q208" s="58">
        <f t="shared" si="3"/>
        <v>2000</v>
      </c>
      <c r="R208" s="58" t="s">
        <v>1348</v>
      </c>
    </row>
    <row r="209" spans="1:18" x14ac:dyDescent="0.35">
      <c r="A209" s="52"/>
      <c r="B209" s="52" t="s">
        <v>1181</v>
      </c>
      <c r="C209" s="52" t="s">
        <v>1135</v>
      </c>
      <c r="D209" s="52" t="s">
        <v>1136</v>
      </c>
      <c r="E209" s="52" t="s">
        <v>1053</v>
      </c>
      <c r="F209" s="52"/>
      <c r="G209" s="57" t="s">
        <v>1343</v>
      </c>
      <c r="H209" s="57" t="s">
        <v>1344</v>
      </c>
      <c r="I209" s="56" t="s">
        <v>1350</v>
      </c>
      <c r="J209" s="56" t="s">
        <v>1351</v>
      </c>
      <c r="K209" s="52" t="s">
        <v>1054</v>
      </c>
      <c r="L209" s="52" t="s">
        <v>1054</v>
      </c>
      <c r="M209" s="52" t="s">
        <v>1054</v>
      </c>
      <c r="N209" s="52">
        <v>1</v>
      </c>
      <c r="O209" s="52">
        <v>0</v>
      </c>
      <c r="P209" s="58">
        <v>14909</v>
      </c>
      <c r="Q209" s="58">
        <f t="shared" si="3"/>
        <v>17592.62</v>
      </c>
      <c r="R209" s="58" t="s">
        <v>1348</v>
      </c>
    </row>
    <row r="210" spans="1:18" x14ac:dyDescent="0.35">
      <c r="A210" s="52"/>
      <c r="B210" s="52" t="s">
        <v>774</v>
      </c>
      <c r="C210" s="52" t="s">
        <v>1135</v>
      </c>
      <c r="D210" s="52" t="s">
        <v>1136</v>
      </c>
      <c r="E210" s="52" t="s">
        <v>1053</v>
      </c>
      <c r="F210" s="52"/>
      <c r="G210" s="57" t="s">
        <v>1343</v>
      </c>
      <c r="H210" s="57" t="s">
        <v>1344</v>
      </c>
      <c r="I210" s="56" t="s">
        <v>1350</v>
      </c>
      <c r="J210" s="56" t="s">
        <v>1351</v>
      </c>
      <c r="K210" s="52" t="s">
        <v>1054</v>
      </c>
      <c r="L210" s="52" t="s">
        <v>1054</v>
      </c>
      <c r="M210" s="52" t="s">
        <v>1054</v>
      </c>
      <c r="N210" s="52">
        <v>1</v>
      </c>
      <c r="O210" s="52">
        <v>0</v>
      </c>
      <c r="P210" s="58">
        <v>14909</v>
      </c>
      <c r="Q210" s="58">
        <f t="shared" si="3"/>
        <v>17592.62</v>
      </c>
      <c r="R210" s="58" t="s">
        <v>1348</v>
      </c>
    </row>
    <row r="211" spans="1:18" x14ac:dyDescent="0.35">
      <c r="A211" s="52"/>
      <c r="B211" s="52" t="s">
        <v>1207</v>
      </c>
      <c r="C211" s="52" t="s">
        <v>1135</v>
      </c>
      <c r="D211" s="52" t="s">
        <v>1136</v>
      </c>
      <c r="E211" s="52" t="s">
        <v>1053</v>
      </c>
      <c r="F211" s="52"/>
      <c r="G211" s="57" t="s">
        <v>1343</v>
      </c>
      <c r="H211" s="57" t="s">
        <v>1344</v>
      </c>
      <c r="I211" s="56" t="s">
        <v>1350</v>
      </c>
      <c r="J211" s="56" t="s">
        <v>1351</v>
      </c>
      <c r="K211" s="52" t="s">
        <v>1054</v>
      </c>
      <c r="L211" s="52" t="s">
        <v>1054</v>
      </c>
      <c r="M211" s="52" t="s">
        <v>1054</v>
      </c>
      <c r="N211" s="52">
        <v>1</v>
      </c>
      <c r="O211" s="52">
        <v>0</v>
      </c>
      <c r="P211" s="58">
        <v>2542</v>
      </c>
      <c r="Q211" s="58">
        <f t="shared" si="3"/>
        <v>2999.56</v>
      </c>
      <c r="R211" s="58" t="s">
        <v>1348</v>
      </c>
    </row>
    <row r="212" spans="1:18" x14ac:dyDescent="0.35">
      <c r="A212" s="52"/>
      <c r="B212" s="52" t="s">
        <v>921</v>
      </c>
      <c r="C212" s="52" t="s">
        <v>1135</v>
      </c>
      <c r="D212" s="52" t="s">
        <v>1136</v>
      </c>
      <c r="E212" s="52" t="s">
        <v>1053</v>
      </c>
      <c r="F212" s="52"/>
      <c r="G212" s="57" t="s">
        <v>1343</v>
      </c>
      <c r="H212" s="57" t="s">
        <v>1344</v>
      </c>
      <c r="I212" s="56" t="s">
        <v>1350</v>
      </c>
      <c r="J212" s="56" t="s">
        <v>1351</v>
      </c>
      <c r="K212" s="52" t="s">
        <v>1054</v>
      </c>
      <c r="L212" s="52" t="s">
        <v>1054</v>
      </c>
      <c r="M212" s="52" t="s">
        <v>1054</v>
      </c>
      <c r="N212" s="52">
        <v>1</v>
      </c>
      <c r="O212" s="52">
        <v>0</v>
      </c>
      <c r="P212" s="58">
        <v>11053</v>
      </c>
      <c r="Q212" s="58">
        <f t="shared" si="3"/>
        <v>13042.539999999999</v>
      </c>
      <c r="R212" s="58" t="s">
        <v>1348</v>
      </c>
    </row>
    <row r="213" spans="1:18" x14ac:dyDescent="0.35">
      <c r="A213" s="52"/>
      <c r="B213" s="52" t="s">
        <v>923</v>
      </c>
      <c r="C213" s="52" t="s">
        <v>1135</v>
      </c>
      <c r="D213" s="52" t="s">
        <v>1136</v>
      </c>
      <c r="E213" s="52" t="s">
        <v>1053</v>
      </c>
      <c r="F213" s="52"/>
      <c r="G213" s="57" t="s">
        <v>1343</v>
      </c>
      <c r="H213" s="57" t="s">
        <v>1344</v>
      </c>
      <c r="I213" s="56" t="s">
        <v>1350</v>
      </c>
      <c r="J213" s="56" t="s">
        <v>1351</v>
      </c>
      <c r="K213" s="52" t="s">
        <v>1054</v>
      </c>
      <c r="L213" s="52" t="s">
        <v>1054</v>
      </c>
      <c r="M213" s="52" t="s">
        <v>1054</v>
      </c>
      <c r="N213" s="52">
        <v>1</v>
      </c>
      <c r="O213" s="52">
        <v>0</v>
      </c>
      <c r="P213" s="58">
        <v>11053</v>
      </c>
      <c r="Q213" s="58">
        <f t="shared" si="3"/>
        <v>13042.539999999999</v>
      </c>
      <c r="R213" s="58" t="s">
        <v>1348</v>
      </c>
    </row>
    <row r="214" spans="1:18" x14ac:dyDescent="0.35">
      <c r="A214" s="52"/>
      <c r="B214" s="52" t="s">
        <v>927</v>
      </c>
      <c r="C214" s="52" t="s">
        <v>1135</v>
      </c>
      <c r="D214" s="52" t="s">
        <v>1136</v>
      </c>
      <c r="E214" s="52" t="s">
        <v>1053</v>
      </c>
      <c r="F214" s="52"/>
      <c r="G214" s="57" t="s">
        <v>1343</v>
      </c>
      <c r="H214" s="57" t="s">
        <v>1344</v>
      </c>
      <c r="I214" s="56" t="s">
        <v>1350</v>
      </c>
      <c r="J214" s="56" t="s">
        <v>1351</v>
      </c>
      <c r="K214" s="52" t="s">
        <v>1054</v>
      </c>
      <c r="L214" s="52" t="s">
        <v>1054</v>
      </c>
      <c r="M214" s="52" t="s">
        <v>1054</v>
      </c>
      <c r="N214" s="52">
        <v>1</v>
      </c>
      <c r="O214" s="52">
        <v>0</v>
      </c>
      <c r="P214" s="58">
        <v>7627</v>
      </c>
      <c r="Q214" s="58">
        <f t="shared" si="3"/>
        <v>8999.8599999999988</v>
      </c>
      <c r="R214" s="58" t="s">
        <v>1348</v>
      </c>
    </row>
    <row r="215" spans="1:18" x14ac:dyDescent="0.35">
      <c r="A215" s="52"/>
      <c r="B215" s="52" t="s">
        <v>926</v>
      </c>
      <c r="C215" s="52" t="s">
        <v>1135</v>
      </c>
      <c r="D215" s="52" t="s">
        <v>1136</v>
      </c>
      <c r="E215" s="52" t="s">
        <v>1053</v>
      </c>
      <c r="F215" s="52"/>
      <c r="G215" s="57" t="s">
        <v>1343</v>
      </c>
      <c r="H215" s="57" t="s">
        <v>1344</v>
      </c>
      <c r="I215" s="56" t="s">
        <v>1350</v>
      </c>
      <c r="J215" s="56" t="s">
        <v>1351</v>
      </c>
      <c r="K215" s="52" t="s">
        <v>1054</v>
      </c>
      <c r="L215" s="52" t="s">
        <v>1054</v>
      </c>
      <c r="M215" s="52" t="s">
        <v>1054</v>
      </c>
      <c r="N215" s="52">
        <v>1</v>
      </c>
      <c r="O215" s="52">
        <v>0</v>
      </c>
      <c r="P215" s="58">
        <v>7627</v>
      </c>
      <c r="Q215" s="58">
        <f t="shared" si="3"/>
        <v>8999.8599999999988</v>
      </c>
      <c r="R215" s="58" t="s">
        <v>1348</v>
      </c>
    </row>
    <row r="216" spans="1:18" x14ac:dyDescent="0.35">
      <c r="A216" s="52"/>
      <c r="B216" s="52" t="s">
        <v>924</v>
      </c>
      <c r="C216" s="52" t="s">
        <v>1135</v>
      </c>
      <c r="D216" s="52" t="s">
        <v>1136</v>
      </c>
      <c r="E216" s="52" t="s">
        <v>1053</v>
      </c>
      <c r="F216" s="52"/>
      <c r="G216" s="57" t="s">
        <v>1343</v>
      </c>
      <c r="H216" s="57" t="s">
        <v>1344</v>
      </c>
      <c r="I216" s="56" t="s">
        <v>1350</v>
      </c>
      <c r="J216" s="56" t="s">
        <v>1351</v>
      </c>
      <c r="K216" s="52" t="s">
        <v>1054</v>
      </c>
      <c r="L216" s="52" t="s">
        <v>1054</v>
      </c>
      <c r="M216" s="52" t="s">
        <v>1054</v>
      </c>
      <c r="N216" s="52">
        <v>1</v>
      </c>
      <c r="O216" s="52">
        <v>0</v>
      </c>
      <c r="P216" s="58">
        <v>7627</v>
      </c>
      <c r="Q216" s="58">
        <f t="shared" si="3"/>
        <v>8999.8599999999988</v>
      </c>
      <c r="R216" s="58" t="s">
        <v>1348</v>
      </c>
    </row>
  </sheetData>
  <conditionalFormatting sqref="A2">
    <cfRule type="duplicateValues" dxfId="26" priority="18"/>
  </conditionalFormatting>
  <conditionalFormatting sqref="B3:B66">
    <cfRule type="duplicateValues" dxfId="25" priority="20"/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  <cfRule type="duplicateValues" dxfId="19" priority="26"/>
    <cfRule type="duplicateValues" dxfId="18" priority="27"/>
  </conditionalFormatting>
  <conditionalFormatting sqref="B37:B44">
    <cfRule type="duplicateValues" dxfId="17" priority="19"/>
  </conditionalFormatting>
  <conditionalFormatting sqref="B45:B66">
    <cfRule type="duplicateValues" dxfId="16" priority="17"/>
  </conditionalFormatting>
  <conditionalFormatting sqref="B67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B190:B21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B8E6B6103E0F45BB6C59C22B6E557C" ma:contentTypeVersion="14" ma:contentTypeDescription="Create a new document." ma:contentTypeScope="" ma:versionID="75b0f9ffdd1f866e380a0a9587d93854">
  <xsd:schema xmlns:xsd="http://www.w3.org/2001/XMLSchema" xmlns:xs="http://www.w3.org/2001/XMLSchema" xmlns:p="http://schemas.microsoft.com/office/2006/metadata/properties" xmlns:ns2="1dffa691-f4cb-42e0-b461-819a0e3f0b7d" xmlns:ns3="6e3e5512-e07f-4287-af08-ae1a48586e70" targetNamespace="http://schemas.microsoft.com/office/2006/metadata/properties" ma:root="true" ma:fieldsID="d495c36caabe76b2c237d062be429a04" ns2:_="" ns3:_="">
    <xsd:import namespace="1dffa691-f4cb-42e0-b461-819a0e3f0b7d"/>
    <xsd:import namespace="6e3e5512-e07f-4287-af08-ae1a48586e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fa691-f4cb-42e0-b461-819a0e3f0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e5512-e07f-4287-af08-ae1a48586e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eca6d03-26d6-4378-b818-da7f7817c46a}" ma:internalName="TaxCatchAll" ma:showField="CatchAllData" ma:web="6e3e5512-e07f-4287-af08-ae1a48586e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ffa691-f4cb-42e0-b461-819a0e3f0b7d">
      <Terms xmlns="http://schemas.microsoft.com/office/infopath/2007/PartnerControls"/>
    </lcf76f155ced4ddcb4097134ff3c332f>
    <TaxCatchAll xmlns="6e3e5512-e07f-4287-af08-ae1a48586e70" xsi:nil="true"/>
  </documentManagement>
</p:properties>
</file>

<file path=customXml/itemProps1.xml><?xml version="1.0" encoding="utf-8"?>
<ds:datastoreItem xmlns:ds="http://schemas.openxmlformats.org/officeDocument/2006/customXml" ds:itemID="{E524C149-229A-4A9A-96F6-8D28B87B70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F0525-0816-4A46-A67C-4E8C0994E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ffa691-f4cb-42e0-b461-819a0e3f0b7d"/>
    <ds:schemaRef ds:uri="6e3e5512-e07f-4287-af08-ae1a48586e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103300-4C9A-46DD-9CBE-A77CFEA9683A}">
  <ds:schemaRefs>
    <ds:schemaRef ds:uri="6e3e5512-e07f-4287-af08-ae1a48586e70"/>
    <ds:schemaRef ds:uri="http://purl.org/dc/terms/"/>
    <ds:schemaRef ds:uri="http://purl.org/dc/elements/1.1/"/>
    <ds:schemaRef ds:uri="1dffa691-f4cb-42e0-b461-819a0e3f0b7d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Online 1-30 June Old PL</vt:lpstr>
      <vt:lpstr>Jan'26 Ch PL-Full</vt:lpstr>
      <vt:lpstr>Jan'26 Ch PL Zero  </vt:lpstr>
      <vt:lpstr>Activation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Mir1</dc:creator>
  <cp:keywords/>
  <dc:description/>
  <cp:lastModifiedBy>Rahul Sarin2</cp:lastModifiedBy>
  <cp:revision/>
  <dcterms:created xsi:type="dcterms:W3CDTF">2015-06-05T18:17:20Z</dcterms:created>
  <dcterms:modified xsi:type="dcterms:W3CDTF">2026-01-02T07:05:24Z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0x01010018B8E6B6103E0F45BB6C59C22B6E557C</vt:lpwstr>
  </property>
  <property fmtid="{D5CDD505-2E9C-101B-9397-08002B2CF9AE}" pid="3" name="MediaServiceImageTags">
    <vt:lpwstr/>
  </property>
</Properties>
</file>